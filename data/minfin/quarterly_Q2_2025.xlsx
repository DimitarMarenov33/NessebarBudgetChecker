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-Hr.Echev\Оценки на общините за сайта\38. Q2-2024-Q4-2024-Q2-2025\0. за качване на сайта\"/>
    </mc:Choice>
  </mc:AlternateContent>
  <bookViews>
    <workbookView xWindow="0" yWindow="0" windowWidth="28800" windowHeight="11700"/>
  </bookViews>
  <sheets>
    <sheet name="показатели" sheetId="1" r:id="rId1"/>
    <sheet name="СЕС-код 42 и код 98" sheetId="2" r:id="rId2"/>
    <sheet name="общини фин. оздр." sheetId="6" r:id="rId3"/>
  </sheets>
  <definedNames>
    <definedName name="_xlnm._FilterDatabase" localSheetId="0" hidden="1">показатели!$A$1:$BM$268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70" i="1" l="1"/>
</calcChain>
</file>

<file path=xl/sharedStrings.xml><?xml version="1.0" encoding="utf-8"?>
<sst xmlns="http://schemas.openxmlformats.org/spreadsheetml/2006/main" count="974" uniqueCount="356">
  <si>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</si>
  <si>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1. Дял на приходите от общите постъпления (%)</t>
  </si>
  <si>
    <t>2. Покритие на разходите за местни дейности с  приходи (%)</t>
  </si>
  <si>
    <t>3. Бюджетно салдо спрямо общите постъпления (%)</t>
  </si>
  <si>
    <t>4.2 Размер на дълга на човек от населението на общината по данни на НСИ (лв.)</t>
  </si>
  <si>
    <t>6. Население на един общински служител (бр.)</t>
  </si>
  <si>
    <t>7. Дял на разходите за заплати и осигуровки в общите разходи (%)</t>
  </si>
  <si>
    <t>8. Дял на капиталовите разходи в общите разходи (инвестиционна активност) (%)</t>
  </si>
  <si>
    <t>Общински приходи по чл. 45, ал. 1, т. 1 от ЗПФ (без §46, §47 и §48) (в лв.)</t>
  </si>
  <si>
    <t>Общински разходи по чл. 45, ал. 1, т. 2 от ЗПФ
(без §19) (в лв.)</t>
  </si>
  <si>
    <t>Бюджетно салдо (в лв.)</t>
  </si>
  <si>
    <t>Налични средства (в т.ч. преводи в процес на сетълмент) по бюджета (в лв.)</t>
  </si>
  <si>
    <t>Размер на общинския дълг (в лв.)</t>
  </si>
  <si>
    <t>Просрочени задължения по бюджет (в лв.)</t>
  </si>
  <si>
    <t>Задължения за разходи по бюджет (в лв.)</t>
  </si>
  <si>
    <t>Поети ангажименти за разходи по бюджет (в лв.)</t>
  </si>
  <si>
    <t>Събираемост на данък върху недвижимите имоти (%)</t>
  </si>
  <si>
    <t>Събираемост на данък върху превозните средства (%)</t>
  </si>
  <si>
    <t>Осреднена събираемост на двата данъка</t>
  </si>
  <si>
    <t xml:space="preserve">                          Периоди
   Общини</t>
  </si>
  <si>
    <t>Банско</t>
  </si>
  <si>
    <t>Белица</t>
  </si>
  <si>
    <t>Благоевград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</si>
  <si>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</si>
  <si>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</si>
  <si>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</si>
  <si>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</si>
  <si>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</si>
  <si>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</si>
  <si>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</si>
  <si>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</si>
  <si>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</si>
  <si>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</si>
  <si>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</si>
  <si>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</si>
  <si>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Бургас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</si>
  <si>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</si>
  <si>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</si>
  <si>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</si>
  <si>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</si>
  <si>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</si>
  <si>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</si>
  <si>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</si>
  <si>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</si>
  <si>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</si>
  <si>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</si>
  <si>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</si>
  <si>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Аврен</t>
  </si>
  <si>
    <t>Аксаково</t>
  </si>
  <si>
    <t>Белослав</t>
  </si>
  <si>
    <t>Бяла</t>
  </si>
  <si>
    <t>Варна</t>
  </si>
  <si>
    <t>Ветрино</t>
  </si>
  <si>
    <t>Вълчидол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</si>
  <si>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</si>
  <si>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</si>
  <si>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</si>
  <si>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</si>
  <si>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</si>
  <si>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</si>
  <si>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</si>
  <si>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</si>
  <si>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</si>
  <si>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</si>
  <si>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</si>
  <si>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</si>
  <si>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</si>
  <si>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</si>
  <si>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</si>
  <si>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Белоградчик</t>
  </si>
  <si>
    <t>Бойница</t>
  </si>
  <si>
    <t>Брегово</t>
  </si>
  <si>
    <t>Видин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</si>
  <si>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</si>
  <si>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</si>
  <si>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</si>
  <si>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</si>
  <si>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</si>
  <si>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</si>
  <si>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</si>
  <si>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Борован</t>
  </si>
  <si>
    <t>Бяла Слатина</t>
  </si>
  <si>
    <t>Враца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</si>
  <si>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</si>
  <si>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</si>
  <si>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</si>
  <si>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</si>
  <si>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</si>
  <si>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</si>
  <si>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</si>
  <si>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</si>
  <si>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</si>
  <si>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</si>
  <si>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</si>
  <si>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Балчик</t>
  </si>
  <si>
    <t>Генерал Тошево</t>
  </si>
  <si>
    <t>Добрич</t>
  </si>
  <si>
    <t>Добричка</t>
  </si>
  <si>
    <t>Каварна</t>
  </si>
  <si>
    <t>Крушари</t>
  </si>
  <si>
    <t>Тервел</t>
  </si>
  <si>
    <t>Шабла</t>
  </si>
  <si>
    <t>Ардино</t>
  </si>
  <si>
    <t>Джебел</t>
  </si>
  <si>
    <t>Кирково</t>
  </si>
  <si>
    <t>Крумовград</t>
  </si>
  <si>
    <t>Кърджали</t>
  </si>
  <si>
    <t>Момчилград</t>
  </si>
  <si>
    <t>Черноочене</t>
  </si>
  <si>
    <t>Бобов дол</t>
  </si>
  <si>
    <t>Бобошево</t>
  </si>
  <si>
    <t>Дупница</t>
  </si>
  <si>
    <t>Кочериново</t>
  </si>
  <si>
    <t>Кюстендил</t>
  </si>
  <si>
    <t>Невестино</t>
  </si>
  <si>
    <t>Рила</t>
  </si>
  <si>
    <t>Сапарева баня</t>
  </si>
  <si>
    <t>Трекляно</t>
  </si>
  <si>
    <t>Априлци</t>
  </si>
  <si>
    <t>Летница</t>
  </si>
  <si>
    <t>Ловеч</t>
  </si>
  <si>
    <t>Луковит</t>
  </si>
  <si>
    <t>Тетевен</t>
  </si>
  <si>
    <t>Троян</t>
  </si>
  <si>
    <t>Угърчин</t>
  </si>
  <si>
    <t>Ябланица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</si>
  <si>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</si>
  <si>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</si>
  <si>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</si>
  <si>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</si>
  <si>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</si>
  <si>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</si>
  <si>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</si>
  <si>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</si>
  <si>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Монтана</t>
  </si>
  <si>
    <t>Чипровци</t>
  </si>
  <si>
    <t>Якимово</t>
  </si>
  <si>
    <t>Батак</t>
  </si>
  <si>
    <t>Белово</t>
  </si>
  <si>
    <t>Брацигово</t>
  </si>
  <si>
    <t>Велинград</t>
  </si>
  <si>
    <t>Лесичово</t>
  </si>
  <si>
    <t>Пазарджик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</si>
  <si>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</si>
  <si>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</si>
  <si>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</si>
  <si>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</si>
  <si>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</si>
  <si>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</si>
  <si>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Брезник</t>
  </si>
  <si>
    <t>Земен</t>
  </si>
  <si>
    <t>Ковачевци</t>
  </si>
  <si>
    <t>Перник</t>
  </si>
  <si>
    <t>Радомир</t>
  </si>
  <si>
    <t>Трън</t>
  </si>
  <si>
    <t>Белене</t>
  </si>
  <si>
    <t>Гулянци</t>
  </si>
  <si>
    <t>Долна Митрополия</t>
  </si>
  <si>
    <t>Долни Дъбник</t>
  </si>
  <si>
    <t>Искър</t>
  </si>
  <si>
    <t>Левски</t>
  </si>
  <si>
    <t>Никопол</t>
  </si>
  <si>
    <t>Плевен</t>
  </si>
  <si>
    <t>Пордим</t>
  </si>
  <si>
    <t>Червен бряг</t>
  </si>
  <si>
    <t>Кнежа</t>
  </si>
  <si>
    <t>Асеновград</t>
  </si>
  <si>
    <t>Брезово</t>
  </si>
  <si>
    <t>Калояново</t>
  </si>
  <si>
    <t>Карлово</t>
  </si>
  <si>
    <t>Кричим</t>
  </si>
  <si>
    <t>Лъки</t>
  </si>
  <si>
    <t>Марица</t>
  </si>
  <si>
    <t>Перущица</t>
  </si>
  <si>
    <t>Пловдив</t>
  </si>
  <si>
    <t>Първомай</t>
  </si>
  <si>
    <t>Раковски</t>
  </si>
  <si>
    <t>Родопи</t>
  </si>
  <si>
    <t>Садово</t>
  </si>
  <si>
    <t>Стамболийски</t>
  </si>
  <si>
    <t>Съединение</t>
  </si>
  <si>
    <t>Хисаря</t>
  </si>
  <si>
    <t>Куклен</t>
  </si>
  <si>
    <t>Сопот</t>
  </si>
  <si>
    <t>Завет</t>
  </si>
  <si>
    <t>Исперих</t>
  </si>
  <si>
    <t>Кубрат</t>
  </si>
  <si>
    <t>Лозница</t>
  </si>
  <si>
    <t>Разград</t>
  </si>
  <si>
    <t>Самуил</t>
  </si>
  <si>
    <t>Цар Калоян</t>
  </si>
  <si>
    <t>Борово</t>
  </si>
  <si>
    <t>Ветово</t>
  </si>
  <si>
    <t>Две могили</t>
  </si>
  <si>
    <t>Иваново</t>
  </si>
  <si>
    <t>Русе</t>
  </si>
  <si>
    <t>Сливо поле</t>
  </si>
  <si>
    <t>Ценово</t>
  </si>
  <si>
    <t>Алфатар</t>
  </si>
  <si>
    <t>Главиница</t>
  </si>
  <si>
    <t>Дулово</t>
  </si>
  <si>
    <t>Кайнарджа</t>
  </si>
  <si>
    <t>Силистра</t>
  </si>
  <si>
    <t>Ситово</t>
  </si>
  <si>
    <t>Тутракан</t>
  </si>
  <si>
    <t>Котел</t>
  </si>
  <si>
    <t>Нова Загора</t>
  </si>
  <si>
    <t>Сливен</t>
  </si>
  <si>
    <t>Твърдица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</si>
  <si>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</si>
  <si>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</si>
  <si>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</si>
  <si>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</si>
  <si>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</si>
  <si>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</si>
  <si>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</si>
  <si>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</si>
  <si>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Смолян</t>
  </si>
  <si>
    <t>Чепеларе</t>
  </si>
  <si>
    <t>Столична община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</si>
  <si>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</si>
  <si>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</si>
  <si>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</si>
  <si>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</si>
  <si>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</si>
  <si>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</si>
  <si>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</si>
  <si>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</si>
  <si>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</si>
  <si>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</si>
  <si>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</si>
  <si>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</si>
  <si>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</si>
  <si>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</si>
  <si>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</si>
  <si>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</si>
  <si>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</si>
  <si>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</si>
  <si>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</si>
  <si>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</si>
  <si>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</si>
  <si>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</si>
  <si>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</si>
  <si>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</si>
  <si>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</si>
  <si>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</si>
  <si>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</si>
  <si>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</si>
  <si>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</si>
  <si>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</si>
  <si>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</si>
  <si>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Стара Загора</t>
  </si>
  <si>
    <t>Чирпан</t>
  </si>
  <si>
    <t>Антоново</t>
  </si>
  <si>
    <t>Омуртаг</t>
  </si>
  <si>
    <t>Опака</t>
  </si>
  <si>
    <t>Попово</t>
  </si>
  <si>
    <t>Търговище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</si>
  <si>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</si>
  <si>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</si>
  <si>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</si>
  <si>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</si>
  <si>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</si>
  <si>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</si>
  <si>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</si>
  <si>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</si>
  <si>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</si>
  <si>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</si>
  <si>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Хасково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</si>
  <si>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</si>
  <si>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</si>
  <si>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</si>
  <si>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</si>
  <si>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</si>
  <si>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</si>
  <si>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</si>
  <si>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</si>
  <si>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</si>
  <si>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Шумен</t>
  </si>
  <si>
    <t>Болярово</t>
  </si>
  <si>
    <t>Елхово</t>
  </si>
  <si>
    <t>Стралджа</t>
  </si>
  <si>
    <t>Тунджа</t>
  </si>
  <si>
    <t>Ямбол</t>
  </si>
  <si>
    <t>За страната:*</t>
  </si>
  <si>
    <t>Забележка: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</si>
  <si>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</si>
  <si>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</si>
  <si>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>Показатели по сметките за средства от ЕС</t>
  </si>
  <si>
    <t>1. Приходи - код 42 (в лв.)</t>
  </si>
  <si>
    <t>2. Разходи - код 42 (в лв.)</t>
  </si>
  <si>
    <t>3. Трансфери - код 42 (в лв.)</t>
  </si>
  <si>
    <t>4. Безлихвени заеми - код 42 (в лв.)</t>
  </si>
  <si>
    <t>5. Салдо - код 42 (в лв.)</t>
  </si>
  <si>
    <t>1. Приходи - код 98 (в лв.)</t>
  </si>
  <si>
    <t>2. Разходи - код 98 (в лв.)</t>
  </si>
  <si>
    <t>3. Трансфери - код 98 (в лв.)</t>
  </si>
  <si>
    <t>4. Безлихвени заеми - код 98 (в лв.)</t>
  </si>
  <si>
    <t>5. Салдо - код 98 (в лв.)</t>
  </si>
  <si>
    <t>6. Задължения към доставчици от страната - отчетна група "Сметки за средства от ЕС" (в лв.)</t>
  </si>
  <si>
    <t>7. Задължения към бюджетни организации за възстановяване на средства по донорски програми - отчетна група "Сметки за средства от ЕС" (в лв.)</t>
  </si>
  <si>
    <t>8. Поети ангажименти за разходи - отчетна група "Сметки за средства от ЕС" (в лв.)</t>
  </si>
  <si>
    <t>9. Просрочени задължения за разходи - отчетна група "Сметки за средства от ЕС" (в лв.)</t>
  </si>
  <si>
    <t>prev-trimester</t>
  </si>
  <si>
    <t>final-trimester</t>
  </si>
  <si>
    <t>current-trimester</t>
  </si>
  <si>
    <t>Q</t>
  </si>
  <si>
    <t>R</t>
  </si>
  <si>
    <t>S</t>
  </si>
  <si>
    <t>T</t>
  </si>
  <si>
    <t>BI</t>
  </si>
  <si>
    <t>U</t>
  </si>
  <si>
    <t>V</t>
  </si>
  <si>
    <t>W</t>
  </si>
  <si>
    <t>X</t>
  </si>
  <si>
    <t>D</t>
  </si>
  <si>
    <t>M</t>
  </si>
  <si>
    <t>G</t>
  </si>
  <si>
    <t>BL</t>
  </si>
  <si>
    <t>H</t>
  </si>
  <si>
    <t>J</t>
  </si>
  <si>
    <t>AF</t>
  </si>
  <si>
    <t>AG</t>
  </si>
  <si>
    <t>AW</t>
  </si>
  <si>
    <t>AX</t>
  </si>
  <si>
    <t>AY</t>
  </si>
  <si>
    <t>AH</t>
  </si>
  <si>
    <t>AI</t>
  </si>
  <si>
    <t>AJ</t>
  </si>
  <si>
    <t xml:space="preserve">                                                 Периоди
   Общини</t>
  </si>
  <si>
    <t>За страната**</t>
  </si>
  <si>
    <t>с увеличение - брой</t>
  </si>
  <si>
    <t>с намаление - брой</t>
  </si>
  <si>
    <t>размер на увеличението</t>
  </si>
  <si>
    <t>размер на намалението</t>
  </si>
  <si>
    <t>бр.над законовото ограничение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</si>
  <si>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</si>
  <si>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2024 Q4</t>
  </si>
  <si>
    <t>2025 Q2</t>
  </si>
  <si>
    <t>4.1-Размер на дълга, като процент от собствени приходи, изравнителна субсидия и други трансфери за местни дейности от ЦБ (по план) (%)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</si>
  <si>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</si>
  <si>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5. Просрочени задължения като процент от собствени приходи, изравнителна субсидия и други трансфери за местни дейности от ЦБ (%) (по план)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</si>
  <si>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</si>
  <si>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Дял на просрочените задължения по бюджета от планираните разходи за годината (%)</t>
  </si>
  <si>
    <t>Дял на просрочените задължения по бюджета от отчетените разходи за годината (%)</t>
  </si>
  <si>
    <t>Дял на задълженията за разходи по бюджета  от планираните разходи за годината (%)</t>
  </si>
  <si>
    <t>Дял на задълженията за разходи по бюджета  от средногодишните разходи за последните 4 години (%)</t>
  </si>
  <si>
    <t>Дял на поетите ангажименти по бюджета  от планираните разходи за годината (%)</t>
  </si>
  <si>
    <t>Дял на поетите ангажименти по бюджета  от средногодишните разходи за последните 4 години (%)</t>
  </si>
  <si>
    <t>2024 Q2</t>
  </si>
  <si>
    <t>Съотношение на задължения към доставчици от страната (гр. СЕС) към планираните разходи по бюджета на общината годината (%)</t>
  </si>
  <si>
    <t>Съотношение на задължения към доставчици от страната (гр. СЕС) към отчетените разходи по бюджета на общината за годината (%)</t>
  </si>
  <si>
    <t>Просрочени задължения към доставчици от страната (счет. сметка 9923 в гр. СЕС) към планираните разходи по бюджета на общината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</si>
  <si>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</si>
  <si>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Изменение 2025 Q2 спрямо 
2024 Q4</t>
  </si>
  <si>
    <t>Изменение 2025 Q2 спрямо 
2024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</si>
</sst>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лв.&quot;"/>
    <numFmt numFmtId="165" formatCode="0.0%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</cellStyleXfs>
  <cellXfs count="138">
    <xf numFmtId="0" fontId="0" fillId="0" borderId="0" xfId="0"/>
    <xf numFmtId="0" fontId="3" fillId="0" borderId="1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 wrapText="1"/>
    </xf>
    <xf numFmtId="0" fontId="3" fillId="0" borderId="3" xfId="1" applyFont="1" applyBorder="1" applyAlignment="1">
      <alignment horizontal="centerContinuous" vertical="center" wrapText="1"/>
    </xf>
    <xf numFmtId="0" fontId="3" fillId="0" borderId="4" xfId="1" applyFont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Continuous" vertical="center" wrapText="1"/>
    </xf>
    <xf numFmtId="0" fontId="3" fillId="0" borderId="0" xfId="1" applyFont="1"/>
    <xf numFmtId="0" fontId="3" fillId="0" borderId="6" xfId="1" quotePrefix="1" applyFont="1" applyBorder="1" applyAlignment="1">
      <alignment horizontal="centerContinuous" vertical="center" wrapText="1"/>
    </xf>
    <xf numFmtId="0" fontId="3" fillId="0" borderId="7" xfId="1" quotePrefix="1" applyFont="1" applyBorder="1" applyAlignment="1">
      <alignment horizontal="centerContinuous" vertical="center" wrapText="1"/>
    </xf>
    <xf numFmtId="14" fontId="3" fillId="0" borderId="8" xfId="1" applyNumberFormat="1" applyFont="1" applyBorder="1" applyAlignment="1">
      <alignment horizontal="center" vertical="center"/>
    </xf>
    <xf numFmtId="14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5" fillId="0" borderId="12" xfId="2" applyFont="1" applyBorder="1"/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3" fillId="0" borderId="13" xfId="1" applyNumberFormat="1" applyFont="1" applyBorder="1"/>
    <xf numFmtId="3" fontId="3" fillId="0" borderId="14" xfId="1" applyNumberFormat="1" applyFont="1" applyBorder="1"/>
    <xf numFmtId="3" fontId="3" fillId="0" borderId="15" xfId="3" applyNumberFormat="1" applyFont="1" applyFill="1" applyBorder="1" applyAlignment="1">
      <alignment horizontal="right"/>
    </xf>
    <xf numFmtId="3" fontId="3" fillId="0" borderId="16" xfId="3" applyNumberFormat="1" applyFont="1" applyFill="1" applyBorder="1" applyAlignment="1">
      <alignment horizontal="right"/>
    </xf>
    <xf numFmtId="0" fontId="3" fillId="0" borderId="17" xfId="1" applyFont="1" applyBorder="1" applyAlignment="1">
      <alignment horizontal="center"/>
    </xf>
    <xf numFmtId="0" fontId="5" fillId="0" borderId="18" xfId="2" applyFont="1" applyBorder="1"/>
    <xf numFmtId="10" fontId="3" fillId="0" borderId="19" xfId="1" applyNumberFormat="1" applyFont="1" applyBorder="1"/>
    <xf numFmtId="10" fontId="3" fillId="0" borderId="20" xfId="1" applyNumberFormat="1" applyFont="1" applyBorder="1"/>
    <xf numFmtId="10" fontId="3" fillId="0" borderId="21" xfId="1" applyNumberFormat="1" applyFont="1" applyBorder="1"/>
    <xf numFmtId="3" fontId="3" fillId="0" borderId="19" xfId="3" applyNumberFormat="1" applyFont="1" applyFill="1" applyBorder="1" applyAlignment="1">
      <alignment horizontal="right"/>
    </xf>
    <xf numFmtId="3" fontId="3" fillId="0" borderId="20" xfId="3" applyNumberFormat="1" applyFont="1" applyFill="1" applyBorder="1" applyAlignment="1">
      <alignment horizontal="right"/>
    </xf>
    <xf numFmtId="3" fontId="3" fillId="0" borderId="21" xfId="3" applyNumberFormat="1" applyFont="1" applyFill="1" applyBorder="1" applyAlignment="1">
      <alignment horizontal="right"/>
    </xf>
    <xf numFmtId="3" fontId="3" fillId="0" borderId="22" xfId="3" applyNumberFormat="1" applyFont="1" applyFill="1" applyBorder="1" applyAlignment="1">
      <alignment horizontal="right"/>
    </xf>
    <xf numFmtId="0" fontId="3" fillId="0" borderId="18" xfId="2" applyFont="1" applyBorder="1"/>
    <xf numFmtId="0" fontId="3" fillId="0" borderId="23" xfId="1" applyFont="1" applyBorder="1" applyAlignment="1">
      <alignment horizontal="center"/>
    </xf>
    <xf numFmtId="0" fontId="3" fillId="0" borderId="24" xfId="1" applyFont="1" applyBorder="1"/>
    <xf numFmtId="10" fontId="3" fillId="0" borderId="25" xfId="1" applyNumberFormat="1" applyFont="1" applyBorder="1"/>
    <xf numFmtId="10" fontId="3" fillId="0" borderId="26" xfId="1" applyNumberFormat="1" applyFont="1" applyBorder="1"/>
    <xf numFmtId="10" fontId="3" fillId="0" borderId="27" xfId="1" applyNumberFormat="1" applyFont="1" applyBorder="1"/>
    <xf numFmtId="3" fontId="3" fillId="0" borderId="25" xfId="3" applyNumberFormat="1" applyFont="1" applyFill="1" applyBorder="1" applyAlignment="1">
      <alignment horizontal="right"/>
    </xf>
    <xf numFmtId="3" fontId="3" fillId="0" borderId="26" xfId="3" applyNumberFormat="1" applyFont="1" applyFill="1" applyBorder="1" applyAlignment="1">
      <alignment horizontal="right"/>
    </xf>
    <xf numFmtId="3" fontId="3" fillId="0" borderId="27" xfId="3" applyNumberFormat="1" applyFont="1" applyFill="1" applyBorder="1" applyAlignment="1">
      <alignment horizontal="right"/>
    </xf>
    <xf numFmtId="3" fontId="3" fillId="0" borderId="28" xfId="3" applyNumberFormat="1" applyFont="1" applyFill="1" applyBorder="1" applyAlignment="1">
      <alignment horizontal="right"/>
    </xf>
    <xf numFmtId="0" fontId="6" fillId="0" borderId="29" xfId="1" applyFont="1" applyBorder="1"/>
    <xf numFmtId="0" fontId="6" fillId="0" borderId="30" xfId="1" applyFont="1" applyBorder="1"/>
    <xf numFmtId="10" fontId="6" fillId="0" borderId="8" xfId="1" applyNumberFormat="1" applyFont="1" applyBorder="1"/>
    <xf numFmtId="10" fontId="6" fillId="0" borderId="9" xfId="1" applyNumberFormat="1" applyFont="1" applyBorder="1"/>
    <xf numFmtId="10" fontId="6" fillId="0" borderId="10" xfId="1" applyNumberFormat="1" applyFont="1" applyBorder="1"/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3" fontId="6" fillId="0" borderId="10" xfId="3" applyNumberFormat="1" applyFont="1" applyFill="1" applyBorder="1" applyAlignment="1">
      <alignment horizontal="right"/>
    </xf>
    <xf numFmtId="3" fontId="6" fillId="0" borderId="31" xfId="3" applyNumberFormat="1" applyFont="1" applyFill="1" applyBorder="1" applyAlignment="1">
      <alignment horizontal="right"/>
    </xf>
    <xf numFmtId="0" fontId="6" fillId="0" borderId="0" xfId="1" applyFont="1"/>
    <xf numFmtId="0" fontId="7" fillId="0" borderId="0" xfId="1" applyFont="1" applyFill="1" applyBorder="1"/>
    <xf numFmtId="0" fontId="8" fillId="0" borderId="0" xfId="4" applyFont="1" applyFill="1" applyBorder="1"/>
    <xf numFmtId="0" fontId="9" fillId="0" borderId="0" xfId="4" applyFont="1" applyFill="1" applyBorder="1"/>
    <xf numFmtId="164" fontId="8" fillId="0" borderId="0" xfId="4" applyNumberFormat="1" applyFont="1" applyFill="1" applyBorder="1"/>
    <xf numFmtId="164" fontId="10" fillId="0" borderId="0" xfId="4" applyNumberFormat="1" applyFont="1" applyFill="1" applyBorder="1"/>
    <xf numFmtId="2" fontId="3" fillId="0" borderId="0" xfId="1" applyNumberFormat="1" applyFont="1"/>
    <xf numFmtId="10" fontId="3" fillId="0" borderId="0" xfId="1" applyNumberFormat="1" applyFont="1"/>
    <xf numFmtId="3" fontId="3" fillId="0" borderId="0" xfId="1" applyNumberFormat="1" applyFont="1"/>
    <xf numFmtId="0" fontId="3" fillId="0" borderId="32" xfId="1" quotePrefix="1" applyFont="1" applyBorder="1" applyAlignment="1">
      <alignment horizontal="centerContinuous" vertical="center" wrapText="1"/>
    </xf>
    <xf numFmtId="0" fontId="11" fillId="0" borderId="32" xfId="1" quotePrefix="1" applyFont="1" applyBorder="1" applyAlignment="1">
      <alignment horizontal="centerContinuous" vertical="center" wrapText="1"/>
    </xf>
    <xf numFmtId="0" fontId="12" fillId="0" borderId="0" xfId="2" applyFont="1"/>
    <xf numFmtId="0" fontId="12" fillId="0" borderId="0" xfId="2" applyFont="1" applyAlignment="1">
      <alignment vertical="center"/>
    </xf>
    <xf numFmtId="0" fontId="13" fillId="0" borderId="0" xfId="1" applyFont="1"/>
    <xf numFmtId="0" fontId="3" fillId="0" borderId="2" xfId="1" quotePrefix="1" applyFont="1" applyBorder="1" applyAlignment="1">
      <alignment horizontal="centerContinuous" vertical="center" wrapText="1"/>
    </xf>
    <xf numFmtId="0" fontId="3" fillId="0" borderId="3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0" fontId="3" fillId="0" borderId="4" xfId="1" applyFont="1" applyBorder="1" applyAlignment="1">
      <alignment horizontal="centerContinuous" vertical="center"/>
    </xf>
    <xf numFmtId="0" fontId="3" fillId="0" borderId="5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Continuous" vertical="center" wrapText="1"/>
    </xf>
    <xf numFmtId="0" fontId="3" fillId="2" borderId="3" xfId="1" applyFont="1" applyFill="1" applyBorder="1" applyAlignment="1">
      <alignment horizontal="centerContinuous" vertical="center" wrapText="1"/>
    </xf>
    <xf numFmtId="0" fontId="3" fillId="2" borderId="4" xfId="1" applyFont="1" applyFill="1" applyBorder="1" applyAlignment="1">
      <alignment horizontal="centerContinuous" vertical="center" wrapText="1"/>
    </xf>
    <xf numFmtId="0" fontId="3" fillId="0" borderId="0" xfId="1" applyFont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34" xfId="1" quotePrefix="1" applyFont="1" applyBorder="1" applyAlignment="1">
      <alignment horizontal="left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14" fillId="0" borderId="36" xfId="2" applyFont="1" applyBorder="1" applyAlignment="1">
      <alignment horizontal="center" vertical="center" wrapText="1"/>
    </xf>
    <xf numFmtId="0" fontId="14" fillId="0" borderId="37" xfId="2" applyFont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0" borderId="19" xfId="1" applyFont="1" applyBorder="1"/>
    <xf numFmtId="0" fontId="5" fillId="3" borderId="39" xfId="2" applyFont="1" applyFill="1" applyBorder="1"/>
    <xf numFmtId="3" fontId="3" fillId="0" borderId="19" xfId="1" applyNumberFormat="1" applyFont="1" applyBorder="1"/>
    <xf numFmtId="3" fontId="3" fillId="0" borderId="20" xfId="1" applyNumberFormat="1" applyFont="1" applyBorder="1"/>
    <xf numFmtId="3" fontId="3" fillId="0" borderId="21" xfId="3" applyNumberFormat="1" applyFont="1" applyFill="1" applyBorder="1"/>
    <xf numFmtId="3" fontId="3" fillId="0" borderId="20" xfId="3" applyNumberFormat="1" applyFont="1" applyFill="1" applyBorder="1"/>
    <xf numFmtId="3" fontId="3" fillId="0" borderId="39" xfId="1" applyNumberFormat="1" applyFont="1" applyBorder="1"/>
    <xf numFmtId="3" fontId="3" fillId="0" borderId="40" xfId="1" applyNumberFormat="1" applyFont="1" applyBorder="1"/>
    <xf numFmtId="3" fontId="3" fillId="0" borderId="16" xfId="1" applyNumberFormat="1" applyFont="1" applyBorder="1"/>
    <xf numFmtId="3" fontId="3" fillId="0" borderId="41" xfId="1" applyNumberFormat="1" applyFont="1" applyBorder="1"/>
    <xf numFmtId="3" fontId="3" fillId="0" borderId="15" xfId="1" applyNumberFormat="1" applyFont="1" applyBorder="1"/>
    <xf numFmtId="3" fontId="3" fillId="0" borderId="42" xfId="1" applyNumberFormat="1" applyFont="1" applyBorder="1"/>
    <xf numFmtId="3" fontId="3" fillId="0" borderId="21" xfId="1" applyNumberFormat="1" applyFont="1" applyBorder="1"/>
    <xf numFmtId="165" fontId="3" fillId="0" borderId="19" xfId="3" applyNumberFormat="1" applyFont="1" applyFill="1" applyBorder="1"/>
    <xf numFmtId="165" fontId="3" fillId="0" borderId="20" xfId="3" applyNumberFormat="1" applyFont="1" applyFill="1" applyBorder="1"/>
    <xf numFmtId="10" fontId="3" fillId="0" borderId="39" xfId="3" applyNumberFormat="1" applyFont="1" applyFill="1" applyBorder="1"/>
    <xf numFmtId="10" fontId="3" fillId="0" borderId="42" xfId="3" applyNumberFormat="1" applyFont="1" applyFill="1" applyBorder="1"/>
    <xf numFmtId="10" fontId="3" fillId="0" borderId="21" xfId="3" applyNumberFormat="1" applyFont="1" applyFill="1" applyBorder="1"/>
    <xf numFmtId="165" fontId="3" fillId="0" borderId="43" xfId="3" applyNumberFormat="1" applyFont="1" applyFill="1" applyBorder="1"/>
    <xf numFmtId="165" fontId="3" fillId="0" borderId="21" xfId="3" applyNumberFormat="1" applyFont="1" applyFill="1" applyBorder="1"/>
    <xf numFmtId="0" fontId="6" fillId="4" borderId="8" xfId="1" applyFont="1" applyFill="1" applyBorder="1"/>
    <xf numFmtId="0" fontId="6" fillId="4" borderId="35" xfId="1" applyFont="1" applyFill="1" applyBorder="1"/>
    <xf numFmtId="10" fontId="6" fillId="4" borderId="8" xfId="1" applyNumberFormat="1" applyFont="1" applyFill="1" applyBorder="1"/>
    <xf numFmtId="10" fontId="6" fillId="4" borderId="9" xfId="1" applyNumberFormat="1" applyFont="1" applyFill="1" applyBorder="1"/>
    <xf numFmtId="10" fontId="6" fillId="4" borderId="10" xfId="1" applyNumberFormat="1" applyFont="1" applyFill="1" applyBorder="1"/>
    <xf numFmtId="3" fontId="6" fillId="4" borderId="8" xfId="1" applyNumberFormat="1" applyFont="1" applyFill="1" applyBorder="1"/>
    <xf numFmtId="3" fontId="6" fillId="4" borderId="9" xfId="1" applyNumberFormat="1" applyFont="1" applyFill="1" applyBorder="1"/>
    <xf numFmtId="3" fontId="6" fillId="4" borderId="10" xfId="3" applyNumberFormat="1" applyFont="1" applyFill="1" applyBorder="1"/>
    <xf numFmtId="3" fontId="6" fillId="4" borderId="9" xfId="3" applyNumberFormat="1" applyFont="1" applyFill="1" applyBorder="1"/>
    <xf numFmtId="3" fontId="6" fillId="5" borderId="8" xfId="1" applyNumberFormat="1" applyFont="1" applyFill="1" applyBorder="1"/>
    <xf numFmtId="3" fontId="6" fillId="5" borderId="9" xfId="1" applyNumberFormat="1" applyFont="1" applyFill="1" applyBorder="1"/>
    <xf numFmtId="3" fontId="6" fillId="5" borderId="10" xfId="3" applyNumberFormat="1" applyFont="1" applyFill="1" applyBorder="1"/>
    <xf numFmtId="3" fontId="6" fillId="5" borderId="35" xfId="1" applyNumberFormat="1" applyFont="1" applyFill="1" applyBorder="1"/>
    <xf numFmtId="3" fontId="6" fillId="5" borderId="36" xfId="1" applyNumberFormat="1" applyFont="1" applyFill="1" applyBorder="1"/>
    <xf numFmtId="3" fontId="6" fillId="5" borderId="31" xfId="1" applyNumberFormat="1" applyFont="1" applyFill="1" applyBorder="1"/>
    <xf numFmtId="3" fontId="6" fillId="5" borderId="37" xfId="1" applyNumberFormat="1" applyFont="1" applyFill="1" applyBorder="1"/>
    <xf numFmtId="3" fontId="6" fillId="5" borderId="10" xfId="1" applyNumberFormat="1" applyFont="1" applyFill="1" applyBorder="1"/>
    <xf numFmtId="165" fontId="6" fillId="4" borderId="8" xfId="3" applyNumberFormat="1" applyFont="1" applyFill="1" applyBorder="1"/>
    <xf numFmtId="165" fontId="6" fillId="4" borderId="9" xfId="3" applyNumberFormat="1" applyFont="1" applyFill="1" applyBorder="1"/>
    <xf numFmtId="10" fontId="6" fillId="4" borderId="35" xfId="3" applyNumberFormat="1" applyFont="1" applyFill="1" applyBorder="1"/>
    <xf numFmtId="10" fontId="6" fillId="4" borderId="37" xfId="3" applyNumberFormat="1" applyFont="1" applyFill="1" applyBorder="1"/>
    <xf numFmtId="10" fontId="6" fillId="4" borderId="10" xfId="3" applyNumberFormat="1" applyFont="1" applyFill="1" applyBorder="1"/>
    <xf numFmtId="165" fontId="6" fillId="4" borderId="38" xfId="3" applyNumberFormat="1" applyFont="1" applyFill="1" applyBorder="1"/>
    <xf numFmtId="165" fontId="6" fillId="4" borderId="10" xfId="3" applyNumberFormat="1" applyFont="1" applyFill="1" applyBorder="1"/>
    <xf numFmtId="0" fontId="6" fillId="0" borderId="0" xfId="1" applyFont="1" applyFill="1"/>
    <xf numFmtId="0" fontId="3" fillId="0" borderId="44" xfId="1" applyFont="1" applyBorder="1"/>
    <xf numFmtId="2" fontId="3" fillId="0" borderId="44" xfId="1" applyNumberFormat="1" applyFont="1" applyBorder="1"/>
    <xf numFmtId="10" fontId="3" fillId="0" borderId="44" xfId="1" applyNumberFormat="1" applyFont="1" applyBorder="1"/>
    <xf numFmtId="0" fontId="3" fillId="0" borderId="45" xfId="1" applyFont="1" applyBorder="1"/>
    <xf numFmtId="2" fontId="3" fillId="0" borderId="45" xfId="1" applyNumberFormat="1" applyFont="1" applyBorder="1"/>
    <xf numFmtId="10" fontId="3" fillId="0" borderId="45" xfId="1" applyNumberFormat="1" applyFont="1" applyBorder="1"/>
    <xf numFmtId="3" fontId="3" fillId="0" borderId="45" xfId="1" applyNumberFormat="1" applyFont="1" applyBorder="1"/>
    <xf numFmtId="0" fontId="7" fillId="0" borderId="0" xfId="1" applyFont="1" applyFill="1" applyBorder="1" applyAlignment="1">
      <alignment horizontal="left" wrapText="1"/>
    </xf>
  </cellXfs>
  <cellStyles count="5">
    <cellStyle name="Normal" xfId="0" builtinId="0"/>
    <cellStyle name="Normal 13" xfId="4"/>
    <cellStyle name="Normal 2" xfId="2"/>
    <cellStyle name="Normal 2 2" xfId="1"/>
    <cellStyle name="Percent 2" xfId="3"/>
  </cellStyles>
  <dxfs count="10">
    <dxf>
      <numFmt numFmtId="166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6" formatCode="\-"/>
    </dxf>
    <dxf>
      <font>
        <color theme="0" tint="-0.34998626667073579"/>
      </font>
      <numFmt numFmtId="166" formatCode="\-"/>
    </dxf>
    <dxf>
      <font>
        <color theme="0" tint="-0.34998626667073579"/>
      </font>
      <numFmt numFmtId="166" formatCode="\-"/>
    </dxf>
    <dxf>
      <font>
        <color theme="0" tint="-0.34998626667073579"/>
      </font>
      <numFmt numFmtId="166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M274"/>
  <sheetViews>
    <sheetView showGridLines="0" tabSelected="1" zoomScaleNormal="100" workbookViewId="0">
      <pane xSplit="2" ySplit="2" topLeftCell="AU250" activePane="bottomRight" state="frozen"/>
      <selection activeCell="AX259" sqref="AX259"/>
      <selection pane="topRight" activeCell="AX259" sqref="AX259"/>
      <selection pane="bottomLeft" activeCell="AX259" sqref="AX259"/>
      <selection pane="bottomRight" activeCell="B1" sqref="B1"/>
    </sheetView>
  </sheetViews>
  <sheetFormatPr defaultColWidth="25.7109375" defaultRowHeight="11.25" x14ac:dyDescent="0.2"/>
  <cols>
    <col min="1" max="1" width="5" style="6" bestFit="1" customWidth="1"/>
    <col min="2" max="2" width="27" style="6" customWidth="1"/>
    <col min="3" max="11" width="11.42578125" style="6" customWidth="1"/>
    <col min="12" max="14" width="17.7109375" style="6" customWidth="1"/>
    <col min="15" max="17" width="11.42578125" style="6" customWidth="1"/>
    <col min="18" max="20" width="17.7109375" style="6" customWidth="1"/>
    <col min="21" max="23" width="11.42578125" style="56" customWidth="1"/>
    <col min="24" max="26" width="11.42578125" style="57" customWidth="1"/>
    <col min="27" max="49" width="11.42578125" style="6" customWidth="1"/>
    <col min="50" max="50" width="14" style="6" customWidth="1"/>
    <col min="51" max="52" width="11.42578125" style="6" customWidth="1"/>
    <col min="53" max="53" width="15.140625" style="6" customWidth="1"/>
    <col min="54" max="65" width="12" style="6" customWidth="1"/>
    <col min="66" max="16384" width="25.7109375" style="6"/>
  </cols>
  <sheetData>
    <row r="1" spans="1:65" ht="90.75" thickBot="1" x14ac:dyDescent="0.25">
      <c r="A1" s="1" t="s">
        <v>0</v>
      </c>
      <c r="B1" s="1"/>
      <c r="C1" s="2" t="s">
        <v>1</v>
      </c>
      <c r="D1" s="3"/>
      <c r="E1" s="4"/>
      <c r="F1" s="2" t="s">
        <v>2</v>
      </c>
      <c r="G1" s="3"/>
      <c r="H1" s="4"/>
      <c r="I1" s="2" t="s">
        <v>3</v>
      </c>
      <c r="J1" s="3"/>
      <c r="K1" s="4"/>
      <c r="L1" s="2" t="s">
        <v>339</v>
      </c>
      <c r="M1" s="3" t="s">
        <v>340</v>
      </c>
      <c r="N1" s="4" t="s">
        <v>339</v>
      </c>
      <c r="O1" s="2" t="s">
        <v>4</v>
      </c>
      <c r="P1" s="3"/>
      <c r="Q1" s="4"/>
      <c r="R1" s="2" t="s">
        <v>341</v>
      </c>
      <c r="S1" s="3" t="s">
        <v>342</v>
      </c>
      <c r="T1" s="4" t="s">
        <v>341</v>
      </c>
      <c r="U1" s="2" t="s">
        <v>5</v>
      </c>
      <c r="V1" s="3"/>
      <c r="W1" s="4"/>
      <c r="X1" s="2" t="s">
        <v>6</v>
      </c>
      <c r="Y1" s="3"/>
      <c r="Z1" s="4"/>
      <c r="AA1" s="2" t="s">
        <v>7</v>
      </c>
      <c r="AB1" s="3"/>
      <c r="AC1" s="4"/>
      <c r="AD1" s="2" t="s">
        <v>8</v>
      </c>
      <c r="AE1" s="3"/>
      <c r="AF1" s="4"/>
      <c r="AG1" s="2" t="s">
        <v>9</v>
      </c>
      <c r="AH1" s="3"/>
      <c r="AI1" s="4"/>
      <c r="AJ1" s="2" t="s">
        <v>10</v>
      </c>
      <c r="AK1" s="3"/>
      <c r="AL1" s="4"/>
      <c r="AM1" s="5" t="s">
        <v>11</v>
      </c>
      <c r="AN1" s="5"/>
      <c r="AO1" s="5"/>
      <c r="AP1" s="2" t="s">
        <v>12</v>
      </c>
      <c r="AQ1" s="3"/>
      <c r="AR1" s="4"/>
      <c r="AS1" s="2" t="s">
        <v>13</v>
      </c>
      <c r="AT1" s="3"/>
      <c r="AU1" s="4"/>
      <c r="AV1" s="2" t="s">
        <v>14</v>
      </c>
      <c r="AW1" s="3"/>
      <c r="AX1" s="4"/>
      <c r="AY1" s="2" t="s">
        <v>15</v>
      </c>
      <c r="AZ1" s="3"/>
      <c r="BA1" s="4"/>
      <c r="BB1" s="2" t="s">
        <v>343</v>
      </c>
      <c r="BC1" s="3" t="s">
        <v>344</v>
      </c>
      <c r="BD1" s="4" t="s">
        <v>343</v>
      </c>
      <c r="BE1" s="2" t="s">
        <v>345</v>
      </c>
      <c r="BF1" s="3" t="s">
        <v>346</v>
      </c>
      <c r="BG1" s="4" t="s">
        <v>345</v>
      </c>
      <c r="BH1" s="2" t="s">
        <v>347</v>
      </c>
      <c r="BI1" s="3" t="s">
        <v>348</v>
      </c>
      <c r="BJ1" s="4" t="s">
        <v>347</v>
      </c>
      <c r="BK1" s="2" t="s">
        <v>16</v>
      </c>
      <c r="BL1" s="3" t="s">
        <v>17</v>
      </c>
      <c r="BM1" s="4" t="s">
        <v>18</v>
      </c>
    </row>
    <row r="2" spans="1:65" s="12" customFormat="1" ht="23.25" thickBot="1" x14ac:dyDescent="0.3">
      <c r="A2" s="7" t="s">
        <v>19</v>
      </c>
      <c r="B2" s="8"/>
      <c r="C2" s="9" t="s">
        <v>349</v>
      </c>
      <c r="D2" s="10" t="s">
        <v>337</v>
      </c>
      <c r="E2" s="11" t="s">
        <v>338</v>
      </c>
      <c r="F2" s="9" t="s">
        <v>349</v>
      </c>
      <c r="G2" s="10" t="s">
        <v>337</v>
      </c>
      <c r="H2" s="11" t="s">
        <v>338</v>
      </c>
      <c r="I2" s="9" t="s">
        <v>349</v>
      </c>
      <c r="J2" s="10" t="s">
        <v>337</v>
      </c>
      <c r="K2" s="11" t="s">
        <v>338</v>
      </c>
      <c r="L2" s="9" t="s">
        <v>349</v>
      </c>
      <c r="M2" s="10" t="s">
        <v>337</v>
      </c>
      <c r="N2" s="11" t="s">
        <v>338</v>
      </c>
      <c r="O2" s="9" t="s">
        <v>349</v>
      </c>
      <c r="P2" s="10" t="s">
        <v>337</v>
      </c>
      <c r="Q2" s="11" t="s">
        <v>338</v>
      </c>
      <c r="R2" s="9" t="s">
        <v>349</v>
      </c>
      <c r="S2" s="10" t="s">
        <v>337</v>
      </c>
      <c r="T2" s="11" t="s">
        <v>338</v>
      </c>
      <c r="U2" s="9" t="s">
        <v>349</v>
      </c>
      <c r="V2" s="10" t="s">
        <v>337</v>
      </c>
      <c r="W2" s="11" t="s">
        <v>338</v>
      </c>
      <c r="X2" s="9" t="s">
        <v>349</v>
      </c>
      <c r="Y2" s="10" t="s">
        <v>337</v>
      </c>
      <c r="Z2" s="11" t="s">
        <v>338</v>
      </c>
      <c r="AA2" s="9" t="s">
        <v>349</v>
      </c>
      <c r="AB2" s="10" t="s">
        <v>337</v>
      </c>
      <c r="AC2" s="11" t="s">
        <v>338</v>
      </c>
      <c r="AD2" s="9" t="s">
        <v>349</v>
      </c>
      <c r="AE2" s="10" t="s">
        <v>337</v>
      </c>
      <c r="AF2" s="11" t="s">
        <v>338</v>
      </c>
      <c r="AG2" s="9" t="s">
        <v>349</v>
      </c>
      <c r="AH2" s="10" t="s">
        <v>337</v>
      </c>
      <c r="AI2" s="11" t="s">
        <v>338</v>
      </c>
      <c r="AJ2" s="9" t="s">
        <v>349</v>
      </c>
      <c r="AK2" s="10" t="s">
        <v>337</v>
      </c>
      <c r="AL2" s="11" t="s">
        <v>338</v>
      </c>
      <c r="AM2" s="9" t="s">
        <v>349</v>
      </c>
      <c r="AN2" s="10" t="s">
        <v>337</v>
      </c>
      <c r="AO2" s="11" t="s">
        <v>338</v>
      </c>
      <c r="AP2" s="9" t="s">
        <v>349</v>
      </c>
      <c r="AQ2" s="10" t="s">
        <v>337</v>
      </c>
      <c r="AR2" s="11" t="s">
        <v>338</v>
      </c>
      <c r="AS2" s="9" t="s">
        <v>349</v>
      </c>
      <c r="AT2" s="10" t="s">
        <v>337</v>
      </c>
      <c r="AU2" s="11" t="s">
        <v>338</v>
      </c>
      <c r="AV2" s="9" t="s">
        <v>349</v>
      </c>
      <c r="AW2" s="10" t="s">
        <v>337</v>
      </c>
      <c r="AX2" s="11" t="s">
        <v>338</v>
      </c>
      <c r="AY2" s="9" t="s">
        <v>349</v>
      </c>
      <c r="AZ2" s="10" t="s">
        <v>337</v>
      </c>
      <c r="BA2" s="11" t="s">
        <v>338</v>
      </c>
      <c r="BB2" s="9" t="s">
        <v>349</v>
      </c>
      <c r="BC2" s="10" t="s">
        <v>337</v>
      </c>
      <c r="BD2" s="11" t="s">
        <v>338</v>
      </c>
      <c r="BE2" s="9" t="s">
        <v>349</v>
      </c>
      <c r="BF2" s="10" t="s">
        <v>337</v>
      </c>
      <c r="BG2" s="11" t="s">
        <v>338</v>
      </c>
      <c r="BH2" s="9" t="s">
        <v>349</v>
      </c>
      <c r="BI2" s="10" t="s">
        <v>337</v>
      </c>
      <c r="BJ2" s="11" t="s">
        <v>338</v>
      </c>
      <c r="BK2" s="9" t="s">
        <v>337</v>
      </c>
      <c r="BL2" s="10" t="s">
        <v>337</v>
      </c>
      <c r="BM2" s="11" t="s">
        <v>337</v>
      </c>
    </row>
    <row r="3" spans="1:65" x14ac:dyDescent="0.2">
      <c r="A3" s="13">
        <v>5101</v>
      </c>
      <c r="B3" s="14" t="s">
        <v>20</v>
      </c>
      <c r="C3" s="15">
        <v>0.44582370999289206</v>
      </c>
      <c r="D3" s="16">
        <v>0.3182966478306567</v>
      </c>
      <c r="E3" s="17">
        <v>0.47921213952921293</v>
      </c>
      <c r="F3" s="15">
        <v>1.4328114407990917</v>
      </c>
      <c r="G3" s="16">
        <v>0.69676344931863488</v>
      </c>
      <c r="H3" s="17">
        <v>1.639048935467899</v>
      </c>
      <c r="I3" s="15">
        <v>0.17551203651173042</v>
      </c>
      <c r="J3" s="16">
        <v>3.5197034173441694E-2</v>
      </c>
      <c r="K3" s="17">
        <v>0.28794113569107543</v>
      </c>
      <c r="L3" s="15">
        <v>0.12715624128344111</v>
      </c>
      <c r="M3" s="16">
        <v>9.2846364751686894E-2</v>
      </c>
      <c r="N3" s="17">
        <v>6.4603560100764582E-2</v>
      </c>
      <c r="O3" s="18">
        <v>134</v>
      </c>
      <c r="P3" s="19">
        <v>112</v>
      </c>
      <c r="Q3" s="20">
        <v>83</v>
      </c>
      <c r="R3" s="15">
        <v>0</v>
      </c>
      <c r="S3" s="16">
        <v>0</v>
      </c>
      <c r="T3" s="17">
        <v>0</v>
      </c>
      <c r="U3" s="18">
        <v>104.45238095238095</v>
      </c>
      <c r="V3" s="19">
        <v>110.59663865546219</v>
      </c>
      <c r="W3" s="20">
        <v>113.65546218487395</v>
      </c>
      <c r="X3" s="15">
        <v>0.5682535414390123</v>
      </c>
      <c r="Y3" s="16">
        <v>0.47545074011964539</v>
      </c>
      <c r="Z3" s="17">
        <v>0.57734337640831479</v>
      </c>
      <c r="AA3" s="15">
        <v>8.8216739663641075E-2</v>
      </c>
      <c r="AB3" s="16">
        <v>0.2530306319795263</v>
      </c>
      <c r="AC3" s="17">
        <v>0.1080755551824075</v>
      </c>
      <c r="AD3" s="18">
        <v>9297896</v>
      </c>
      <c r="AE3" s="19">
        <v>15745165</v>
      </c>
      <c r="AF3" s="20">
        <v>11917197</v>
      </c>
      <c r="AG3" s="18">
        <v>16601373</v>
      </c>
      <c r="AH3" s="19">
        <v>46281436</v>
      </c>
      <c r="AI3" s="20">
        <v>18628292</v>
      </c>
      <c r="AJ3" s="18">
        <v>3660399</v>
      </c>
      <c r="AK3" s="19">
        <v>1741090</v>
      </c>
      <c r="AL3" s="20">
        <v>7160610</v>
      </c>
      <c r="AM3" s="21">
        <v>8787967</v>
      </c>
      <c r="AN3" s="21">
        <v>6621362</v>
      </c>
      <c r="AO3" s="21">
        <v>13419442</v>
      </c>
      <c r="AP3" s="18">
        <v>1762400</v>
      </c>
      <c r="AQ3" s="19">
        <v>1474592</v>
      </c>
      <c r="AR3" s="20">
        <v>1123856</v>
      </c>
      <c r="AS3" s="18">
        <v>0</v>
      </c>
      <c r="AT3" s="19">
        <v>0</v>
      </c>
      <c r="AU3" s="20">
        <v>0</v>
      </c>
      <c r="AV3" s="18">
        <v>218874.12999999966</v>
      </c>
      <c r="AW3" s="19">
        <v>5412499.79</v>
      </c>
      <c r="AX3" s="20">
        <v>3187369.5300000003</v>
      </c>
      <c r="AY3" s="18">
        <v>27987521.509999998</v>
      </c>
      <c r="AZ3" s="19">
        <v>24622020.630000003</v>
      </c>
      <c r="BA3" s="20">
        <v>19157035.23</v>
      </c>
      <c r="BB3" s="15">
        <v>0</v>
      </c>
      <c r="BC3" s="16">
        <v>0</v>
      </c>
      <c r="BD3" s="17">
        <v>0</v>
      </c>
      <c r="BE3" s="15">
        <v>5.5448727083434422E-3</v>
      </c>
      <c r="BF3" s="16">
        <v>0.13487544436009555</v>
      </c>
      <c r="BG3" s="17">
        <v>6.8901830425297669E-2</v>
      </c>
      <c r="BH3" s="15">
        <v>0.70902506474828375</v>
      </c>
      <c r="BI3" s="16">
        <v>0.61356232838111391</v>
      </c>
      <c r="BJ3" s="17">
        <v>0.41412041510885411</v>
      </c>
      <c r="BK3" s="15">
        <v>0.72069000000000005</v>
      </c>
      <c r="BL3" s="16">
        <v>0.78759000000000001</v>
      </c>
      <c r="BM3" s="17">
        <v>0.75409999999999999</v>
      </c>
    </row>
    <row r="4" spans="1:65" x14ac:dyDescent="0.2">
      <c r="A4" s="22">
        <v>5102</v>
      </c>
      <c r="B4" s="23" t="s">
        <v>21</v>
      </c>
      <c r="C4" s="24">
        <v>7.8253265863695257E-2</v>
      </c>
      <c r="D4" s="25">
        <v>5.6411103120748193E-2</v>
      </c>
      <c r="E4" s="26">
        <v>9.1310684935438979E-2</v>
      </c>
      <c r="F4" s="24">
        <v>0.21617618485064374</v>
      </c>
      <c r="G4" s="25">
        <v>0.13787179081926068</v>
      </c>
      <c r="H4" s="26">
        <v>0.16616779195597353</v>
      </c>
      <c r="I4" s="24">
        <v>6.2323484467042618E-2</v>
      </c>
      <c r="J4" s="25">
        <v>0.13541654268266154</v>
      </c>
      <c r="K4" s="26">
        <v>-3.6911691590990954E-2</v>
      </c>
      <c r="L4" s="24">
        <v>0</v>
      </c>
      <c r="M4" s="25">
        <v>0</v>
      </c>
      <c r="N4" s="26">
        <v>0</v>
      </c>
      <c r="O4" s="27">
        <v>0</v>
      </c>
      <c r="P4" s="28">
        <v>0</v>
      </c>
      <c r="Q4" s="29">
        <v>0</v>
      </c>
      <c r="R4" s="24">
        <v>0</v>
      </c>
      <c r="S4" s="25">
        <v>0</v>
      </c>
      <c r="T4" s="26">
        <v>0</v>
      </c>
      <c r="U4" s="27">
        <v>219.02439024390245</v>
      </c>
      <c r="V4" s="28">
        <v>219.02439024390245</v>
      </c>
      <c r="W4" s="29">
        <v>217.63414634146341</v>
      </c>
      <c r="X4" s="24">
        <v>0.60150064819436277</v>
      </c>
      <c r="Y4" s="25">
        <v>0.48143576007043204</v>
      </c>
      <c r="Z4" s="26">
        <v>0.48178685861472437</v>
      </c>
      <c r="AA4" s="24">
        <v>0.14707362620407388</v>
      </c>
      <c r="AB4" s="25">
        <v>0.29638462965000834</v>
      </c>
      <c r="AC4" s="26">
        <v>0.30539534614720765</v>
      </c>
      <c r="AD4" s="27">
        <v>764343</v>
      </c>
      <c r="AE4" s="28">
        <v>1663546</v>
      </c>
      <c r="AF4" s="29">
        <v>1170628</v>
      </c>
      <c r="AG4" s="27">
        <v>9106065</v>
      </c>
      <c r="AH4" s="28">
        <v>25144229</v>
      </c>
      <c r="AI4" s="29">
        <v>13279148</v>
      </c>
      <c r="AJ4" s="27">
        <v>608748</v>
      </c>
      <c r="AK4" s="28">
        <v>3993392</v>
      </c>
      <c r="AL4" s="29">
        <v>-473218</v>
      </c>
      <c r="AM4" s="30">
        <v>11735752</v>
      </c>
      <c r="AN4" s="30">
        <v>15159941</v>
      </c>
      <c r="AO4" s="30">
        <v>14718802</v>
      </c>
      <c r="AP4" s="27">
        <v>0</v>
      </c>
      <c r="AQ4" s="28">
        <v>0</v>
      </c>
      <c r="AR4" s="29">
        <v>0</v>
      </c>
      <c r="AS4" s="27">
        <v>0</v>
      </c>
      <c r="AT4" s="28">
        <v>0</v>
      </c>
      <c r="AU4" s="29">
        <v>0</v>
      </c>
      <c r="AV4" s="27">
        <v>46.430000000167638</v>
      </c>
      <c r="AW4" s="28">
        <v>674713.73999999906</v>
      </c>
      <c r="AX4" s="29">
        <v>3548.4799999999814</v>
      </c>
      <c r="AY4" s="27">
        <v>9076687.3300000001</v>
      </c>
      <c r="AZ4" s="28">
        <v>25221801.549999997</v>
      </c>
      <c r="BA4" s="29">
        <v>21635004.57</v>
      </c>
      <c r="BB4" s="24">
        <v>0</v>
      </c>
      <c r="BC4" s="25">
        <v>0</v>
      </c>
      <c r="BD4" s="26">
        <v>0</v>
      </c>
      <c r="BE4" s="24">
        <v>1.6245232970624937E-6</v>
      </c>
      <c r="BF4" s="25">
        <v>3.7051438782352029E-2</v>
      </c>
      <c r="BG4" s="26">
        <v>9.7146268144155569E-5</v>
      </c>
      <c r="BH4" s="24">
        <v>0.31758109040886762</v>
      </c>
      <c r="BI4" s="25">
        <v>1.3850378030102923</v>
      </c>
      <c r="BJ4" s="26">
        <v>0.59229866175299339</v>
      </c>
      <c r="BK4" s="24">
        <v>0.82013999999999998</v>
      </c>
      <c r="BL4" s="25">
        <v>0.77202999999999999</v>
      </c>
      <c r="BM4" s="26">
        <v>0.79610000000000003</v>
      </c>
    </row>
    <row r="5" spans="1:65" x14ac:dyDescent="0.2">
      <c r="A5" s="22">
        <v>5103</v>
      </c>
      <c r="B5" s="23" t="s">
        <v>22</v>
      </c>
      <c r="C5" s="24">
        <v>0.22825645610978146</v>
      </c>
      <c r="D5" s="25">
        <v>0.22726865442417232</v>
      </c>
      <c r="E5" s="26">
        <v>0.26059993531377468</v>
      </c>
      <c r="F5" s="24">
        <v>0.86556720366907869</v>
      </c>
      <c r="G5" s="25">
        <v>0.75835184937197153</v>
      </c>
      <c r="H5" s="26">
        <v>1.0733277695206691</v>
      </c>
      <c r="I5" s="24">
        <v>0.11838376073086526</v>
      </c>
      <c r="J5" s="25">
        <v>-1.0776328089410449E-2</v>
      </c>
      <c r="K5" s="26">
        <v>0.12892463513949981</v>
      </c>
      <c r="L5" s="24">
        <v>0.637544684254719</v>
      </c>
      <c r="M5" s="25">
        <v>0.58694849253637027</v>
      </c>
      <c r="N5" s="26">
        <v>0.47919963524142978</v>
      </c>
      <c r="O5" s="27">
        <v>322</v>
      </c>
      <c r="P5" s="28">
        <v>321</v>
      </c>
      <c r="Q5" s="29">
        <v>304</v>
      </c>
      <c r="R5" s="24">
        <v>2.6221894195714142E-2</v>
      </c>
      <c r="S5" s="25">
        <v>5.7633277436160382E-2</v>
      </c>
      <c r="T5" s="26">
        <v>1.5066589306891283E-2</v>
      </c>
      <c r="U5" s="27">
        <v>431.34375</v>
      </c>
      <c r="V5" s="28">
        <v>423.40490797546011</v>
      </c>
      <c r="W5" s="29">
        <v>422.34756097560978</v>
      </c>
      <c r="X5" s="24">
        <v>0.69823282379917084</v>
      </c>
      <c r="Y5" s="25">
        <v>0.68486671869172955</v>
      </c>
      <c r="Z5" s="26">
        <v>0.73050195100230908</v>
      </c>
      <c r="AA5" s="24">
        <v>8.1492176214189804E-2</v>
      </c>
      <c r="AB5" s="25">
        <v>0.10883541194766409</v>
      </c>
      <c r="AC5" s="26">
        <v>2.7774010007442437E-2</v>
      </c>
      <c r="AD5" s="27">
        <v>18529771</v>
      </c>
      <c r="AE5" s="28">
        <v>34997316</v>
      </c>
      <c r="AF5" s="29">
        <v>24575738</v>
      </c>
      <c r="AG5" s="27">
        <v>72975349</v>
      </c>
      <c r="AH5" s="28">
        <v>160512380</v>
      </c>
      <c r="AI5" s="29">
        <v>80006056</v>
      </c>
      <c r="AJ5" s="27">
        <v>9610348</v>
      </c>
      <c r="AK5" s="28">
        <v>-1659457</v>
      </c>
      <c r="AL5" s="29">
        <v>12158169</v>
      </c>
      <c r="AM5" s="30">
        <v>19507808</v>
      </c>
      <c r="AN5" s="30">
        <v>8501244</v>
      </c>
      <c r="AO5" s="30">
        <v>19366787</v>
      </c>
      <c r="AP5" s="27">
        <v>22200829</v>
      </c>
      <c r="AQ5" s="28">
        <v>22143463</v>
      </c>
      <c r="AR5" s="29">
        <v>21034629</v>
      </c>
      <c r="AS5" s="27">
        <v>913109</v>
      </c>
      <c r="AT5" s="28">
        <v>2174297</v>
      </c>
      <c r="AU5" s="29">
        <v>661353</v>
      </c>
      <c r="AV5" s="27">
        <v>2500448.6199999992</v>
      </c>
      <c r="AW5" s="28">
        <v>5823154.6999999993</v>
      </c>
      <c r="AX5" s="29">
        <v>3796529.58</v>
      </c>
      <c r="AY5" s="27">
        <v>49793498.359999999</v>
      </c>
      <c r="AZ5" s="28">
        <v>42307273.850000001</v>
      </c>
      <c r="BA5" s="29">
        <v>73687789.730000004</v>
      </c>
      <c r="BB5" s="24">
        <v>5.998040996452461E-3</v>
      </c>
      <c r="BC5" s="25">
        <v>1.3545976952058152E-2</v>
      </c>
      <c r="BD5" s="26">
        <v>3.7708234204868627E-3</v>
      </c>
      <c r="BE5" s="24">
        <v>1.642497591446692E-2</v>
      </c>
      <c r="BF5" s="25">
        <v>4.7092860966934776E-2</v>
      </c>
      <c r="BG5" s="26">
        <v>2.1646598196175346E-2</v>
      </c>
      <c r="BH5" s="24">
        <v>0.32708410991466336</v>
      </c>
      <c r="BI5" s="25">
        <v>0.34214625369786</v>
      </c>
      <c r="BJ5" s="26">
        <v>0.42014422451821543</v>
      </c>
      <c r="BK5" s="24">
        <v>0.85255000000000003</v>
      </c>
      <c r="BL5" s="25">
        <v>0.68218000000000001</v>
      </c>
      <c r="BM5" s="26">
        <v>0.76739999999999997</v>
      </c>
    </row>
    <row r="6" spans="1:65" x14ac:dyDescent="0.2">
      <c r="A6" s="22">
        <v>5104</v>
      </c>
      <c r="B6" s="23" t="s">
        <v>23</v>
      </c>
      <c r="C6" s="24">
        <v>0.14628762179986884</v>
      </c>
      <c r="D6" s="25">
        <v>0.14684057963048935</v>
      </c>
      <c r="E6" s="26">
        <v>0.15433612935931193</v>
      </c>
      <c r="F6" s="24">
        <v>0.48714200190240559</v>
      </c>
      <c r="G6" s="25">
        <v>0.45987052257820549</v>
      </c>
      <c r="H6" s="26">
        <v>0.51822746827702171</v>
      </c>
      <c r="I6" s="24">
        <v>8.0669634155965647E-2</v>
      </c>
      <c r="J6" s="25">
        <v>-6.7722208269973081E-3</v>
      </c>
      <c r="K6" s="26">
        <v>0.13271202363715914</v>
      </c>
      <c r="L6" s="24">
        <v>0.63803889943014969</v>
      </c>
      <c r="M6" s="25">
        <v>0.39925076115436325</v>
      </c>
      <c r="N6" s="26">
        <v>0.4358386394484845</v>
      </c>
      <c r="O6" s="27">
        <v>250</v>
      </c>
      <c r="P6" s="28">
        <v>175</v>
      </c>
      <c r="Q6" s="29">
        <v>180</v>
      </c>
      <c r="R6" s="24">
        <v>3.2366831017895295E-2</v>
      </c>
      <c r="S6" s="25">
        <v>2.8945646003087064E-2</v>
      </c>
      <c r="T6" s="26">
        <v>3.0711033767690073E-2</v>
      </c>
      <c r="U6" s="27">
        <v>273.70476190476188</v>
      </c>
      <c r="V6" s="28">
        <v>273.70476190476188</v>
      </c>
      <c r="W6" s="29">
        <v>269.61502347417843</v>
      </c>
      <c r="X6" s="24">
        <v>0.64232670822278792</v>
      </c>
      <c r="Y6" s="25">
        <v>0.67118865000158079</v>
      </c>
      <c r="Z6" s="26">
        <v>0.68339196226762944</v>
      </c>
      <c r="AA6" s="24">
        <v>9.8618332204720008E-2</v>
      </c>
      <c r="AB6" s="25">
        <v>8.5792057820803388E-2</v>
      </c>
      <c r="AC6" s="26">
        <v>5.8428470958522216E-2</v>
      </c>
      <c r="AD6" s="27">
        <v>5173564</v>
      </c>
      <c r="AE6" s="28">
        <v>9404234</v>
      </c>
      <c r="AF6" s="29">
        <v>6297253</v>
      </c>
      <c r="AG6" s="27">
        <v>30927333</v>
      </c>
      <c r="AH6" s="28">
        <v>66517789</v>
      </c>
      <c r="AI6" s="29">
        <v>34258966</v>
      </c>
      <c r="AJ6" s="27">
        <v>2852938</v>
      </c>
      <c r="AK6" s="28">
        <v>-433719</v>
      </c>
      <c r="AL6" s="29">
        <v>5414942</v>
      </c>
      <c r="AM6" s="30">
        <v>8489118</v>
      </c>
      <c r="AN6" s="30">
        <v>3116703</v>
      </c>
      <c r="AO6" s="30">
        <v>8918413</v>
      </c>
      <c r="AP6" s="27">
        <v>7178256</v>
      </c>
      <c r="AQ6" s="28">
        <v>5022668</v>
      </c>
      <c r="AR6" s="29">
        <v>5167771</v>
      </c>
      <c r="AS6" s="27">
        <v>364143</v>
      </c>
      <c r="AT6" s="28">
        <v>364143</v>
      </c>
      <c r="AU6" s="29">
        <v>364143</v>
      </c>
      <c r="AV6" s="27">
        <v>4036402.6900000004</v>
      </c>
      <c r="AW6" s="28">
        <v>3909845.0699999966</v>
      </c>
      <c r="AX6" s="29">
        <v>4337936.879999999</v>
      </c>
      <c r="AY6" s="27">
        <v>23986716.690000001</v>
      </c>
      <c r="AZ6" s="28">
        <v>29581352.720000003</v>
      </c>
      <c r="BA6" s="29">
        <v>35345665.420000002</v>
      </c>
      <c r="BB6" s="24">
        <v>5.7325242649515816E-3</v>
      </c>
      <c r="BC6" s="25">
        <v>5.4743701718648523E-3</v>
      </c>
      <c r="BD6" s="26">
        <v>5.2128744655859927E-3</v>
      </c>
      <c r="BE6" s="24">
        <v>6.3543103570687445E-2</v>
      </c>
      <c r="BF6" s="25">
        <v>7.0858334675798523E-2</v>
      </c>
      <c r="BG6" s="26">
        <v>6.2099560873271661E-2</v>
      </c>
      <c r="BH6" s="24">
        <v>0.37761109086799438</v>
      </c>
      <c r="BI6" s="25">
        <v>0.53610446288006108</v>
      </c>
      <c r="BJ6" s="26">
        <v>0.50598945122400762</v>
      </c>
      <c r="BK6" s="24">
        <v>0.83928000000000003</v>
      </c>
      <c r="BL6" s="25">
        <v>0.75285999999999997</v>
      </c>
      <c r="BM6" s="26">
        <v>0.79610000000000003</v>
      </c>
    </row>
    <row r="7" spans="1:65" x14ac:dyDescent="0.2">
      <c r="A7" s="22">
        <v>5105</v>
      </c>
      <c r="B7" s="23" t="s">
        <v>24</v>
      </c>
      <c r="C7" s="24">
        <v>9.6773099141489266E-2</v>
      </c>
      <c r="D7" s="25">
        <v>0.10226832638365817</v>
      </c>
      <c r="E7" s="26">
        <v>0.11704703676724561</v>
      </c>
      <c r="F7" s="24">
        <v>0.34516954421731338</v>
      </c>
      <c r="G7" s="25">
        <v>0.38609968941682304</v>
      </c>
      <c r="H7" s="26">
        <v>0.56627909487383232</v>
      </c>
      <c r="I7" s="24">
        <v>0.10389238701293686</v>
      </c>
      <c r="J7" s="25">
        <v>1.6086687761843577E-2</v>
      </c>
      <c r="K7" s="26">
        <v>0.14143069053621074</v>
      </c>
      <c r="L7" s="24">
        <v>0</v>
      </c>
      <c r="M7" s="25">
        <v>0</v>
      </c>
      <c r="N7" s="26">
        <v>0</v>
      </c>
      <c r="O7" s="27">
        <v>0</v>
      </c>
      <c r="P7" s="28">
        <v>0</v>
      </c>
      <c r="Q7" s="29">
        <v>0</v>
      </c>
      <c r="R7" s="24">
        <v>0</v>
      </c>
      <c r="S7" s="25">
        <v>0</v>
      </c>
      <c r="T7" s="26">
        <v>0</v>
      </c>
      <c r="U7" s="27">
        <v>250.37288135593221</v>
      </c>
      <c r="V7" s="28">
        <v>250.37288135593221</v>
      </c>
      <c r="W7" s="29">
        <v>250.94915254237287</v>
      </c>
      <c r="X7" s="24">
        <v>0.54932030756647121</v>
      </c>
      <c r="Y7" s="25">
        <v>0.56199974744448566</v>
      </c>
      <c r="Z7" s="26">
        <v>0.66639416095071324</v>
      </c>
      <c r="AA7" s="24">
        <v>0.24515721821733658</v>
      </c>
      <c r="AB7" s="25">
        <v>0.26128048787672004</v>
      </c>
      <c r="AC7" s="26">
        <v>8.8105538719998891E-2</v>
      </c>
      <c r="AD7" s="27">
        <v>1734274</v>
      </c>
      <c r="AE7" s="28">
        <v>3988504</v>
      </c>
      <c r="AF7" s="29">
        <v>2124383</v>
      </c>
      <c r="AG7" s="27">
        <v>15854524</v>
      </c>
      <c r="AH7" s="28">
        <v>38193583</v>
      </c>
      <c r="AI7" s="29">
        <v>15125065</v>
      </c>
      <c r="AJ7" s="27">
        <v>1861859</v>
      </c>
      <c r="AK7" s="28">
        <v>627387</v>
      </c>
      <c r="AL7" s="29">
        <v>2566942</v>
      </c>
      <c r="AM7" s="30">
        <v>4755241</v>
      </c>
      <c r="AN7" s="30">
        <v>3607052</v>
      </c>
      <c r="AO7" s="30">
        <v>5915197</v>
      </c>
      <c r="AP7" s="27">
        <v>0</v>
      </c>
      <c r="AQ7" s="28">
        <v>0</v>
      </c>
      <c r="AR7" s="29">
        <v>0</v>
      </c>
      <c r="AS7" s="27">
        <v>0</v>
      </c>
      <c r="AT7" s="28">
        <v>0</v>
      </c>
      <c r="AU7" s="29">
        <v>0</v>
      </c>
      <c r="AV7" s="27">
        <v>119525.36000000034</v>
      </c>
      <c r="AW7" s="28">
        <v>718068.17000000039</v>
      </c>
      <c r="AX7" s="29">
        <v>132123.58000000025</v>
      </c>
      <c r="AY7" s="27">
        <v>18295306.190000001</v>
      </c>
      <c r="AZ7" s="28">
        <v>21128916.460000001</v>
      </c>
      <c r="BA7" s="29">
        <v>19484757.359999999</v>
      </c>
      <c r="BB7" s="24">
        <v>0</v>
      </c>
      <c r="BC7" s="25">
        <v>0</v>
      </c>
      <c r="BD7" s="26">
        <v>0</v>
      </c>
      <c r="BE7" s="24">
        <v>3.6265387256583172E-3</v>
      </c>
      <c r="BF7" s="25">
        <v>2.3086783145470427E-2</v>
      </c>
      <c r="BG7" s="26">
        <v>3.7356336658443587E-3</v>
      </c>
      <c r="BH7" s="24">
        <v>0.55510091244076687</v>
      </c>
      <c r="BI7" s="25">
        <v>0.67932089568986243</v>
      </c>
      <c r="BJ7" s="26">
        <v>0.550907836169929</v>
      </c>
      <c r="BK7" s="24">
        <v>0.80613000000000001</v>
      </c>
      <c r="BL7" s="25">
        <v>0.72360000000000002</v>
      </c>
      <c r="BM7" s="26">
        <v>0.76490000000000002</v>
      </c>
    </row>
    <row r="8" spans="1:65" x14ac:dyDescent="0.2">
      <c r="A8" s="22">
        <v>5106</v>
      </c>
      <c r="B8" s="23" t="s">
        <v>25</v>
      </c>
      <c r="C8" s="24">
        <v>0.13874973498111007</v>
      </c>
      <c r="D8" s="25">
        <v>8.6320675427150467E-2</v>
      </c>
      <c r="E8" s="26">
        <v>0.10546656075757625</v>
      </c>
      <c r="F8" s="24">
        <v>0.1942542349253279</v>
      </c>
      <c r="G8" s="25">
        <v>0.12691188662697034</v>
      </c>
      <c r="H8" s="26">
        <v>0.15723101676250426</v>
      </c>
      <c r="I8" s="24">
        <v>-0.43086360929507711</v>
      </c>
      <c r="J8" s="25">
        <v>-0.12047738622200826</v>
      </c>
      <c r="K8" s="26">
        <v>-0.19172643267847572</v>
      </c>
      <c r="L8" s="24">
        <v>0.40296447447559336</v>
      </c>
      <c r="M8" s="25">
        <v>1.2904907066720035</v>
      </c>
      <c r="N8" s="26">
        <v>1.1969697025663226</v>
      </c>
      <c r="O8" s="27">
        <v>279</v>
      </c>
      <c r="P8" s="28">
        <v>772</v>
      </c>
      <c r="Q8" s="29">
        <v>761</v>
      </c>
      <c r="R8" s="24">
        <v>0.14064703878560136</v>
      </c>
      <c r="S8" s="25">
        <v>0.14745932543771889</v>
      </c>
      <c r="T8" s="26">
        <v>0.18416376120644534</v>
      </c>
      <c r="U8" s="27">
        <v>149.65517241379311</v>
      </c>
      <c r="V8" s="28">
        <v>152.28070175438597</v>
      </c>
      <c r="W8" s="29">
        <v>139.60655737704917</v>
      </c>
      <c r="X8" s="24">
        <v>0.35844761744793774</v>
      </c>
      <c r="Y8" s="25">
        <v>0.33562693113463477</v>
      </c>
      <c r="Z8" s="26">
        <v>0.36727819645535642</v>
      </c>
      <c r="AA8" s="24">
        <v>0.48398038985010627</v>
      </c>
      <c r="AB8" s="25">
        <v>0.53696190554875767</v>
      </c>
      <c r="AC8" s="26">
        <v>0.44678010233489845</v>
      </c>
      <c r="AD8" s="27">
        <v>862543</v>
      </c>
      <c r="AE8" s="28">
        <v>1734687</v>
      </c>
      <c r="AF8" s="29">
        <v>896505</v>
      </c>
      <c r="AG8" s="27">
        <v>8823186</v>
      </c>
      <c r="AH8" s="28">
        <v>23105911</v>
      </c>
      <c r="AI8" s="29">
        <v>10329614</v>
      </c>
      <c r="AJ8" s="27">
        <v>-2678480</v>
      </c>
      <c r="AK8" s="28">
        <v>-2421095</v>
      </c>
      <c r="AL8" s="29">
        <v>-1629746</v>
      </c>
      <c r="AM8" s="30">
        <v>1537449</v>
      </c>
      <c r="AN8" s="30">
        <v>3942046</v>
      </c>
      <c r="AO8" s="30">
        <v>2275953</v>
      </c>
      <c r="AP8" s="27">
        <v>1211337</v>
      </c>
      <c r="AQ8" s="28">
        <v>3349839</v>
      </c>
      <c r="AR8" s="29">
        <v>3240507</v>
      </c>
      <c r="AS8" s="27">
        <v>422794</v>
      </c>
      <c r="AT8" s="28">
        <v>382773</v>
      </c>
      <c r="AU8" s="29">
        <v>498579</v>
      </c>
      <c r="AV8" s="27">
        <v>2396090.87</v>
      </c>
      <c r="AW8" s="28">
        <v>2177354.7400000012</v>
      </c>
      <c r="AX8" s="29">
        <v>2437912.3800000004</v>
      </c>
      <c r="AY8" s="27">
        <v>24764159.32</v>
      </c>
      <c r="AZ8" s="28">
        <v>33784723.18</v>
      </c>
      <c r="BA8" s="29">
        <v>32123746.23</v>
      </c>
      <c r="BB8" s="24">
        <v>2.2993037709443279E-2</v>
      </c>
      <c r="BC8" s="25">
        <v>1.6566020703533395E-2</v>
      </c>
      <c r="BD8" s="26">
        <v>2.611394739939225E-2</v>
      </c>
      <c r="BE8" s="24">
        <v>0.13030792236683292</v>
      </c>
      <c r="BF8" s="25">
        <v>0.14775484780201451</v>
      </c>
      <c r="BG8" s="26">
        <v>0.12768992608121718</v>
      </c>
      <c r="BH8" s="24">
        <v>1.3467628421581699</v>
      </c>
      <c r="BI8" s="25">
        <v>2.2926244124529238</v>
      </c>
      <c r="BJ8" s="26">
        <v>1.6825374099624035</v>
      </c>
      <c r="BK8" s="24">
        <v>0.85704000000000002</v>
      </c>
      <c r="BL8" s="25">
        <v>0.75251000000000001</v>
      </c>
      <c r="BM8" s="26">
        <v>0.80479999999999996</v>
      </c>
    </row>
    <row r="9" spans="1:65" x14ac:dyDescent="0.2">
      <c r="A9" s="22">
        <v>5107</v>
      </c>
      <c r="B9" s="23" t="s">
        <v>26</v>
      </c>
      <c r="C9" s="24">
        <v>0.18855074119612733</v>
      </c>
      <c r="D9" s="25">
        <v>0.18754402794776551</v>
      </c>
      <c r="E9" s="26">
        <v>0.1800143051600965</v>
      </c>
      <c r="F9" s="24">
        <v>0.60832787286700851</v>
      </c>
      <c r="G9" s="25">
        <v>0.47227893389593739</v>
      </c>
      <c r="H9" s="26">
        <v>0.71908363117614804</v>
      </c>
      <c r="I9" s="24">
        <v>-9.3098221300733069E-3</v>
      </c>
      <c r="J9" s="25">
        <v>-9.0020447132596465E-2</v>
      </c>
      <c r="K9" s="26">
        <v>6.3413673560762204E-2</v>
      </c>
      <c r="L9" s="24">
        <v>0.68124331765282053</v>
      </c>
      <c r="M9" s="25">
        <v>0.42444333846076926</v>
      </c>
      <c r="N9" s="26">
        <v>0.47974954884638521</v>
      </c>
      <c r="O9" s="27">
        <v>254</v>
      </c>
      <c r="P9" s="28">
        <v>171</v>
      </c>
      <c r="Q9" s="29">
        <v>202</v>
      </c>
      <c r="R9" s="24">
        <v>0</v>
      </c>
      <c r="S9" s="25">
        <v>0</v>
      </c>
      <c r="T9" s="26">
        <v>0</v>
      </c>
      <c r="U9" s="27">
        <v>305.281045751634</v>
      </c>
      <c r="V9" s="28">
        <v>333.62857142857143</v>
      </c>
      <c r="W9" s="29">
        <v>317.41780821917808</v>
      </c>
      <c r="X9" s="24">
        <v>0.61127405953525671</v>
      </c>
      <c r="Y9" s="25">
        <v>0.5632545868005302</v>
      </c>
      <c r="Z9" s="26">
        <v>0.63767139752615121</v>
      </c>
      <c r="AA9" s="24">
        <v>0.12951700801583382</v>
      </c>
      <c r="AB9" s="25">
        <v>0.20199864585919175</v>
      </c>
      <c r="AC9" s="26">
        <v>0.10486029932858726</v>
      </c>
      <c r="AD9" s="27">
        <v>8028648</v>
      </c>
      <c r="AE9" s="28">
        <v>15073867</v>
      </c>
      <c r="AF9" s="29">
        <v>9599481</v>
      </c>
      <c r="AG9" s="27">
        <v>42214448</v>
      </c>
      <c r="AH9" s="28">
        <v>97735774</v>
      </c>
      <c r="AI9" s="29">
        <v>47127941</v>
      </c>
      <c r="AJ9" s="27">
        <v>-396420</v>
      </c>
      <c r="AK9" s="28">
        <v>-7235401</v>
      </c>
      <c r="AL9" s="29">
        <v>3381611</v>
      </c>
      <c r="AM9" s="30">
        <v>15549867</v>
      </c>
      <c r="AN9" s="30">
        <v>4841629</v>
      </c>
      <c r="AO9" s="30">
        <v>10774116</v>
      </c>
      <c r="AP9" s="27">
        <v>11843022</v>
      </c>
      <c r="AQ9" s="28">
        <v>7971329</v>
      </c>
      <c r="AR9" s="29">
        <v>9355121</v>
      </c>
      <c r="AS9" s="27">
        <v>0</v>
      </c>
      <c r="AT9" s="28">
        <v>0</v>
      </c>
      <c r="AU9" s="29">
        <v>0</v>
      </c>
      <c r="AV9" s="27">
        <v>21337.37999999919</v>
      </c>
      <c r="AW9" s="28">
        <v>1016715.9600000009</v>
      </c>
      <c r="AX9" s="29">
        <v>9986.4400000013975</v>
      </c>
      <c r="AY9" s="27">
        <v>23147637.469999999</v>
      </c>
      <c r="AZ9" s="28">
        <v>34841981.060000002</v>
      </c>
      <c r="BA9" s="29">
        <v>53433536.079999998</v>
      </c>
      <c r="BB9" s="24">
        <v>0</v>
      </c>
      <c r="BC9" s="25">
        <v>0</v>
      </c>
      <c r="BD9" s="26">
        <v>0</v>
      </c>
      <c r="BE9" s="24">
        <v>2.3877485535728731E-4</v>
      </c>
      <c r="BF9" s="25">
        <v>1.3736814918354864E-2</v>
      </c>
      <c r="BG9" s="26">
        <v>1.0919103526211427E-4</v>
      </c>
      <c r="BH9" s="24">
        <v>0.25903244863063707</v>
      </c>
      <c r="BI9" s="25">
        <v>0.47074882665365581</v>
      </c>
      <c r="BJ9" s="26">
        <v>0.58423853968880979</v>
      </c>
      <c r="BK9" s="24">
        <v>0.80256000000000005</v>
      </c>
      <c r="BL9" s="25">
        <v>0.47442000000000001</v>
      </c>
      <c r="BM9" s="26">
        <v>0.63849999999999996</v>
      </c>
    </row>
    <row r="10" spans="1:65" x14ac:dyDescent="0.2">
      <c r="A10" s="22">
        <v>5108</v>
      </c>
      <c r="B10" s="23" t="s">
        <v>27</v>
      </c>
      <c r="C10" s="24">
        <v>0.26779130236478921</v>
      </c>
      <c r="D10" s="25">
        <v>0.23797417435156626</v>
      </c>
      <c r="E10" s="26">
        <v>0.26504018504337007</v>
      </c>
      <c r="F10" s="24">
        <v>0.65614682084731502</v>
      </c>
      <c r="G10" s="25">
        <v>0.5349929445732784</v>
      </c>
      <c r="H10" s="26">
        <v>0.78542155002259628</v>
      </c>
      <c r="I10" s="24">
        <v>2.4383396024251047E-2</v>
      </c>
      <c r="J10" s="25">
        <v>-7.793631464264332E-2</v>
      </c>
      <c r="K10" s="26">
        <v>7.8512698687684998E-2</v>
      </c>
      <c r="L10" s="24">
        <v>0.55306043102446745</v>
      </c>
      <c r="M10" s="25">
        <v>0.63231493645112191</v>
      </c>
      <c r="N10" s="26">
        <v>0.52384445176248495</v>
      </c>
      <c r="O10" s="27">
        <v>383</v>
      </c>
      <c r="P10" s="28">
        <v>407</v>
      </c>
      <c r="Q10" s="29">
        <v>393</v>
      </c>
      <c r="R10" s="24">
        <v>0</v>
      </c>
      <c r="S10" s="25">
        <v>0</v>
      </c>
      <c r="T10" s="26">
        <v>0</v>
      </c>
      <c r="U10" s="27">
        <v>138.66917293233084</v>
      </c>
      <c r="V10" s="28">
        <v>138.66917293233084</v>
      </c>
      <c r="W10" s="29">
        <v>138.30827067669173</v>
      </c>
      <c r="X10" s="24">
        <v>0.5421192128580089</v>
      </c>
      <c r="Y10" s="25">
        <v>0.53361878309076449</v>
      </c>
      <c r="Z10" s="26">
        <v>0.59822306158913319</v>
      </c>
      <c r="AA10" s="24">
        <v>0.12074894578375645</v>
      </c>
      <c r="AB10" s="25">
        <v>0.14202072140875274</v>
      </c>
      <c r="AC10" s="26">
        <v>7.3816822090854911E-2</v>
      </c>
      <c r="AD10" s="27">
        <v>5918319</v>
      </c>
      <c r="AE10" s="28">
        <v>10417893</v>
      </c>
      <c r="AF10" s="29">
        <v>6440829</v>
      </c>
      <c r="AG10" s="27">
        <v>21724670</v>
      </c>
      <c r="AH10" s="28">
        <v>47779570</v>
      </c>
      <c r="AI10" s="29">
        <v>22558801</v>
      </c>
      <c r="AJ10" s="27">
        <v>538885</v>
      </c>
      <c r="AK10" s="28">
        <v>-3411850</v>
      </c>
      <c r="AL10" s="29">
        <v>1907963</v>
      </c>
      <c r="AM10" s="30">
        <v>5417641</v>
      </c>
      <c r="AN10" s="30">
        <v>1958704</v>
      </c>
      <c r="AO10" s="30">
        <v>3697768</v>
      </c>
      <c r="AP10" s="27">
        <v>7059807</v>
      </c>
      <c r="AQ10" s="28">
        <v>7510253</v>
      </c>
      <c r="AR10" s="29">
        <v>7228253</v>
      </c>
      <c r="AS10" s="27">
        <v>0</v>
      </c>
      <c r="AT10" s="28">
        <v>0</v>
      </c>
      <c r="AU10" s="29">
        <v>0</v>
      </c>
      <c r="AV10" s="27">
        <v>2264561.2999999993</v>
      </c>
      <c r="AW10" s="28">
        <v>4267816.9200000018</v>
      </c>
      <c r="AX10" s="29">
        <v>3739101.3699999992</v>
      </c>
      <c r="AY10" s="27">
        <v>26019820.030000001</v>
      </c>
      <c r="AZ10" s="28">
        <v>23982333.520000003</v>
      </c>
      <c r="BA10" s="29">
        <v>36870933.549999997</v>
      </c>
      <c r="BB10" s="24">
        <v>0</v>
      </c>
      <c r="BC10" s="25">
        <v>0</v>
      </c>
      <c r="BD10" s="26">
        <v>0</v>
      </c>
      <c r="BE10" s="24">
        <v>5.0108932254579575E-2</v>
      </c>
      <c r="BF10" s="25">
        <v>0.10576836329571312</v>
      </c>
      <c r="BG10" s="26">
        <v>8.1779573477392106E-2</v>
      </c>
      <c r="BH10" s="24">
        <v>0.57575186821377855</v>
      </c>
      <c r="BI10" s="25">
        <v>0.59434887015310811</v>
      </c>
      <c r="BJ10" s="26">
        <v>0.8064208271069867</v>
      </c>
      <c r="BK10" s="24">
        <v>0.77766000000000002</v>
      </c>
      <c r="BL10" s="25">
        <v>0.76785000000000003</v>
      </c>
      <c r="BM10" s="26">
        <v>0.77280000000000004</v>
      </c>
    </row>
    <row r="11" spans="1:65" x14ac:dyDescent="0.2">
      <c r="A11" s="22">
        <v>5109</v>
      </c>
      <c r="B11" s="23" t="s">
        <v>28</v>
      </c>
      <c r="C11" s="24">
        <v>0.18398725307172833</v>
      </c>
      <c r="D11" s="25">
        <v>0.16134508105261017</v>
      </c>
      <c r="E11" s="26">
        <v>0.19671561943168275</v>
      </c>
      <c r="F11" s="24">
        <v>0.49201165122736062</v>
      </c>
      <c r="G11" s="25">
        <v>0.44008614824150005</v>
      </c>
      <c r="H11" s="26">
        <v>0.5606549687416128</v>
      </c>
      <c r="I11" s="24">
        <v>0.1005791830264109</v>
      </c>
      <c r="J11" s="25">
        <v>1.4710703660102874E-2</v>
      </c>
      <c r="K11" s="26">
        <v>5.7366017530747292E-2</v>
      </c>
      <c r="L11" s="24">
        <v>0.1784085214030447</v>
      </c>
      <c r="M11" s="25">
        <v>0.15419390331064628</v>
      </c>
      <c r="N11" s="26">
        <v>0.17859081108731809</v>
      </c>
      <c r="O11" s="27">
        <v>81</v>
      </c>
      <c r="P11" s="28">
        <v>71</v>
      </c>
      <c r="Q11" s="29">
        <v>94</v>
      </c>
      <c r="R11" s="24">
        <v>0.10878485185338685</v>
      </c>
      <c r="S11" s="25">
        <v>0.17785371943119496</v>
      </c>
      <c r="T11" s="26">
        <v>0.1622137317651568</v>
      </c>
      <c r="U11" s="27">
        <v>333.67619047619047</v>
      </c>
      <c r="V11" s="28">
        <v>333.67619047619047</v>
      </c>
      <c r="W11" s="29">
        <v>330.62857142857143</v>
      </c>
      <c r="X11" s="24">
        <v>0.66257209768737924</v>
      </c>
      <c r="Y11" s="25">
        <v>0.6575472731232479</v>
      </c>
      <c r="Z11" s="26">
        <v>0.7135961146235712</v>
      </c>
      <c r="AA11" s="24">
        <v>0.11377991600302122</v>
      </c>
      <c r="AB11" s="25">
        <v>0.12857076633640982</v>
      </c>
      <c r="AC11" s="26">
        <v>4.6954371177255365E-2</v>
      </c>
      <c r="AD11" s="27">
        <v>6974090</v>
      </c>
      <c r="AE11" s="28">
        <v>12286087</v>
      </c>
      <c r="AF11" s="29">
        <v>7965173</v>
      </c>
      <c r="AG11" s="27">
        <v>34451001</v>
      </c>
      <c r="AH11" s="28">
        <v>75307749</v>
      </c>
      <c r="AI11" s="29">
        <v>36886619</v>
      </c>
      <c r="AJ11" s="27">
        <v>3812483</v>
      </c>
      <c r="AK11" s="28">
        <v>1120189</v>
      </c>
      <c r="AL11" s="29">
        <v>2322796</v>
      </c>
      <c r="AM11" s="30">
        <v>9169603</v>
      </c>
      <c r="AN11" s="30">
        <v>6360194</v>
      </c>
      <c r="AO11" s="30">
        <v>9206828</v>
      </c>
      <c r="AP11" s="27">
        <v>2845407</v>
      </c>
      <c r="AQ11" s="28">
        <v>2482489</v>
      </c>
      <c r="AR11" s="29">
        <v>3254193</v>
      </c>
      <c r="AS11" s="27">
        <v>1734991</v>
      </c>
      <c r="AT11" s="28">
        <v>2863407</v>
      </c>
      <c r="AU11" s="29">
        <v>2955778</v>
      </c>
      <c r="AV11" s="27">
        <v>1919666.08</v>
      </c>
      <c r="AW11" s="28">
        <v>2969543.0900000012</v>
      </c>
      <c r="AX11" s="29">
        <v>2961508.870000001</v>
      </c>
      <c r="AY11" s="27">
        <v>38506941.520000003</v>
      </c>
      <c r="AZ11" s="28">
        <v>37765832.379999995</v>
      </c>
      <c r="BA11" s="29">
        <v>79194258.310000002</v>
      </c>
      <c r="BB11" s="24">
        <v>2.3308708954007058E-2</v>
      </c>
      <c r="BC11" s="25">
        <v>3.8022740528335271E-2</v>
      </c>
      <c r="BD11" s="26">
        <v>3.6044836217449805E-2</v>
      </c>
      <c r="BE11" s="24">
        <v>2.5789723374703172E-2</v>
      </c>
      <c r="BF11" s="25">
        <v>4.6058523830143673E-2</v>
      </c>
      <c r="BG11" s="26">
        <v>3.6114722477694497E-2</v>
      </c>
      <c r="BH11" s="24">
        <v>0.51732089249952895</v>
      </c>
      <c r="BI11" s="25">
        <v>0.58575963975637768</v>
      </c>
      <c r="BJ11" s="26">
        <v>0.96575049619638664</v>
      </c>
      <c r="BK11" s="24">
        <v>0.83550999999999997</v>
      </c>
      <c r="BL11" s="25">
        <v>0.72274000000000005</v>
      </c>
      <c r="BM11" s="26">
        <v>0.77910000000000001</v>
      </c>
    </row>
    <row r="12" spans="1:65" x14ac:dyDescent="0.2">
      <c r="A12" s="22">
        <v>5110</v>
      </c>
      <c r="B12" s="23" t="s">
        <v>29</v>
      </c>
      <c r="C12" s="24">
        <v>8.7984651062884764E-2</v>
      </c>
      <c r="D12" s="25">
        <v>6.437869320070029E-2</v>
      </c>
      <c r="E12" s="26">
        <v>8.3457869484070357E-2</v>
      </c>
      <c r="F12" s="24">
        <v>0.26242410369718533</v>
      </c>
      <c r="G12" s="25">
        <v>0.23675630933477482</v>
      </c>
      <c r="H12" s="26">
        <v>0.46891398454454636</v>
      </c>
      <c r="I12" s="24">
        <v>-5.9651299526352772E-2</v>
      </c>
      <c r="J12" s="25">
        <v>-0.12682398572150888</v>
      </c>
      <c r="K12" s="26">
        <v>0.10419262766424338</v>
      </c>
      <c r="L12" s="24">
        <v>0.18387836563620516</v>
      </c>
      <c r="M12" s="25">
        <v>0.21262575270878425</v>
      </c>
      <c r="N12" s="26">
        <v>0.16300657725123163</v>
      </c>
      <c r="O12" s="27">
        <v>65</v>
      </c>
      <c r="P12" s="28">
        <v>65</v>
      </c>
      <c r="Q12" s="29">
        <v>65</v>
      </c>
      <c r="R12" s="24">
        <v>5.373305720114771E-2</v>
      </c>
      <c r="S12" s="25">
        <v>8.4796746353114169E-2</v>
      </c>
      <c r="T12" s="26">
        <v>2.3828849778282951E-2</v>
      </c>
      <c r="U12" s="27">
        <v>176.1360544217687</v>
      </c>
      <c r="V12" s="28">
        <v>176.1360544217687</v>
      </c>
      <c r="W12" s="29">
        <v>173.67346938775509</v>
      </c>
      <c r="X12" s="24">
        <v>0.6577110452740933</v>
      </c>
      <c r="Y12" s="25">
        <v>0.65957675978198704</v>
      </c>
      <c r="Z12" s="26">
        <v>0.77102462343123879</v>
      </c>
      <c r="AA12" s="24">
        <v>0.16893460245321024</v>
      </c>
      <c r="AB12" s="25">
        <v>0.15370256477394517</v>
      </c>
      <c r="AC12" s="26">
        <v>1.217969023137119E-2</v>
      </c>
      <c r="AD12" s="27">
        <v>1208368</v>
      </c>
      <c r="AE12" s="28">
        <v>1850046</v>
      </c>
      <c r="AF12" s="29">
        <v>1306792</v>
      </c>
      <c r="AG12" s="27">
        <v>14413033</v>
      </c>
      <c r="AH12" s="28">
        <v>32141936</v>
      </c>
      <c r="AI12" s="29">
        <v>14001095</v>
      </c>
      <c r="AJ12" s="27">
        <v>-819242</v>
      </c>
      <c r="AK12" s="28">
        <v>-3644532</v>
      </c>
      <c r="AL12" s="29">
        <v>1631459</v>
      </c>
      <c r="AM12" s="30">
        <v>5195733</v>
      </c>
      <c r="AN12" s="30">
        <v>3123589</v>
      </c>
      <c r="AO12" s="30">
        <v>4584689</v>
      </c>
      <c r="AP12" s="27">
        <v>835225</v>
      </c>
      <c r="AQ12" s="28">
        <v>835225</v>
      </c>
      <c r="AR12" s="29">
        <v>835225</v>
      </c>
      <c r="AS12" s="27">
        <v>244070</v>
      </c>
      <c r="AT12" s="28">
        <v>333094</v>
      </c>
      <c r="AU12" s="29">
        <v>122096</v>
      </c>
      <c r="AV12" s="27">
        <v>340072.74000000017</v>
      </c>
      <c r="AW12" s="28">
        <v>443706.56000000035</v>
      </c>
      <c r="AX12" s="29">
        <v>539247.20999999973</v>
      </c>
      <c r="AY12" s="27">
        <v>909445.89999999967</v>
      </c>
      <c r="AZ12" s="28">
        <v>5375827.4000000004</v>
      </c>
      <c r="BA12" s="29">
        <v>9460005.1500000004</v>
      </c>
      <c r="BB12" s="24">
        <v>8.2663709419060101E-3</v>
      </c>
      <c r="BC12" s="25">
        <v>1.0363221431341286E-2</v>
      </c>
      <c r="BD12" s="26">
        <v>4.1855654623658718E-3</v>
      </c>
      <c r="BE12" s="24">
        <v>1.1517873626706924E-2</v>
      </c>
      <c r="BF12" s="25">
        <v>1.8871716839795927E-2</v>
      </c>
      <c r="BG12" s="26">
        <v>1.8485900421415569E-2</v>
      </c>
      <c r="BH12" s="24">
        <v>3.0801889462021372E-2</v>
      </c>
      <c r="BI12" s="25">
        <v>0.22864456291206575</v>
      </c>
      <c r="BJ12" s="26">
        <v>0.32429785439034264</v>
      </c>
      <c r="BK12" s="24">
        <v>0.86123000000000005</v>
      </c>
      <c r="BL12" s="25">
        <v>0.79227999999999998</v>
      </c>
      <c r="BM12" s="26">
        <v>0.82679999999999998</v>
      </c>
    </row>
    <row r="13" spans="1:65" x14ac:dyDescent="0.2">
      <c r="A13" s="22">
        <v>5111</v>
      </c>
      <c r="B13" s="23" t="s">
        <v>30</v>
      </c>
      <c r="C13" s="24">
        <v>0.13441078162730777</v>
      </c>
      <c r="D13" s="25">
        <v>0.12713506306611486</v>
      </c>
      <c r="E13" s="26">
        <v>0.1363666191213386</v>
      </c>
      <c r="F13" s="24">
        <v>0.42392116395742319</v>
      </c>
      <c r="G13" s="25">
        <v>0.28983880855659561</v>
      </c>
      <c r="H13" s="26">
        <v>0.64147114186367471</v>
      </c>
      <c r="I13" s="24">
        <v>0.14086934382458355</v>
      </c>
      <c r="J13" s="25">
        <v>-1.7754713735014242E-2</v>
      </c>
      <c r="K13" s="26">
        <v>0.20904535037597646</v>
      </c>
      <c r="L13" s="24">
        <v>0.59882983431793257</v>
      </c>
      <c r="M13" s="25">
        <v>0.89641679822760878</v>
      </c>
      <c r="N13" s="26">
        <v>0.45433668292363588</v>
      </c>
      <c r="O13" s="27">
        <v>245</v>
      </c>
      <c r="P13" s="28">
        <v>429</v>
      </c>
      <c r="Q13" s="29">
        <v>219</v>
      </c>
      <c r="R13" s="24">
        <v>5.0830911924875405E-2</v>
      </c>
      <c r="S13" s="25">
        <v>0.15426714042317238</v>
      </c>
      <c r="T13" s="26">
        <v>0.14906271480475272</v>
      </c>
      <c r="U13" s="27">
        <v>201.73015873015873</v>
      </c>
      <c r="V13" s="28">
        <v>198.578125</v>
      </c>
      <c r="W13" s="29">
        <v>204.04838709677421</v>
      </c>
      <c r="X13" s="24">
        <v>0.54194673980687191</v>
      </c>
      <c r="Y13" s="25">
        <v>0.50432009136468614</v>
      </c>
      <c r="Z13" s="26">
        <v>0.65935753516722728</v>
      </c>
      <c r="AA13" s="24">
        <v>0.14940092356291915</v>
      </c>
      <c r="AB13" s="25">
        <v>0.27763978318717342</v>
      </c>
      <c r="AC13" s="26">
        <v>2.5278307204892277E-2</v>
      </c>
      <c r="AD13" s="27">
        <v>2009285</v>
      </c>
      <c r="AE13" s="28">
        <v>4332565</v>
      </c>
      <c r="AF13" s="29">
        <v>2184088</v>
      </c>
      <c r="AG13" s="27">
        <v>12731347</v>
      </c>
      <c r="AH13" s="28">
        <v>34772297</v>
      </c>
      <c r="AI13" s="29">
        <v>12675651</v>
      </c>
      <c r="AJ13" s="27">
        <v>2105833</v>
      </c>
      <c r="AK13" s="28">
        <v>-605053</v>
      </c>
      <c r="AL13" s="29">
        <v>3348132</v>
      </c>
      <c r="AM13" s="30">
        <v>533486</v>
      </c>
      <c r="AN13" s="30">
        <v>66545</v>
      </c>
      <c r="AO13" s="30">
        <v>762864</v>
      </c>
      <c r="AP13" s="27">
        <v>3111939</v>
      </c>
      <c r="AQ13" s="28">
        <v>5448121</v>
      </c>
      <c r="AR13" s="29">
        <v>2776088</v>
      </c>
      <c r="AS13" s="27">
        <v>264153</v>
      </c>
      <c r="AT13" s="28">
        <v>937584</v>
      </c>
      <c r="AU13" s="29">
        <v>910803</v>
      </c>
      <c r="AV13" s="27">
        <v>2056669.790000001</v>
      </c>
      <c r="AW13" s="28">
        <v>1269228.7400000023</v>
      </c>
      <c r="AX13" s="29">
        <v>1854730.5699999996</v>
      </c>
      <c r="AY13" s="27">
        <v>17805273.350000001</v>
      </c>
      <c r="AZ13" s="28">
        <v>19003113.48</v>
      </c>
      <c r="BA13" s="29">
        <v>19178573.330000002</v>
      </c>
      <c r="BB13" s="24">
        <v>1.1161986108672015E-2</v>
      </c>
      <c r="BC13" s="25">
        <v>2.6963533642888188E-2</v>
      </c>
      <c r="BD13" s="26">
        <v>3.5101751000452493E-2</v>
      </c>
      <c r="BE13" s="24">
        <v>8.6906147672392131E-2</v>
      </c>
      <c r="BF13" s="25">
        <v>4.8121239878683622E-2</v>
      </c>
      <c r="BG13" s="26">
        <v>7.1480101230526588E-2</v>
      </c>
      <c r="BH13" s="24">
        <v>0.75237538015395644</v>
      </c>
      <c r="BI13" s="25">
        <v>0.72047957424358722</v>
      </c>
      <c r="BJ13" s="26">
        <v>0.73912965325496183</v>
      </c>
      <c r="BK13" s="24">
        <v>0.89251000000000003</v>
      </c>
      <c r="BL13" s="25">
        <v>0.74034</v>
      </c>
      <c r="BM13" s="26">
        <v>0.81640000000000001</v>
      </c>
    </row>
    <row r="14" spans="1:65" x14ac:dyDescent="0.2">
      <c r="A14" s="22">
        <v>5112</v>
      </c>
      <c r="B14" s="23" t="s">
        <v>31</v>
      </c>
      <c r="C14" s="24">
        <v>0.20926355271550851</v>
      </c>
      <c r="D14" s="25">
        <v>9.3891262607435078E-2</v>
      </c>
      <c r="E14" s="26">
        <v>0.10301572361299521</v>
      </c>
      <c r="F14" s="24">
        <v>0.22201254089731359</v>
      </c>
      <c r="G14" s="25">
        <v>0.15500004028879005</v>
      </c>
      <c r="H14" s="26">
        <v>0.29761179510465668</v>
      </c>
      <c r="I14" s="24">
        <v>-1.775324184239776</v>
      </c>
      <c r="J14" s="25">
        <v>-0.36806983837223989</v>
      </c>
      <c r="K14" s="26">
        <v>-6.6671570259559942E-2</v>
      </c>
      <c r="L14" s="24">
        <v>0.18840346258533755</v>
      </c>
      <c r="M14" s="25">
        <v>0</v>
      </c>
      <c r="N14" s="26">
        <v>0</v>
      </c>
      <c r="O14" s="27">
        <v>94</v>
      </c>
      <c r="P14" s="28">
        <v>0</v>
      </c>
      <c r="Q14" s="29">
        <v>0</v>
      </c>
      <c r="R14" s="24">
        <v>1.4897501227075989</v>
      </c>
      <c r="S14" s="25">
        <v>1.5694963367351562</v>
      </c>
      <c r="T14" s="26">
        <v>1.2762673825426174</v>
      </c>
      <c r="U14" s="27">
        <v>121.32432432432432</v>
      </c>
      <c r="V14" s="28">
        <v>121.32432432432432</v>
      </c>
      <c r="W14" s="29">
        <v>119.70270270270271</v>
      </c>
      <c r="X14" s="24">
        <v>0.56570302160910857</v>
      </c>
      <c r="Y14" s="25">
        <v>0.48476178821221599</v>
      </c>
      <c r="Z14" s="26">
        <v>0.5943137781518899</v>
      </c>
      <c r="AA14" s="24">
        <v>9.8181257663727775E-2</v>
      </c>
      <c r="AB14" s="25">
        <v>0.23259821387923921</v>
      </c>
      <c r="AC14" s="26">
        <v>1.6899185705715344E-2</v>
      </c>
      <c r="AD14" s="27">
        <v>547875</v>
      </c>
      <c r="AE14" s="28">
        <v>1231112</v>
      </c>
      <c r="AF14" s="29">
        <v>736688</v>
      </c>
      <c r="AG14" s="27">
        <v>7201130</v>
      </c>
      <c r="AH14" s="28">
        <v>17748408</v>
      </c>
      <c r="AI14" s="29">
        <v>7327572</v>
      </c>
      <c r="AJ14" s="27">
        <v>-4647994</v>
      </c>
      <c r="AK14" s="28">
        <v>-4826170</v>
      </c>
      <c r="AL14" s="29">
        <v>-476783</v>
      </c>
      <c r="AM14" s="30">
        <v>961811</v>
      </c>
      <c r="AN14" s="30">
        <v>511845</v>
      </c>
      <c r="AO14" s="30">
        <v>781236</v>
      </c>
      <c r="AP14" s="27">
        <v>422231</v>
      </c>
      <c r="AQ14" s="28">
        <v>0</v>
      </c>
      <c r="AR14" s="29">
        <v>0</v>
      </c>
      <c r="AS14" s="27">
        <v>3338679</v>
      </c>
      <c r="AT14" s="28">
        <v>3742012</v>
      </c>
      <c r="AU14" s="29">
        <v>3551348</v>
      </c>
      <c r="AV14" s="27">
        <v>4113315.33</v>
      </c>
      <c r="AW14" s="28">
        <v>4319588.28</v>
      </c>
      <c r="AX14" s="29">
        <v>4111786.9500000007</v>
      </c>
      <c r="AY14" s="27">
        <v>15559725.699999999</v>
      </c>
      <c r="AZ14" s="28">
        <v>13548910.149999999</v>
      </c>
      <c r="BA14" s="29">
        <v>15333148.050000001</v>
      </c>
      <c r="BB14" s="24">
        <v>0.15339080015120946</v>
      </c>
      <c r="BC14" s="25">
        <v>0.21083648741904062</v>
      </c>
      <c r="BD14" s="26">
        <v>0.16389503069673253</v>
      </c>
      <c r="BE14" s="24">
        <v>0.18898035113376763</v>
      </c>
      <c r="BF14" s="25">
        <v>0.33652139424442151</v>
      </c>
      <c r="BG14" s="26">
        <v>0.18975933881688709</v>
      </c>
      <c r="BH14" s="24">
        <v>0.71486919684591943</v>
      </c>
      <c r="BI14" s="25">
        <v>1.0555399817341835</v>
      </c>
      <c r="BJ14" s="26">
        <v>0.70762616627046815</v>
      </c>
      <c r="BK14" s="24">
        <v>0.77259999999999995</v>
      </c>
      <c r="BL14" s="25">
        <v>0.79547999999999996</v>
      </c>
      <c r="BM14" s="26">
        <v>0.78400000000000003</v>
      </c>
    </row>
    <row r="15" spans="1:65" x14ac:dyDescent="0.2">
      <c r="A15" s="22">
        <v>5113</v>
      </c>
      <c r="B15" s="23" t="s">
        <v>32</v>
      </c>
      <c r="C15" s="24">
        <v>0.22413409216325902</v>
      </c>
      <c r="D15" s="25">
        <v>0.14119508236612471</v>
      </c>
      <c r="E15" s="26">
        <v>0.15981003701094187</v>
      </c>
      <c r="F15" s="24">
        <v>0.83084887904205962</v>
      </c>
      <c r="G15" s="25">
        <v>0.57841632117876229</v>
      </c>
      <c r="H15" s="26">
        <v>0.5618508129653641</v>
      </c>
      <c r="I15" s="24">
        <v>-0.1667293883025168</v>
      </c>
      <c r="J15" s="25">
        <v>2.4242651719641149E-3</v>
      </c>
      <c r="K15" s="26">
        <v>-0.15499023331363027</v>
      </c>
      <c r="L15" s="24">
        <v>3.2715156035035754E-2</v>
      </c>
      <c r="M15" s="25">
        <v>6.5310354754840949E-3</v>
      </c>
      <c r="N15" s="26">
        <v>0</v>
      </c>
      <c r="O15" s="27">
        <v>12</v>
      </c>
      <c r="P15" s="28">
        <v>3</v>
      </c>
      <c r="Q15" s="29">
        <v>0</v>
      </c>
      <c r="R15" s="24">
        <v>0</v>
      </c>
      <c r="S15" s="25">
        <v>0</v>
      </c>
      <c r="T15" s="26">
        <v>0</v>
      </c>
      <c r="U15" s="27">
        <v>184.56521739130434</v>
      </c>
      <c r="V15" s="28">
        <v>184.56521739130434</v>
      </c>
      <c r="W15" s="29">
        <v>182.34782608695653</v>
      </c>
      <c r="X15" s="24">
        <v>0.67799228755966323</v>
      </c>
      <c r="Y15" s="25">
        <v>0.63555923808272541</v>
      </c>
      <c r="Z15" s="26">
        <v>0.68292826537023943</v>
      </c>
      <c r="AA15" s="24">
        <v>0.1008133817460231</v>
      </c>
      <c r="AB15" s="25">
        <v>0.15632893483662202</v>
      </c>
      <c r="AC15" s="26">
        <v>0.12637073932531834</v>
      </c>
      <c r="AD15" s="27">
        <v>1540167</v>
      </c>
      <c r="AE15" s="28">
        <v>2452705</v>
      </c>
      <c r="AF15" s="29">
        <v>1233671</v>
      </c>
      <c r="AG15" s="27">
        <v>7990467</v>
      </c>
      <c r="AH15" s="28">
        <v>17384197</v>
      </c>
      <c r="AI15" s="29">
        <v>9154184</v>
      </c>
      <c r="AJ15" s="27">
        <v>-1145703</v>
      </c>
      <c r="AK15" s="28">
        <v>42112</v>
      </c>
      <c r="AL15" s="29">
        <v>-1196464</v>
      </c>
      <c r="AM15" s="30">
        <v>978567</v>
      </c>
      <c r="AN15" s="30">
        <v>2176989</v>
      </c>
      <c r="AO15" s="30">
        <v>1072628</v>
      </c>
      <c r="AP15" s="27">
        <v>102561</v>
      </c>
      <c r="AQ15" s="28">
        <v>25635</v>
      </c>
      <c r="AR15" s="29">
        <v>0</v>
      </c>
      <c r="AS15" s="27">
        <v>0</v>
      </c>
      <c r="AT15" s="28">
        <v>0</v>
      </c>
      <c r="AU15" s="29">
        <v>0</v>
      </c>
      <c r="AV15" s="27">
        <v>51730.339999999866</v>
      </c>
      <c r="AW15" s="28">
        <v>231993.79999999984</v>
      </c>
      <c r="AX15" s="29">
        <v>165989.12000000011</v>
      </c>
      <c r="AY15" s="27">
        <v>5689218.8999999994</v>
      </c>
      <c r="AZ15" s="28">
        <v>10985704.09</v>
      </c>
      <c r="BA15" s="29">
        <v>10977582.869999999</v>
      </c>
      <c r="BB15" s="24">
        <v>0</v>
      </c>
      <c r="BC15" s="25">
        <v>0</v>
      </c>
      <c r="BD15" s="26">
        <v>0</v>
      </c>
      <c r="BE15" s="24">
        <v>3.2905794059681207E-3</v>
      </c>
      <c r="BF15" s="25">
        <v>1.5697906289926684E-2</v>
      </c>
      <c r="BG15" s="26">
        <v>9.6024176538714815E-3</v>
      </c>
      <c r="BH15" s="24">
        <v>0.36189258660168583</v>
      </c>
      <c r="BI15" s="25">
        <v>0.74334983664944676</v>
      </c>
      <c r="BJ15" s="26">
        <v>0.6350496680006803</v>
      </c>
      <c r="BK15" s="24">
        <v>0.82135999999999998</v>
      </c>
      <c r="BL15" s="25">
        <v>0.78098999999999996</v>
      </c>
      <c r="BM15" s="26">
        <v>0.80120000000000002</v>
      </c>
    </row>
    <row r="16" spans="1:65" x14ac:dyDescent="0.2">
      <c r="A16" s="22">
        <v>5114</v>
      </c>
      <c r="B16" s="23" t="s">
        <v>33</v>
      </c>
      <c r="C16" s="24">
        <v>0.10111619682189212</v>
      </c>
      <c r="D16" s="25">
        <v>9.1059899951719939E-2</v>
      </c>
      <c r="E16" s="26">
        <v>5.5764205489319381E-2</v>
      </c>
      <c r="F16" s="24">
        <v>0.53548922285190004</v>
      </c>
      <c r="G16" s="25">
        <v>0.25423464231672549</v>
      </c>
      <c r="H16" s="26">
        <v>0.3157483206025391</v>
      </c>
      <c r="I16" s="24">
        <v>0.13018703149178498</v>
      </c>
      <c r="J16" s="25">
        <v>-3.2890783184552214E-2</v>
      </c>
      <c r="K16" s="26">
        <v>0.41810721359742303</v>
      </c>
      <c r="L16" s="24">
        <v>0.39466921213011236</v>
      </c>
      <c r="M16" s="25">
        <v>0.27608083408049261</v>
      </c>
      <c r="N16" s="26">
        <v>0.23071312683268089</v>
      </c>
      <c r="O16" s="27">
        <v>116</v>
      </c>
      <c r="P16" s="28">
        <v>100</v>
      </c>
      <c r="Q16" s="29">
        <v>85</v>
      </c>
      <c r="R16" s="24">
        <v>0</v>
      </c>
      <c r="S16" s="25">
        <v>0</v>
      </c>
      <c r="T16" s="26">
        <v>0</v>
      </c>
      <c r="U16" s="27">
        <v>231.22499999999999</v>
      </c>
      <c r="V16" s="28">
        <v>151</v>
      </c>
      <c r="W16" s="29">
        <v>205.73033707865167</v>
      </c>
      <c r="X16" s="24">
        <v>0.7196213052878867</v>
      </c>
      <c r="Y16" s="25">
        <v>0.57444061858318352</v>
      </c>
      <c r="Z16" s="26">
        <v>0.62439753714602775</v>
      </c>
      <c r="AA16" s="24">
        <v>3.3439653854716145E-2</v>
      </c>
      <c r="AB16" s="25">
        <v>0.22940746668193121</v>
      </c>
      <c r="AC16" s="26">
        <v>0.17298455718036407</v>
      </c>
      <c r="AD16" s="27">
        <v>931491</v>
      </c>
      <c r="AE16" s="28">
        <v>1869668</v>
      </c>
      <c r="AF16" s="29">
        <v>1008736</v>
      </c>
      <c r="AG16" s="27">
        <v>7883395</v>
      </c>
      <c r="AH16" s="28">
        <v>21138305</v>
      </c>
      <c r="AI16" s="29">
        <v>10793819</v>
      </c>
      <c r="AJ16" s="27">
        <v>1199294</v>
      </c>
      <c r="AK16" s="28">
        <v>-675323</v>
      </c>
      <c r="AL16" s="29">
        <v>7563271</v>
      </c>
      <c r="AM16" s="30">
        <v>3316746</v>
      </c>
      <c r="AN16" s="30">
        <v>1318356</v>
      </c>
      <c r="AO16" s="30">
        <v>8741633</v>
      </c>
      <c r="AP16" s="27">
        <v>1075000</v>
      </c>
      <c r="AQ16" s="28">
        <v>925000</v>
      </c>
      <c r="AR16" s="29">
        <v>775000</v>
      </c>
      <c r="AS16" s="27">
        <v>0</v>
      </c>
      <c r="AT16" s="28">
        <v>0</v>
      </c>
      <c r="AU16" s="29">
        <v>0</v>
      </c>
      <c r="AV16" s="27">
        <v>16780.330000000009</v>
      </c>
      <c r="AW16" s="28">
        <v>515769.94000000006</v>
      </c>
      <c r="AX16" s="29">
        <v>14499.219999999907</v>
      </c>
      <c r="AY16" s="27">
        <v>1369712.29</v>
      </c>
      <c r="AZ16" s="28">
        <v>10655093.73</v>
      </c>
      <c r="BA16" s="29">
        <v>10636380.51</v>
      </c>
      <c r="BB16" s="24">
        <v>0</v>
      </c>
      <c r="BC16" s="25">
        <v>0</v>
      </c>
      <c r="BD16" s="26">
        <v>0</v>
      </c>
      <c r="BE16" s="24">
        <v>1.0314446118067358E-3</v>
      </c>
      <c r="BF16" s="25">
        <v>3.2635221175988063E-2</v>
      </c>
      <c r="BG16" s="26">
        <v>8.5015379816379805E-4</v>
      </c>
      <c r="BH16" s="24">
        <v>8.419276386375979E-2</v>
      </c>
      <c r="BI16" s="25">
        <v>0.67419854001075297</v>
      </c>
      <c r="BJ16" s="26">
        <v>0.62365832708876434</v>
      </c>
      <c r="BK16" s="24">
        <v>0.87834999999999996</v>
      </c>
      <c r="BL16" s="25">
        <v>0.81738</v>
      </c>
      <c r="BM16" s="26">
        <v>0.84789999999999999</v>
      </c>
    </row>
    <row r="17" spans="1:65" x14ac:dyDescent="0.2">
      <c r="A17" s="22">
        <v>5201</v>
      </c>
      <c r="B17" s="23" t="s">
        <v>34</v>
      </c>
      <c r="C17" s="24">
        <v>0.16288614434370627</v>
      </c>
      <c r="D17" s="25">
        <v>0.12379071393758559</v>
      </c>
      <c r="E17" s="26">
        <v>0.15544929896147583</v>
      </c>
      <c r="F17" s="24">
        <v>0.83282152829399014</v>
      </c>
      <c r="G17" s="25">
        <v>0.34876011441712929</v>
      </c>
      <c r="H17" s="26">
        <v>0.6482173541439834</v>
      </c>
      <c r="I17" s="24">
        <v>0.20265561481999014</v>
      </c>
      <c r="J17" s="25">
        <v>3.2241278120498457E-2</v>
      </c>
      <c r="K17" s="26">
        <v>0.12665029344131651</v>
      </c>
      <c r="L17" s="24">
        <v>0</v>
      </c>
      <c r="M17" s="25">
        <v>0</v>
      </c>
      <c r="N17" s="26">
        <v>0</v>
      </c>
      <c r="O17" s="27">
        <v>0</v>
      </c>
      <c r="P17" s="28">
        <v>0</v>
      </c>
      <c r="Q17" s="29">
        <v>0</v>
      </c>
      <c r="R17" s="24">
        <v>0</v>
      </c>
      <c r="S17" s="25">
        <v>0</v>
      </c>
      <c r="T17" s="26">
        <v>0.53540934114442928</v>
      </c>
      <c r="U17" s="27">
        <v>290.31395348837208</v>
      </c>
      <c r="V17" s="28">
        <v>151</v>
      </c>
      <c r="W17" s="29">
        <v>290.18604651162792</v>
      </c>
      <c r="X17" s="24">
        <v>0.68491035636646025</v>
      </c>
      <c r="Y17" s="25">
        <v>0.56302358657565055</v>
      </c>
      <c r="Z17" s="26">
        <v>0.6773362260941489</v>
      </c>
      <c r="AA17" s="24">
        <v>9.2670517464197952E-2</v>
      </c>
      <c r="AB17" s="25">
        <v>0.21821052547224523</v>
      </c>
      <c r="AC17" s="26">
        <v>0.10051353878339353</v>
      </c>
      <c r="AD17" s="27">
        <v>3999717</v>
      </c>
      <c r="AE17" s="28">
        <v>6816386</v>
      </c>
      <c r="AF17" s="29">
        <v>4131143</v>
      </c>
      <c r="AG17" s="27">
        <v>19202256</v>
      </c>
      <c r="AH17" s="28">
        <v>52909588</v>
      </c>
      <c r="AI17" s="29">
        <v>22963991</v>
      </c>
      <c r="AJ17" s="27">
        <v>4976268</v>
      </c>
      <c r="AK17" s="28">
        <v>1775327</v>
      </c>
      <c r="AL17" s="29">
        <v>3365795</v>
      </c>
      <c r="AM17" s="30">
        <v>16544902</v>
      </c>
      <c r="AN17" s="30">
        <v>13326323</v>
      </c>
      <c r="AO17" s="30">
        <v>16585265</v>
      </c>
      <c r="AP17" s="27">
        <v>0</v>
      </c>
      <c r="AQ17" s="28">
        <v>0</v>
      </c>
      <c r="AR17" s="29">
        <v>0</v>
      </c>
      <c r="AS17" s="27">
        <v>0</v>
      </c>
      <c r="AT17" s="28">
        <v>0</v>
      </c>
      <c r="AU17" s="29">
        <v>5109323</v>
      </c>
      <c r="AV17" s="27">
        <v>867497.52000000118</v>
      </c>
      <c r="AW17" s="28">
        <v>6133854.4500000011</v>
      </c>
      <c r="AX17" s="29">
        <v>6337915.3599999994</v>
      </c>
      <c r="AY17" s="27">
        <v>23527369.649999999</v>
      </c>
      <c r="AZ17" s="28">
        <v>24420678.010000002</v>
      </c>
      <c r="BA17" s="29">
        <v>22991091.100000001</v>
      </c>
      <c r="BB17" s="24">
        <v>0</v>
      </c>
      <c r="BC17" s="25">
        <v>0</v>
      </c>
      <c r="BD17" s="26">
        <v>8.9270590937097091E-2</v>
      </c>
      <c r="BE17" s="24">
        <v>1.7025986734804852E-2</v>
      </c>
      <c r="BF17" s="25">
        <v>0.15314710920357072</v>
      </c>
      <c r="BG17" s="26">
        <v>0.11073667675668664</v>
      </c>
      <c r="BH17" s="24">
        <v>0.46176118585993153</v>
      </c>
      <c r="BI17" s="25">
        <v>0.60972366927009614</v>
      </c>
      <c r="BJ17" s="26">
        <v>0.40170259127982977</v>
      </c>
      <c r="BK17" s="24">
        <v>0.82138999999999995</v>
      </c>
      <c r="BL17" s="25">
        <v>0.77695999999999998</v>
      </c>
      <c r="BM17" s="26">
        <v>0.79920000000000002</v>
      </c>
    </row>
    <row r="18" spans="1:65" x14ac:dyDescent="0.2">
      <c r="A18" s="22">
        <v>5202</v>
      </c>
      <c r="B18" s="23" t="s">
        <v>35</v>
      </c>
      <c r="C18" s="24">
        <v>0.3290316675478529</v>
      </c>
      <c r="D18" s="25">
        <v>0.27864787804071028</v>
      </c>
      <c r="E18" s="26">
        <v>0.33682732998363352</v>
      </c>
      <c r="F18" s="24">
        <v>1.0235201754134742</v>
      </c>
      <c r="G18" s="25">
        <v>0.66184204397583313</v>
      </c>
      <c r="H18" s="26">
        <v>1.0193651891433948</v>
      </c>
      <c r="I18" s="24">
        <v>0.17152976883678572</v>
      </c>
      <c r="J18" s="25">
        <v>-1.1159313612347156E-2</v>
      </c>
      <c r="K18" s="26">
        <v>0.19430253158789881</v>
      </c>
      <c r="L18" s="24">
        <v>0.35985812555656199</v>
      </c>
      <c r="M18" s="25">
        <v>0.36533921265548891</v>
      </c>
      <c r="N18" s="26">
        <v>0.30672806928076135</v>
      </c>
      <c r="O18" s="27">
        <v>258</v>
      </c>
      <c r="P18" s="28">
        <v>265</v>
      </c>
      <c r="Q18" s="29">
        <v>263</v>
      </c>
      <c r="R18" s="24">
        <v>0</v>
      </c>
      <c r="S18" s="25">
        <v>0</v>
      </c>
      <c r="T18" s="26">
        <v>0</v>
      </c>
      <c r="U18" s="27">
        <v>481.60444993819533</v>
      </c>
      <c r="V18" s="28">
        <v>489.46984924623115</v>
      </c>
      <c r="W18" s="29">
        <v>486.86318407960198</v>
      </c>
      <c r="X18" s="24">
        <v>0.51295655023068132</v>
      </c>
      <c r="Y18" s="25">
        <v>0.48739995609091924</v>
      </c>
      <c r="Z18" s="26">
        <v>0.50639260219987314</v>
      </c>
      <c r="AA18" s="24">
        <v>0.13806181462175177</v>
      </c>
      <c r="AB18" s="25">
        <v>0.19616159832475233</v>
      </c>
      <c r="AC18" s="26">
        <v>0.22675898941893188</v>
      </c>
      <c r="AD18" s="27">
        <v>77802097</v>
      </c>
      <c r="AE18" s="28">
        <v>139491867</v>
      </c>
      <c r="AF18" s="29">
        <v>96989558</v>
      </c>
      <c r="AG18" s="27">
        <v>198972794</v>
      </c>
      <c r="AH18" s="28">
        <v>514426620</v>
      </c>
      <c r="AI18" s="29">
        <v>227201921</v>
      </c>
      <c r="AJ18" s="27">
        <v>40559548</v>
      </c>
      <c r="AK18" s="28">
        <v>-5586382</v>
      </c>
      <c r="AL18" s="29">
        <v>55949488</v>
      </c>
      <c r="AM18" s="30">
        <v>69265652</v>
      </c>
      <c r="AN18" s="30">
        <v>32565093</v>
      </c>
      <c r="AO18" s="30">
        <v>82897998</v>
      </c>
      <c r="AP18" s="27">
        <v>50308655</v>
      </c>
      <c r="AQ18" s="28">
        <v>51653984</v>
      </c>
      <c r="AR18" s="29">
        <v>51563822</v>
      </c>
      <c r="AS18" s="27">
        <v>0</v>
      </c>
      <c r="AT18" s="28">
        <v>0</v>
      </c>
      <c r="AU18" s="29">
        <v>0</v>
      </c>
      <c r="AV18" s="27">
        <v>26224250.889999986</v>
      </c>
      <c r="AW18" s="28">
        <v>27021489.469999984</v>
      </c>
      <c r="AX18" s="29">
        <v>27793940.229999997</v>
      </c>
      <c r="AY18" s="27">
        <v>179713665.33999997</v>
      </c>
      <c r="AZ18" s="28">
        <v>416911696.73000002</v>
      </c>
      <c r="BA18" s="29">
        <v>417063453.09000003</v>
      </c>
      <c r="BB18" s="24">
        <v>0</v>
      </c>
      <c r="BC18" s="25">
        <v>0</v>
      </c>
      <c r="BD18" s="26">
        <v>0</v>
      </c>
      <c r="BE18" s="24">
        <v>5.509181708002673E-2</v>
      </c>
      <c r="BF18" s="25">
        <v>7.4160992757752092E-2</v>
      </c>
      <c r="BG18" s="26">
        <v>5.0806703067747275E-2</v>
      </c>
      <c r="BH18" s="24">
        <v>0.37754185693318859</v>
      </c>
      <c r="BI18" s="25">
        <v>1.1442220961262091</v>
      </c>
      <c r="BJ18" s="26">
        <v>0.76238269371686629</v>
      </c>
      <c r="BK18" s="24">
        <v>0.86656999999999995</v>
      </c>
      <c r="BL18" s="25">
        <v>0.76312999999999998</v>
      </c>
      <c r="BM18" s="26">
        <v>0.81489999999999996</v>
      </c>
    </row>
    <row r="19" spans="1:65" x14ac:dyDescent="0.2">
      <c r="A19" s="22">
        <v>5203</v>
      </c>
      <c r="B19" s="23" t="s">
        <v>36</v>
      </c>
      <c r="C19" s="24">
        <v>0.3101047956847916</v>
      </c>
      <c r="D19" s="25">
        <v>0.22781890523438519</v>
      </c>
      <c r="E19" s="26">
        <v>0.32698766833788245</v>
      </c>
      <c r="F19" s="24">
        <v>1.0448951381689424</v>
      </c>
      <c r="G19" s="25">
        <v>0.86635145175153294</v>
      </c>
      <c r="H19" s="26">
        <v>1.2838844143987354</v>
      </c>
      <c r="I19" s="24">
        <v>0.13579099512823714</v>
      </c>
      <c r="J19" s="25">
        <v>4.2170094650556975E-2</v>
      </c>
      <c r="K19" s="26">
        <v>0.18806914716877576</v>
      </c>
      <c r="L19" s="24">
        <v>0</v>
      </c>
      <c r="M19" s="25">
        <v>0</v>
      </c>
      <c r="N19" s="26">
        <v>0</v>
      </c>
      <c r="O19" s="27">
        <v>0</v>
      </c>
      <c r="P19" s="28">
        <v>0</v>
      </c>
      <c r="Q19" s="29">
        <v>0</v>
      </c>
      <c r="R19" s="24">
        <v>0</v>
      </c>
      <c r="S19" s="25">
        <v>0</v>
      </c>
      <c r="T19" s="26">
        <v>0</v>
      </c>
      <c r="U19" s="27">
        <v>202.10869565217391</v>
      </c>
      <c r="V19" s="28">
        <v>193.6875</v>
      </c>
      <c r="W19" s="29">
        <v>200.84782608695653</v>
      </c>
      <c r="X19" s="24">
        <v>0.59528830493874996</v>
      </c>
      <c r="Y19" s="25">
        <v>0.46011276419039887</v>
      </c>
      <c r="Z19" s="26">
        <v>0.56357635062800571</v>
      </c>
      <c r="AA19" s="24">
        <v>4.7291934825002144E-2</v>
      </c>
      <c r="AB19" s="25">
        <v>0.31320466336748187</v>
      </c>
      <c r="AC19" s="26">
        <v>0.17414260799232481</v>
      </c>
      <c r="AD19" s="27">
        <v>3610236</v>
      </c>
      <c r="AE19" s="28">
        <v>6839052</v>
      </c>
      <c r="AF19" s="29">
        <v>4861463</v>
      </c>
      <c r="AG19" s="27">
        <v>9892321</v>
      </c>
      <c r="AH19" s="28">
        <v>28806308</v>
      </c>
      <c r="AI19" s="29">
        <v>11542649</v>
      </c>
      <c r="AJ19" s="27">
        <v>1580877</v>
      </c>
      <c r="AK19" s="28">
        <v>1265933</v>
      </c>
      <c r="AL19" s="29">
        <v>2796103</v>
      </c>
      <c r="AM19" s="30">
        <v>3834502</v>
      </c>
      <c r="AN19" s="30">
        <v>3523439</v>
      </c>
      <c r="AO19" s="30">
        <v>6241278</v>
      </c>
      <c r="AP19" s="27">
        <v>0</v>
      </c>
      <c r="AQ19" s="28">
        <v>0</v>
      </c>
      <c r="AR19" s="29">
        <v>0</v>
      </c>
      <c r="AS19" s="27">
        <v>0</v>
      </c>
      <c r="AT19" s="28">
        <v>0</v>
      </c>
      <c r="AU19" s="29">
        <v>0</v>
      </c>
      <c r="AV19" s="27">
        <v>244127.28000000014</v>
      </c>
      <c r="AW19" s="28">
        <v>1559624.6199999987</v>
      </c>
      <c r="AX19" s="29">
        <v>1395146.4100000004</v>
      </c>
      <c r="AY19" s="27">
        <v>16364247.740000002</v>
      </c>
      <c r="AZ19" s="28">
        <v>14164744.289999999</v>
      </c>
      <c r="BA19" s="29">
        <v>13247990.539999999</v>
      </c>
      <c r="BB19" s="24">
        <v>0</v>
      </c>
      <c r="BC19" s="25">
        <v>0</v>
      </c>
      <c r="BD19" s="26">
        <v>0</v>
      </c>
      <c r="BE19" s="24">
        <v>1.1220201938308845E-2</v>
      </c>
      <c r="BF19" s="25">
        <v>7.5256389056071668E-2</v>
      </c>
      <c r="BG19" s="26">
        <v>5.3590442511882691E-2</v>
      </c>
      <c r="BH19" s="24">
        <v>0.75210834369396995</v>
      </c>
      <c r="BI19" s="25">
        <v>0.6834897920295786</v>
      </c>
      <c r="BJ19" s="26">
        <v>0.5088825590941638</v>
      </c>
      <c r="BK19" s="24">
        <v>0.91188999999999998</v>
      </c>
      <c r="BL19" s="25">
        <v>0.72663</v>
      </c>
      <c r="BM19" s="26">
        <v>0.81930000000000003</v>
      </c>
    </row>
    <row r="20" spans="1:65" x14ac:dyDescent="0.2">
      <c r="A20" s="22">
        <v>5204</v>
      </c>
      <c r="B20" s="23" t="s">
        <v>37</v>
      </c>
      <c r="C20" s="24">
        <v>0.17855856628028494</v>
      </c>
      <c r="D20" s="25">
        <v>0.16734672872583262</v>
      </c>
      <c r="E20" s="26">
        <v>0.19300344768718228</v>
      </c>
      <c r="F20" s="24">
        <v>0.79480172418319184</v>
      </c>
      <c r="G20" s="25">
        <v>0.58343125960075359</v>
      </c>
      <c r="H20" s="26">
        <v>1.268321985069367</v>
      </c>
      <c r="I20" s="24">
        <v>0.15294594770989994</v>
      </c>
      <c r="J20" s="25">
        <v>6.3294521309422936E-3</v>
      </c>
      <c r="K20" s="26">
        <v>0.21895779260741005</v>
      </c>
      <c r="L20" s="24">
        <v>0</v>
      </c>
      <c r="M20" s="25">
        <v>0</v>
      </c>
      <c r="N20" s="26">
        <v>0</v>
      </c>
      <c r="O20" s="27">
        <v>0</v>
      </c>
      <c r="P20" s="28">
        <v>0</v>
      </c>
      <c r="Q20" s="29">
        <v>0</v>
      </c>
      <c r="R20" s="24">
        <v>0</v>
      </c>
      <c r="S20" s="25">
        <v>0</v>
      </c>
      <c r="T20" s="26">
        <v>0</v>
      </c>
      <c r="U20" s="27">
        <v>220.15300546448088</v>
      </c>
      <c r="V20" s="28">
        <v>220.15300546448088</v>
      </c>
      <c r="W20" s="29">
        <v>185.05116279069767</v>
      </c>
      <c r="X20" s="24">
        <v>0.67101151361539013</v>
      </c>
      <c r="Y20" s="25">
        <v>0.64715087464741694</v>
      </c>
      <c r="Z20" s="26">
        <v>0.78169586734511498</v>
      </c>
      <c r="AA20" s="24">
        <v>0.12195124270645706</v>
      </c>
      <c r="AB20" s="25">
        <v>0.15319298971532419</v>
      </c>
      <c r="AC20" s="26">
        <v>6.6745914667968491E-3</v>
      </c>
      <c r="AD20" s="27">
        <v>4541505</v>
      </c>
      <c r="AE20" s="28">
        <v>8051555</v>
      </c>
      <c r="AF20" s="29">
        <v>5024143</v>
      </c>
      <c r="AG20" s="27">
        <v>21031274</v>
      </c>
      <c r="AH20" s="28">
        <v>47736264</v>
      </c>
      <c r="AI20" s="29">
        <v>20225957</v>
      </c>
      <c r="AJ20" s="27">
        <v>3890067</v>
      </c>
      <c r="AK20" s="28">
        <v>304529</v>
      </c>
      <c r="AL20" s="29">
        <v>5699770</v>
      </c>
      <c r="AM20" s="30">
        <v>17425158</v>
      </c>
      <c r="AN20" s="30">
        <v>13844698</v>
      </c>
      <c r="AO20" s="30">
        <v>19456264</v>
      </c>
      <c r="AP20" s="27">
        <v>0</v>
      </c>
      <c r="AQ20" s="28">
        <v>0</v>
      </c>
      <c r="AR20" s="29">
        <v>0</v>
      </c>
      <c r="AS20" s="27">
        <v>0</v>
      </c>
      <c r="AT20" s="28">
        <v>0</v>
      </c>
      <c r="AU20" s="29">
        <v>0</v>
      </c>
      <c r="AV20" s="27">
        <v>423212.44000000047</v>
      </c>
      <c r="AW20" s="28">
        <v>790505.67000000016</v>
      </c>
      <c r="AX20" s="29">
        <v>1035329.5299999991</v>
      </c>
      <c r="AY20" s="27">
        <v>8042552.8999999985</v>
      </c>
      <c r="AZ20" s="28">
        <v>4281220.7999999989</v>
      </c>
      <c r="BA20" s="29">
        <v>12607771.040000001</v>
      </c>
      <c r="BB20" s="24">
        <v>0</v>
      </c>
      <c r="BC20" s="25">
        <v>0</v>
      </c>
      <c r="BD20" s="26">
        <v>0</v>
      </c>
      <c r="BE20" s="24">
        <v>7.6853152053359885E-3</v>
      </c>
      <c r="BF20" s="25">
        <v>2.0839528556039034E-2</v>
      </c>
      <c r="BG20" s="26">
        <v>1.7242271654875276E-2</v>
      </c>
      <c r="BH20" s="24">
        <v>0.14604852846974198</v>
      </c>
      <c r="BI20" s="25">
        <v>0.11286272382626709</v>
      </c>
      <c r="BJ20" s="26">
        <v>0.2099685239675812</v>
      </c>
      <c r="BK20" s="24">
        <v>0.83613000000000004</v>
      </c>
      <c r="BL20" s="25">
        <v>0.77664999999999995</v>
      </c>
      <c r="BM20" s="26">
        <v>0.80640000000000001</v>
      </c>
    </row>
    <row r="21" spans="1:65" x14ac:dyDescent="0.2">
      <c r="A21" s="22">
        <v>5205</v>
      </c>
      <c r="B21" s="23" t="s">
        <v>38</v>
      </c>
      <c r="C21" s="24">
        <v>0.16557516570045691</v>
      </c>
      <c r="D21" s="25">
        <v>0.1704442725809415</v>
      </c>
      <c r="E21" s="26">
        <v>0.15360531736859914</v>
      </c>
      <c r="F21" s="24">
        <v>0.49124626388745474</v>
      </c>
      <c r="G21" s="25">
        <v>0.42201678411584648</v>
      </c>
      <c r="H21" s="26">
        <v>0.4997608092475494</v>
      </c>
      <c r="I21" s="24">
        <v>0.15856995689681122</v>
      </c>
      <c r="J21" s="25">
        <v>8.7660559950825598E-3</v>
      </c>
      <c r="K21" s="26">
        <v>0.10476665859569713</v>
      </c>
      <c r="L21" s="24">
        <v>0.30707513524343821</v>
      </c>
      <c r="M21" s="25">
        <v>0.36103111689027134</v>
      </c>
      <c r="N21" s="26">
        <v>0.29533422459893049</v>
      </c>
      <c r="O21" s="27">
        <v>300</v>
      </c>
      <c r="P21" s="28">
        <v>341</v>
      </c>
      <c r="Q21" s="29">
        <v>315</v>
      </c>
      <c r="R21" s="24">
        <v>0</v>
      </c>
      <c r="S21" s="25">
        <v>0</v>
      </c>
      <c r="T21" s="26">
        <v>0</v>
      </c>
      <c r="U21" s="27">
        <v>102.32</v>
      </c>
      <c r="V21" s="28">
        <v>94.740740740740748</v>
      </c>
      <c r="W21" s="29">
        <v>93.444444444444443</v>
      </c>
      <c r="X21" s="24">
        <v>0.62890339162886</v>
      </c>
      <c r="Y21" s="25">
        <v>0.56402989624679323</v>
      </c>
      <c r="Z21" s="26">
        <v>0.68858176490250134</v>
      </c>
      <c r="AA21" s="24">
        <v>4.4751801917166691E-2</v>
      </c>
      <c r="AB21" s="25">
        <v>7.2910475976390526E-2</v>
      </c>
      <c r="AC21" s="26">
        <v>4.2319359240819997E-2</v>
      </c>
      <c r="AD21" s="27">
        <v>880134</v>
      </c>
      <c r="AE21" s="28">
        <v>1675383</v>
      </c>
      <c r="AF21" s="29">
        <v>804412</v>
      </c>
      <c r="AG21" s="27">
        <v>4373120</v>
      </c>
      <c r="AH21" s="28">
        <v>9804709</v>
      </c>
      <c r="AI21" s="29">
        <v>4774836</v>
      </c>
      <c r="AJ21" s="27">
        <v>842897</v>
      </c>
      <c r="AK21" s="28">
        <v>86166</v>
      </c>
      <c r="AL21" s="29">
        <v>548650</v>
      </c>
      <c r="AM21" s="30">
        <v>711313</v>
      </c>
      <c r="AN21" s="30">
        <v>181514</v>
      </c>
      <c r="AO21" s="30">
        <v>559766</v>
      </c>
      <c r="AP21" s="27">
        <v>766306</v>
      </c>
      <c r="AQ21" s="28">
        <v>872931</v>
      </c>
      <c r="AR21" s="29">
        <v>795276</v>
      </c>
      <c r="AS21" s="27">
        <v>0</v>
      </c>
      <c r="AT21" s="28">
        <v>0</v>
      </c>
      <c r="AU21" s="29">
        <v>0</v>
      </c>
      <c r="AV21" s="27">
        <v>349767.35000000009</v>
      </c>
      <c r="AW21" s="28">
        <v>363395.81999999954</v>
      </c>
      <c r="AX21" s="29">
        <v>1290487.3999999997</v>
      </c>
      <c r="AY21" s="27">
        <v>9129300.870000001</v>
      </c>
      <c r="AZ21" s="28">
        <v>8759732.4499999993</v>
      </c>
      <c r="BA21" s="29">
        <v>8202957.4299999997</v>
      </c>
      <c r="BB21" s="24">
        <v>0</v>
      </c>
      <c r="BC21" s="25">
        <v>0</v>
      </c>
      <c r="BD21" s="26">
        <v>0</v>
      </c>
      <c r="BE21" s="24">
        <v>3.7273887407006406E-2</v>
      </c>
      <c r="BF21" s="25">
        <v>4.0231603406152512E-2</v>
      </c>
      <c r="BG21" s="26">
        <v>0.12652204416912488</v>
      </c>
      <c r="BH21" s="24">
        <v>0.97288821478924659</v>
      </c>
      <c r="BI21" s="25">
        <v>0.96979123720356797</v>
      </c>
      <c r="BJ21" s="26">
        <v>0.8042348513250972</v>
      </c>
      <c r="BK21" s="24">
        <v>0.85829999999999995</v>
      </c>
      <c r="BL21" s="25">
        <v>0.77500000000000002</v>
      </c>
      <c r="BM21" s="26">
        <v>0.81669999999999998</v>
      </c>
    </row>
    <row r="22" spans="1:65" x14ac:dyDescent="0.2">
      <c r="A22" s="22">
        <v>5206</v>
      </c>
      <c r="B22" s="23" t="s">
        <v>39</v>
      </c>
      <c r="C22" s="24">
        <v>0.66027231539365094</v>
      </c>
      <c r="D22" s="25">
        <v>0.69118681517488145</v>
      </c>
      <c r="E22" s="26">
        <v>0.64891628392700895</v>
      </c>
      <c r="F22" s="24">
        <v>1.1434990695989176</v>
      </c>
      <c r="G22" s="25">
        <v>1.0639665702303247</v>
      </c>
      <c r="H22" s="26">
        <v>1.0994082412790001</v>
      </c>
      <c r="I22" s="24">
        <v>0.15886957856990583</v>
      </c>
      <c r="J22" s="25">
        <v>3.1894642696393027E-2</v>
      </c>
      <c r="K22" s="26">
        <v>0.13134994821726245</v>
      </c>
      <c r="L22" s="24">
        <v>7.5468120882601394E-2</v>
      </c>
      <c r="M22" s="25">
        <v>5.6591199276797927E-2</v>
      </c>
      <c r="N22" s="26">
        <v>5.3970599457272415E-2</v>
      </c>
      <c r="O22" s="27">
        <v>164</v>
      </c>
      <c r="P22" s="28">
        <v>148</v>
      </c>
      <c r="Q22" s="29">
        <v>118</v>
      </c>
      <c r="R22" s="24">
        <v>0</v>
      </c>
      <c r="S22" s="25">
        <v>0</v>
      </c>
      <c r="T22" s="26">
        <v>0</v>
      </c>
      <c r="U22" s="27">
        <v>131.66086956521738</v>
      </c>
      <c r="V22" s="28">
        <v>131.66086956521738</v>
      </c>
      <c r="W22" s="29">
        <v>144.84549356223175</v>
      </c>
      <c r="X22" s="24">
        <v>0.45549997957926669</v>
      </c>
      <c r="Y22" s="25">
        <v>0.44750254930528705</v>
      </c>
      <c r="Z22" s="26">
        <v>0.44656830990035989</v>
      </c>
      <c r="AA22" s="24">
        <v>0.10259001588033966</v>
      </c>
      <c r="AB22" s="25">
        <v>0.13983437850820021</v>
      </c>
      <c r="AC22" s="26">
        <v>9.9278118868034643E-2</v>
      </c>
      <c r="AD22" s="27">
        <v>34236106</v>
      </c>
      <c r="AE22" s="28">
        <v>79046609</v>
      </c>
      <c r="AF22" s="29">
        <v>39600222</v>
      </c>
      <c r="AG22" s="27">
        <v>43485216</v>
      </c>
      <c r="AH22" s="28">
        <v>109385683</v>
      </c>
      <c r="AI22" s="29">
        <v>53562558</v>
      </c>
      <c r="AJ22" s="27">
        <v>8237625</v>
      </c>
      <c r="AK22" s="28">
        <v>3647586</v>
      </c>
      <c r="AL22" s="29">
        <v>8015652</v>
      </c>
      <c r="AM22" s="30">
        <v>21450306</v>
      </c>
      <c r="AN22" s="30">
        <v>16452540</v>
      </c>
      <c r="AO22" s="30">
        <v>24123105</v>
      </c>
      <c r="AP22" s="27">
        <v>4979243</v>
      </c>
      <c r="AQ22" s="28">
        <v>4479143</v>
      </c>
      <c r="AR22" s="29">
        <v>3979043</v>
      </c>
      <c r="AS22" s="27">
        <v>0</v>
      </c>
      <c r="AT22" s="28">
        <v>0</v>
      </c>
      <c r="AU22" s="29">
        <v>0</v>
      </c>
      <c r="AV22" s="27">
        <v>2240700.8199999984</v>
      </c>
      <c r="AW22" s="28">
        <v>1957634.8099999989</v>
      </c>
      <c r="AX22" s="29">
        <v>2941704.0600000005</v>
      </c>
      <c r="AY22" s="27">
        <v>46491713.780000001</v>
      </c>
      <c r="AZ22" s="28">
        <v>59647044.170000002</v>
      </c>
      <c r="BA22" s="29">
        <v>65297471.969999999</v>
      </c>
      <c r="BB22" s="24">
        <v>0</v>
      </c>
      <c r="BC22" s="25">
        <v>0</v>
      </c>
      <c r="BD22" s="26">
        <v>0</v>
      </c>
      <c r="BE22" s="24">
        <v>2.0520639206641794E-2</v>
      </c>
      <c r="BF22" s="25">
        <v>2.1920497127789599E-2</v>
      </c>
      <c r="BG22" s="26">
        <v>2.2438941707833532E-2</v>
      </c>
      <c r="BH22" s="24">
        <v>0.42577736218163981</v>
      </c>
      <c r="BI22" s="25">
        <v>0.66789416173572491</v>
      </c>
      <c r="BJ22" s="26">
        <v>0.49808075092493287</v>
      </c>
      <c r="BK22" s="24">
        <v>0.75322</v>
      </c>
      <c r="BL22" s="25">
        <v>0.68284</v>
      </c>
      <c r="BM22" s="26">
        <v>0.71799999999999997</v>
      </c>
    </row>
    <row r="23" spans="1:65" x14ac:dyDescent="0.2">
      <c r="A23" s="22">
        <v>5207</v>
      </c>
      <c r="B23" s="23" t="s">
        <v>40</v>
      </c>
      <c r="C23" s="24">
        <v>0.41805138742206316</v>
      </c>
      <c r="D23" s="25">
        <v>0.40360189677624964</v>
      </c>
      <c r="E23" s="26">
        <v>0.34639927120942882</v>
      </c>
      <c r="F23" s="24">
        <v>0.65447649591861567</v>
      </c>
      <c r="G23" s="25">
        <v>0.7128683299092633</v>
      </c>
      <c r="H23" s="26">
        <v>0.9923247821510498</v>
      </c>
      <c r="I23" s="24">
        <v>-0.1368701232253802</v>
      </c>
      <c r="J23" s="25">
        <v>-0.12434960093562347</v>
      </c>
      <c r="K23" s="26">
        <v>0.11563960370036908</v>
      </c>
      <c r="L23" s="24">
        <v>0.69725235459223989</v>
      </c>
      <c r="M23" s="25">
        <v>0.62992169159684031</v>
      </c>
      <c r="N23" s="26">
        <v>0.55276554948140966</v>
      </c>
      <c r="O23" s="27">
        <v>619</v>
      </c>
      <c r="P23" s="28">
        <v>579</v>
      </c>
      <c r="Q23" s="29">
        <v>529</v>
      </c>
      <c r="R23" s="24">
        <v>3.5603567206380776E-3</v>
      </c>
      <c r="S23" s="25">
        <v>5.4088805967475152E-2</v>
      </c>
      <c r="T23" s="26">
        <v>8.2504016397287119E-2</v>
      </c>
      <c r="U23" s="27">
        <v>210.5</v>
      </c>
      <c r="V23" s="28">
        <v>210.5</v>
      </c>
      <c r="W23" s="29">
        <v>250.91509433962264</v>
      </c>
      <c r="X23" s="24">
        <v>0.43509736970588586</v>
      </c>
      <c r="Y23" s="25">
        <v>0.46874297444065466</v>
      </c>
      <c r="Z23" s="26">
        <v>0.57769451430552499</v>
      </c>
      <c r="AA23" s="24">
        <v>0.29536780659803807</v>
      </c>
      <c r="AB23" s="25">
        <v>0.24839678791371422</v>
      </c>
      <c r="AC23" s="26">
        <v>9.1927743752659247E-2</v>
      </c>
      <c r="AD23" s="27">
        <v>12519994</v>
      </c>
      <c r="AE23" s="28">
        <v>23872134</v>
      </c>
      <c r="AF23" s="29">
        <v>11395961</v>
      </c>
      <c r="AG23" s="27">
        <v>34849905</v>
      </c>
      <c r="AH23" s="28">
        <v>67801541</v>
      </c>
      <c r="AI23" s="29">
        <v>28936792</v>
      </c>
      <c r="AJ23" s="27">
        <v>-4099049</v>
      </c>
      <c r="AK23" s="28">
        <v>-7354996</v>
      </c>
      <c r="AL23" s="29">
        <v>3804351</v>
      </c>
      <c r="AM23" s="30">
        <v>7371245</v>
      </c>
      <c r="AN23" s="30">
        <v>2811434</v>
      </c>
      <c r="AO23" s="30">
        <v>5645790</v>
      </c>
      <c r="AP23" s="27">
        <v>16164842</v>
      </c>
      <c r="AQ23" s="28">
        <v>15118268</v>
      </c>
      <c r="AR23" s="29">
        <v>14071694</v>
      </c>
      <c r="AS23" s="27">
        <v>82542</v>
      </c>
      <c r="AT23" s="28">
        <v>1298144</v>
      </c>
      <c r="AU23" s="29">
        <v>2100296</v>
      </c>
      <c r="AV23" s="27">
        <v>1358459.0200000033</v>
      </c>
      <c r="AW23" s="28">
        <v>3130685.3000000017</v>
      </c>
      <c r="AX23" s="29">
        <v>5154735.9399999995</v>
      </c>
      <c r="AY23" s="27">
        <v>28839364.34</v>
      </c>
      <c r="AZ23" s="28">
        <v>52301121.079999998</v>
      </c>
      <c r="BA23" s="29">
        <v>47682404.159999996</v>
      </c>
      <c r="BB23" s="24">
        <v>1.2487689243137587E-3</v>
      </c>
      <c r="BC23" s="25">
        <v>1.9146231499369608E-2</v>
      </c>
      <c r="BD23" s="26">
        <v>3.3823690004284215E-2</v>
      </c>
      <c r="BE23" s="24">
        <v>2.0551978497367729E-2</v>
      </c>
      <c r="BF23" s="25">
        <v>6.4342658873441455E-2</v>
      </c>
      <c r="BG23" s="26">
        <v>8.3013151712188454E-2</v>
      </c>
      <c r="BH23" s="24">
        <v>0.43630760079419417</v>
      </c>
      <c r="BI23" s="25">
        <v>1.0749062489126568</v>
      </c>
      <c r="BJ23" s="26">
        <v>0.76788931510931402</v>
      </c>
      <c r="BK23" s="24">
        <v>0.80908999999999998</v>
      </c>
      <c r="BL23" s="25">
        <v>0.77073000000000003</v>
      </c>
      <c r="BM23" s="26">
        <v>0.78990000000000005</v>
      </c>
    </row>
    <row r="24" spans="1:65" x14ac:dyDescent="0.2">
      <c r="A24" s="22">
        <v>5208</v>
      </c>
      <c r="B24" s="23" t="s">
        <v>41</v>
      </c>
      <c r="C24" s="24">
        <v>0.56096500585331455</v>
      </c>
      <c r="D24" s="25">
        <v>0.59170573030216889</v>
      </c>
      <c r="E24" s="26">
        <v>0.59466726056472197</v>
      </c>
      <c r="F24" s="24">
        <v>0.6145415318548707</v>
      </c>
      <c r="G24" s="25">
        <v>0.70880032008543448</v>
      </c>
      <c r="H24" s="26">
        <v>0.9794534186562065</v>
      </c>
      <c r="I24" s="24">
        <v>-0.29473155586353994</v>
      </c>
      <c r="J24" s="25">
        <v>-0.24118968259451248</v>
      </c>
      <c r="K24" s="26">
        <v>8.2898568353879765E-2</v>
      </c>
      <c r="L24" s="24">
        <v>0.26221590838069514</v>
      </c>
      <c r="M24" s="25">
        <v>0.30623160454548271</v>
      </c>
      <c r="N24" s="26">
        <v>0.19479150676874837</v>
      </c>
      <c r="O24" s="27">
        <v>663</v>
      </c>
      <c r="P24" s="28">
        <v>624</v>
      </c>
      <c r="Q24" s="29">
        <v>578</v>
      </c>
      <c r="R24" s="24">
        <v>5.3428932392487756E-2</v>
      </c>
      <c r="S24" s="25">
        <v>0.17505795368061716</v>
      </c>
      <c r="T24" s="26">
        <v>9.0559497548279827E-2</v>
      </c>
      <c r="U24" s="27">
        <v>121.05882352941177</v>
      </c>
      <c r="V24" s="28">
        <v>128.625</v>
      </c>
      <c r="W24" s="29">
        <v>125.04</v>
      </c>
      <c r="X24" s="24">
        <v>0.43812329239008663</v>
      </c>
      <c r="Y24" s="25">
        <v>0.48741596555395689</v>
      </c>
      <c r="Z24" s="26">
        <v>0.52254656980060976</v>
      </c>
      <c r="AA24" s="24">
        <v>0.32114484904492019</v>
      </c>
      <c r="AB24" s="25">
        <v>0.20113013859787157</v>
      </c>
      <c r="AC24" s="26">
        <v>0.11475627204651456</v>
      </c>
      <c r="AD24" s="27">
        <v>5839837</v>
      </c>
      <c r="AE24" s="28">
        <v>12538874</v>
      </c>
      <c r="AF24" s="29">
        <v>7978320</v>
      </c>
      <c r="AG24" s="27">
        <v>13539392</v>
      </c>
      <c r="AH24" s="28">
        <v>26393046</v>
      </c>
      <c r="AI24" s="29">
        <v>12391131</v>
      </c>
      <c r="AJ24" s="27">
        <v>-3068256</v>
      </c>
      <c r="AK24" s="28">
        <v>-5111066</v>
      </c>
      <c r="AL24" s="29">
        <v>1112204</v>
      </c>
      <c r="AM24" s="30">
        <v>8121178</v>
      </c>
      <c r="AN24" s="30">
        <v>6018436</v>
      </c>
      <c r="AO24" s="30">
        <v>6868366</v>
      </c>
      <c r="AP24" s="27">
        <v>4090645</v>
      </c>
      <c r="AQ24" s="28">
        <v>3852355</v>
      </c>
      <c r="AR24" s="29">
        <v>3614065</v>
      </c>
      <c r="AS24" s="27">
        <v>833507</v>
      </c>
      <c r="AT24" s="28">
        <v>2202207</v>
      </c>
      <c r="AU24" s="29">
        <v>1680196</v>
      </c>
      <c r="AV24" s="27">
        <v>2683611.5599999996</v>
      </c>
      <c r="AW24" s="28">
        <v>3642885.2500000019</v>
      </c>
      <c r="AX24" s="29">
        <v>3137319.2200000007</v>
      </c>
      <c r="AY24" s="27">
        <v>9717250.0399999991</v>
      </c>
      <c r="AZ24" s="28">
        <v>6776897.8000000017</v>
      </c>
      <c r="BA24" s="29">
        <v>13692284.219999999</v>
      </c>
      <c r="BB24" s="24">
        <v>2.2826581902388877E-2</v>
      </c>
      <c r="BC24" s="25">
        <v>8.3438910385712967E-2</v>
      </c>
      <c r="BD24" s="26">
        <v>4.8089324888611784E-2</v>
      </c>
      <c r="BE24" s="24">
        <v>7.3493898753744805E-2</v>
      </c>
      <c r="BF24" s="25">
        <v>0.15968812054794529</v>
      </c>
      <c r="BG24" s="26">
        <v>8.9794025964748239E-2</v>
      </c>
      <c r="BH24" s="24">
        <v>0.26611846559663155</v>
      </c>
      <c r="BI24" s="25">
        <v>0.29706949260273979</v>
      </c>
      <c r="BJ24" s="26">
        <v>0.39189041297729094</v>
      </c>
      <c r="BK24" s="24">
        <v>0.83228000000000002</v>
      </c>
      <c r="BL24" s="25">
        <v>0.77622000000000002</v>
      </c>
      <c r="BM24" s="26">
        <v>0.80430000000000001</v>
      </c>
    </row>
    <row r="25" spans="1:65" x14ac:dyDescent="0.2">
      <c r="A25" s="22">
        <v>5209</v>
      </c>
      <c r="B25" s="23" t="s">
        <v>42</v>
      </c>
      <c r="C25" s="24">
        <v>0.11693872370626128</v>
      </c>
      <c r="D25" s="25">
        <v>0.11097144424661121</v>
      </c>
      <c r="E25" s="26">
        <v>0.11166680280095972</v>
      </c>
      <c r="F25" s="24">
        <v>0.5421328958589301</v>
      </c>
      <c r="G25" s="25">
        <v>0.36348214099067855</v>
      </c>
      <c r="H25" s="26">
        <v>1.0229877303915171</v>
      </c>
      <c r="I25" s="24">
        <v>0.20101531410889015</v>
      </c>
      <c r="J25" s="25">
        <v>-7.7307315270890228E-2</v>
      </c>
      <c r="K25" s="26">
        <v>0.2926291126471709</v>
      </c>
      <c r="L25" s="24">
        <v>0</v>
      </c>
      <c r="M25" s="25">
        <v>0</v>
      </c>
      <c r="N25" s="26">
        <v>0</v>
      </c>
      <c r="O25" s="27">
        <v>0</v>
      </c>
      <c r="P25" s="28">
        <v>0</v>
      </c>
      <c r="Q25" s="29">
        <v>0</v>
      </c>
      <c r="R25" s="24">
        <v>0</v>
      </c>
      <c r="S25" s="25">
        <v>0</v>
      </c>
      <c r="T25" s="26">
        <v>0</v>
      </c>
      <c r="U25" s="27">
        <v>203.79527559055117</v>
      </c>
      <c r="V25" s="28">
        <v>205.4126984126984</v>
      </c>
      <c r="W25" s="29">
        <v>206.54400000000001</v>
      </c>
      <c r="X25" s="24">
        <v>0.66225419863214718</v>
      </c>
      <c r="Y25" s="25">
        <v>0.63976173624674215</v>
      </c>
      <c r="Z25" s="26">
        <v>0.76096759617922916</v>
      </c>
      <c r="AA25" s="24">
        <v>0.11972879785095002</v>
      </c>
      <c r="AB25" s="25">
        <v>0.16078509053293921</v>
      </c>
      <c r="AC25" s="26">
        <v>2.8158838958120949E-2</v>
      </c>
      <c r="AD25" s="27">
        <v>2708799</v>
      </c>
      <c r="AE25" s="28">
        <v>4781653</v>
      </c>
      <c r="AF25" s="29">
        <v>2775245</v>
      </c>
      <c r="AG25" s="27">
        <v>18273749</v>
      </c>
      <c r="AH25" s="28">
        <v>45944714</v>
      </c>
      <c r="AI25" s="29">
        <v>17406435</v>
      </c>
      <c r="AJ25" s="27">
        <v>4656371</v>
      </c>
      <c r="AK25" s="28">
        <v>-3331098</v>
      </c>
      <c r="AL25" s="29">
        <v>7272685</v>
      </c>
      <c r="AM25" s="30">
        <v>15800681</v>
      </c>
      <c r="AN25" s="30">
        <v>7836954</v>
      </c>
      <c r="AO25" s="30">
        <v>15290917</v>
      </c>
      <c r="AP25" s="27">
        <v>0</v>
      </c>
      <c r="AQ25" s="28">
        <v>0</v>
      </c>
      <c r="AR25" s="29">
        <v>0</v>
      </c>
      <c r="AS25" s="27">
        <v>0</v>
      </c>
      <c r="AT25" s="28">
        <v>0</v>
      </c>
      <c r="AU25" s="29">
        <v>0</v>
      </c>
      <c r="AV25" s="27">
        <v>95356.080000000045</v>
      </c>
      <c r="AW25" s="28">
        <v>170019.92999999964</v>
      </c>
      <c r="AX25" s="29">
        <v>98917.230000000098</v>
      </c>
      <c r="AY25" s="27">
        <v>3579490.6199999996</v>
      </c>
      <c r="AZ25" s="28">
        <v>8162382.6500000004</v>
      </c>
      <c r="BA25" s="29">
        <v>13584374.609999999</v>
      </c>
      <c r="BB25" s="24">
        <v>0</v>
      </c>
      <c r="BC25" s="25">
        <v>0</v>
      </c>
      <c r="BD25" s="26">
        <v>0</v>
      </c>
      <c r="BE25" s="24">
        <v>1.9538028742490539E-3</v>
      </c>
      <c r="BF25" s="25">
        <v>4.6312856851509383E-3</v>
      </c>
      <c r="BG25" s="26">
        <v>2.0250316645249924E-3</v>
      </c>
      <c r="BH25" s="24">
        <v>7.3342140969967773E-2</v>
      </c>
      <c r="BI25" s="25">
        <v>0.22234055691982385</v>
      </c>
      <c r="BJ25" s="26">
        <v>0.27809906047732347</v>
      </c>
      <c r="BK25" s="24">
        <v>0.83974000000000004</v>
      </c>
      <c r="BL25" s="25">
        <v>0.81361000000000006</v>
      </c>
      <c r="BM25" s="26">
        <v>0.82669999999999999</v>
      </c>
    </row>
    <row r="26" spans="1:65" x14ac:dyDescent="0.2">
      <c r="A26" s="22">
        <v>5210</v>
      </c>
      <c r="B26" s="23" t="s">
        <v>43</v>
      </c>
      <c r="C26" s="24">
        <v>0.56069352454273858</v>
      </c>
      <c r="D26" s="25">
        <v>0.56312975674989985</v>
      </c>
      <c r="E26" s="26">
        <v>0.58195363473633899</v>
      </c>
      <c r="F26" s="24">
        <v>1.0488848025800486</v>
      </c>
      <c r="G26" s="25">
        <v>0.97542876835394254</v>
      </c>
      <c r="H26" s="26">
        <v>1.3869352867264833</v>
      </c>
      <c r="I26" s="24">
        <v>7.0464584298438174E-2</v>
      </c>
      <c r="J26" s="25">
        <v>8.7285617907660699E-3</v>
      </c>
      <c r="K26" s="26">
        <v>0.17848661309590921</v>
      </c>
      <c r="L26" s="24">
        <v>0.67094167303786001</v>
      </c>
      <c r="M26" s="25">
        <v>0.66938043445979245</v>
      </c>
      <c r="N26" s="26">
        <v>0.54687291256338522</v>
      </c>
      <c r="O26" s="27">
        <v>1294</v>
      </c>
      <c r="P26" s="28">
        <v>1193</v>
      </c>
      <c r="Q26" s="29">
        <v>1144</v>
      </c>
      <c r="R26" s="24">
        <v>0</v>
      </c>
      <c r="S26" s="25">
        <v>0</v>
      </c>
      <c r="T26" s="26">
        <v>0</v>
      </c>
      <c r="U26" s="27">
        <v>105.99156118143461</v>
      </c>
      <c r="V26" s="28">
        <v>103.80165289256199</v>
      </c>
      <c r="W26" s="29">
        <v>111.25991189427313</v>
      </c>
      <c r="X26" s="24">
        <v>0.45544870566624268</v>
      </c>
      <c r="Y26" s="25">
        <v>0.45563373870944429</v>
      </c>
      <c r="Z26" s="26">
        <v>0.53414582860359772</v>
      </c>
      <c r="AA26" s="24">
        <v>0.12850123252508494</v>
      </c>
      <c r="AB26" s="25">
        <v>0.11564307692369748</v>
      </c>
      <c r="AC26" s="26">
        <v>3.3506382315661783E-2</v>
      </c>
      <c r="AD26" s="27">
        <v>11239280</v>
      </c>
      <c r="AE26" s="28">
        <v>22247355</v>
      </c>
      <c r="AF26" s="29">
        <v>12976394</v>
      </c>
      <c r="AG26" s="27">
        <v>18501449</v>
      </c>
      <c r="AH26" s="28">
        <v>39667113</v>
      </c>
      <c r="AI26" s="29">
        <v>17905335</v>
      </c>
      <c r="AJ26" s="27">
        <v>1412485</v>
      </c>
      <c r="AK26" s="28">
        <v>344836</v>
      </c>
      <c r="AL26" s="29">
        <v>3979892</v>
      </c>
      <c r="AM26" s="30">
        <v>4267722</v>
      </c>
      <c r="AN26" s="30">
        <v>2327924</v>
      </c>
      <c r="AO26" s="30">
        <v>5663624</v>
      </c>
      <c r="AP26" s="27">
        <v>16250000</v>
      </c>
      <c r="AQ26" s="28">
        <v>14988268</v>
      </c>
      <c r="AR26" s="29">
        <v>14450000</v>
      </c>
      <c r="AS26" s="27">
        <v>0</v>
      </c>
      <c r="AT26" s="28">
        <v>0</v>
      </c>
      <c r="AU26" s="29">
        <v>0</v>
      </c>
      <c r="AV26" s="27">
        <v>121862.19999999923</v>
      </c>
      <c r="AW26" s="28">
        <v>1830433.7299999984</v>
      </c>
      <c r="AX26" s="29">
        <v>111722.15999999979</v>
      </c>
      <c r="AY26" s="27">
        <v>15796940.299999999</v>
      </c>
      <c r="AZ26" s="28">
        <v>34515783.239999995</v>
      </c>
      <c r="BA26" s="29">
        <v>53860240.480000004</v>
      </c>
      <c r="BB26" s="24">
        <v>0</v>
      </c>
      <c r="BC26" s="25">
        <v>0</v>
      </c>
      <c r="BD26" s="26">
        <v>0</v>
      </c>
      <c r="BE26" s="24">
        <v>3.0171621831569387E-3</v>
      </c>
      <c r="BF26" s="25">
        <v>5.8926577080218034E-2</v>
      </c>
      <c r="BG26" s="26">
        <v>2.6109798648313487E-3</v>
      </c>
      <c r="BH26" s="24">
        <v>0.39111333032513879</v>
      </c>
      <c r="BI26" s="25">
        <v>1.1111557486301125</v>
      </c>
      <c r="BJ26" s="26">
        <v>1.2587297220914331</v>
      </c>
      <c r="BK26" s="24">
        <v>0.85863</v>
      </c>
      <c r="BL26" s="25">
        <v>0.73860000000000003</v>
      </c>
      <c r="BM26" s="26">
        <v>0.79859999999999998</v>
      </c>
    </row>
    <row r="27" spans="1:65" x14ac:dyDescent="0.2">
      <c r="A27" s="22">
        <v>5211</v>
      </c>
      <c r="B27" s="23" t="s">
        <v>44</v>
      </c>
      <c r="C27" s="24">
        <v>0.19490563551718512</v>
      </c>
      <c r="D27" s="25">
        <v>0.19908969564093643</v>
      </c>
      <c r="E27" s="26">
        <v>0.20150253346000871</v>
      </c>
      <c r="F27" s="24">
        <v>0.45063360366025701</v>
      </c>
      <c r="G27" s="25">
        <v>0.45172854706148247</v>
      </c>
      <c r="H27" s="26">
        <v>0.67575310422850687</v>
      </c>
      <c r="I27" s="24">
        <v>-0.14000144307387283</v>
      </c>
      <c r="J27" s="25">
        <v>-7.7360708962167679E-2</v>
      </c>
      <c r="K27" s="26">
        <v>-3.475159489413814E-3</v>
      </c>
      <c r="L27" s="24">
        <v>9.2570896614233011E-4</v>
      </c>
      <c r="M27" s="25">
        <v>5.7060613630686074E-3</v>
      </c>
      <c r="N27" s="26">
        <v>3.8012044732963564E-3</v>
      </c>
      <c r="O27" s="27">
        <v>1</v>
      </c>
      <c r="P27" s="28">
        <v>4</v>
      </c>
      <c r="Q27" s="29">
        <v>3</v>
      </c>
      <c r="R27" s="24">
        <v>0.10903401333548661</v>
      </c>
      <c r="S27" s="25">
        <v>7.3728567210955415E-2</v>
      </c>
      <c r="T27" s="26">
        <v>5.7439306676696555E-2</v>
      </c>
      <c r="U27" s="27">
        <v>168.03896103896105</v>
      </c>
      <c r="V27" s="28">
        <v>219.30508474576271</v>
      </c>
      <c r="W27" s="29">
        <v>217.61016949152543</v>
      </c>
      <c r="X27" s="24">
        <v>0.64605285502202114</v>
      </c>
      <c r="Y27" s="25">
        <v>0.61122132949040464</v>
      </c>
      <c r="Z27" s="26">
        <v>0.74172963088336075</v>
      </c>
      <c r="AA27" s="24">
        <v>0.16367022751663921</v>
      </c>
      <c r="AB27" s="25">
        <v>0.16964698371772707</v>
      </c>
      <c r="AC27" s="26">
        <v>5.2684193801719452E-2</v>
      </c>
      <c r="AD27" s="27">
        <v>3106445</v>
      </c>
      <c r="AE27" s="28">
        <v>7235300</v>
      </c>
      <c r="AF27" s="29">
        <v>3552776</v>
      </c>
      <c r="AG27" s="27">
        <v>17730879</v>
      </c>
      <c r="AH27" s="28">
        <v>38831495</v>
      </c>
      <c r="AI27" s="29">
        <v>17550577</v>
      </c>
      <c r="AJ27" s="27">
        <v>-2231371</v>
      </c>
      <c r="AK27" s="28">
        <v>-2811436</v>
      </c>
      <c r="AL27" s="29">
        <v>-61272</v>
      </c>
      <c r="AM27" s="30">
        <v>3489160</v>
      </c>
      <c r="AN27" s="30">
        <v>3085584</v>
      </c>
      <c r="AO27" s="30">
        <v>3278913</v>
      </c>
      <c r="AP27" s="27">
        <v>9051</v>
      </c>
      <c r="AQ27" s="28">
        <v>50251</v>
      </c>
      <c r="AR27" s="29">
        <v>38586</v>
      </c>
      <c r="AS27" s="27">
        <v>1066066</v>
      </c>
      <c r="AT27" s="28">
        <v>649298</v>
      </c>
      <c r="AU27" s="29">
        <v>583066</v>
      </c>
      <c r="AV27" s="27">
        <v>1816217.7599999998</v>
      </c>
      <c r="AW27" s="28">
        <v>8734143.8400000017</v>
      </c>
      <c r="AX27" s="29">
        <v>1039341.3200000003</v>
      </c>
      <c r="AY27" s="27">
        <v>15137503.420000002</v>
      </c>
      <c r="AZ27" s="28">
        <v>9258680.0400000028</v>
      </c>
      <c r="BA27" s="29">
        <v>10783639.640000001</v>
      </c>
      <c r="BB27" s="24">
        <v>2.7948840219844655E-2</v>
      </c>
      <c r="BC27" s="25">
        <v>1.6720911723846842E-2</v>
      </c>
      <c r="BD27" s="26">
        <v>1.5055089840180813E-2</v>
      </c>
      <c r="BE27" s="24">
        <v>4.7615419663214247E-2</v>
      </c>
      <c r="BF27" s="25">
        <v>0.27420333892792281</v>
      </c>
      <c r="BG27" s="26">
        <v>2.6836373493244536E-2</v>
      </c>
      <c r="BH27" s="24">
        <v>0.39685691543762963</v>
      </c>
      <c r="BI27" s="25">
        <v>0.29067084622610412</v>
      </c>
      <c r="BJ27" s="26">
        <v>0.27843959960679421</v>
      </c>
      <c r="BK27" s="24">
        <v>0.90017999999999998</v>
      </c>
      <c r="BL27" s="25">
        <v>0.72016000000000002</v>
      </c>
      <c r="BM27" s="26">
        <v>0.81020000000000003</v>
      </c>
    </row>
    <row r="28" spans="1:65" x14ac:dyDescent="0.2">
      <c r="A28" s="22">
        <v>5212</v>
      </c>
      <c r="B28" s="23" t="s">
        <v>45</v>
      </c>
      <c r="C28" s="24">
        <v>0.16928951447760923</v>
      </c>
      <c r="D28" s="25">
        <v>0.13885464379481322</v>
      </c>
      <c r="E28" s="26">
        <v>0.15783935387732861</v>
      </c>
      <c r="F28" s="24">
        <v>0.24521633164932266</v>
      </c>
      <c r="G28" s="25">
        <v>0.22213528476036298</v>
      </c>
      <c r="H28" s="26">
        <v>0.87102973620108504</v>
      </c>
      <c r="I28" s="24">
        <v>-0.27789860225298635</v>
      </c>
      <c r="J28" s="25">
        <v>-0.19838694693957504</v>
      </c>
      <c r="K28" s="26">
        <v>0.17361836789852592</v>
      </c>
      <c r="L28" s="24">
        <v>0.14812320252998878</v>
      </c>
      <c r="M28" s="25">
        <v>0.30268784673512739</v>
      </c>
      <c r="N28" s="26">
        <v>0.26375356637208541</v>
      </c>
      <c r="O28" s="27">
        <v>101</v>
      </c>
      <c r="P28" s="28">
        <v>177</v>
      </c>
      <c r="Q28" s="29">
        <v>170</v>
      </c>
      <c r="R28" s="24">
        <v>0.18595219481479647</v>
      </c>
      <c r="S28" s="25">
        <v>0.14191770155392014</v>
      </c>
      <c r="T28" s="26">
        <v>0.14093205020024893</v>
      </c>
      <c r="U28" s="27">
        <v>159.67692307692309</v>
      </c>
      <c r="V28" s="28">
        <v>162.171875</v>
      </c>
      <c r="W28" s="29">
        <v>153.55223880597015</v>
      </c>
      <c r="X28" s="24">
        <v>0.43042624026520182</v>
      </c>
      <c r="Y28" s="25">
        <v>0.43845274963987901</v>
      </c>
      <c r="Z28" s="26">
        <v>0.74089453489461521</v>
      </c>
      <c r="AA28" s="24">
        <v>0.41608421447895066</v>
      </c>
      <c r="AB28" s="25">
        <v>0.38075798102715536</v>
      </c>
      <c r="AC28" s="26">
        <v>3.1254881524404275E-2</v>
      </c>
      <c r="AD28" s="27">
        <v>2280711</v>
      </c>
      <c r="AE28" s="28">
        <v>4294298</v>
      </c>
      <c r="AF28" s="29">
        <v>2184121</v>
      </c>
      <c r="AG28" s="27">
        <v>16873488</v>
      </c>
      <c r="AH28" s="28">
        <v>36665456</v>
      </c>
      <c r="AI28" s="29">
        <v>11580655</v>
      </c>
      <c r="AJ28" s="27">
        <v>-3743920</v>
      </c>
      <c r="AK28" s="28">
        <v>-6135428</v>
      </c>
      <c r="AL28" s="29">
        <v>2402465</v>
      </c>
      <c r="AM28" s="30">
        <v>4756244</v>
      </c>
      <c r="AN28" s="30">
        <v>3179832</v>
      </c>
      <c r="AO28" s="30">
        <v>5513832</v>
      </c>
      <c r="AP28" s="27">
        <v>1046820</v>
      </c>
      <c r="AQ28" s="28">
        <v>1837920</v>
      </c>
      <c r="AR28" s="29">
        <v>1744800</v>
      </c>
      <c r="AS28" s="27">
        <v>1314166</v>
      </c>
      <c r="AT28" s="28">
        <v>861724</v>
      </c>
      <c r="AU28" s="29">
        <v>932303</v>
      </c>
      <c r="AV28" s="27">
        <v>1517321.179999999</v>
      </c>
      <c r="AW28" s="28">
        <v>2186279.61</v>
      </c>
      <c r="AX28" s="29">
        <v>1929531.01</v>
      </c>
      <c r="AY28" s="27">
        <v>5465972.8399999989</v>
      </c>
      <c r="AZ28" s="28">
        <v>16874753.73</v>
      </c>
      <c r="BA28" s="29">
        <v>15383735.9</v>
      </c>
      <c r="BB28" s="24">
        <v>3.9730285391577309E-2</v>
      </c>
      <c r="BC28" s="25">
        <v>2.3502339640887052E-2</v>
      </c>
      <c r="BD28" s="26">
        <v>3.2134859399326511E-2</v>
      </c>
      <c r="BE28" s="24">
        <v>4.5872137547375902E-2</v>
      </c>
      <c r="BF28" s="25">
        <v>8.4677898544760544E-2</v>
      </c>
      <c r="BG28" s="26">
        <v>6.6507570728604831E-2</v>
      </c>
      <c r="BH28" s="24">
        <v>0.16524903313265621</v>
      </c>
      <c r="BI28" s="25">
        <v>0.65358459996649731</v>
      </c>
      <c r="BJ28" s="26">
        <v>0.53025056251333702</v>
      </c>
      <c r="BK28" s="24">
        <v>0.80613000000000001</v>
      </c>
      <c r="BL28" s="25">
        <v>0.75126000000000004</v>
      </c>
      <c r="BM28" s="26">
        <v>0.77869999999999995</v>
      </c>
    </row>
    <row r="29" spans="1:65" x14ac:dyDescent="0.2">
      <c r="A29" s="22">
        <v>5213</v>
      </c>
      <c r="B29" s="23" t="s">
        <v>46</v>
      </c>
      <c r="C29" s="24">
        <v>0.46893188338141423</v>
      </c>
      <c r="D29" s="25">
        <v>0.48053120770676222</v>
      </c>
      <c r="E29" s="26">
        <v>0.54276356831590966</v>
      </c>
      <c r="F29" s="24">
        <v>0.92424331216244038</v>
      </c>
      <c r="G29" s="25">
        <v>0.65077070550479077</v>
      </c>
      <c r="H29" s="26">
        <v>1.0400579010753854</v>
      </c>
      <c r="I29" s="24">
        <v>-3.4470388273023099E-3</v>
      </c>
      <c r="J29" s="25">
        <v>-0.85459428689076855</v>
      </c>
      <c r="K29" s="26">
        <v>-0.31774125883389254</v>
      </c>
      <c r="L29" s="24">
        <v>0.25878088631158846</v>
      </c>
      <c r="M29" s="25">
        <v>0.42439823783183767</v>
      </c>
      <c r="N29" s="26">
        <v>0.42042459558072032</v>
      </c>
      <c r="O29" s="27">
        <v>463</v>
      </c>
      <c r="P29" s="28">
        <v>688</v>
      </c>
      <c r="Q29" s="29">
        <v>791</v>
      </c>
      <c r="R29" s="24">
        <v>8.2024668871954892E-3</v>
      </c>
      <c r="S29" s="25">
        <v>0.1186659617048553</v>
      </c>
      <c r="T29" s="26">
        <v>3.4328876799760016E-2</v>
      </c>
      <c r="U29" s="27">
        <v>232.02777777777777</v>
      </c>
      <c r="V29" s="28">
        <v>107.08974358974359</v>
      </c>
      <c r="W29" s="29">
        <v>106.55696202531645</v>
      </c>
      <c r="X29" s="24">
        <v>0.38921493465538726</v>
      </c>
      <c r="Y29" s="25">
        <v>0.26276507341918337</v>
      </c>
      <c r="Z29" s="26">
        <v>0.37594258119911322</v>
      </c>
      <c r="AA29" s="24">
        <v>0.31148560287993127</v>
      </c>
      <c r="AB29" s="25">
        <v>0.53439567440032676</v>
      </c>
      <c r="AC29" s="26">
        <v>0.35055415163734482</v>
      </c>
      <c r="AD29" s="27">
        <v>7002474</v>
      </c>
      <c r="AE29" s="28">
        <v>13462422</v>
      </c>
      <c r="AF29" s="29">
        <v>7825976</v>
      </c>
      <c r="AG29" s="27">
        <v>14785075</v>
      </c>
      <c r="AH29" s="28">
        <v>51870912</v>
      </c>
      <c r="AI29" s="29">
        <v>18761381</v>
      </c>
      <c r="AJ29" s="27">
        <v>-51474</v>
      </c>
      <c r="AK29" s="28">
        <v>-23942064</v>
      </c>
      <c r="AL29" s="29">
        <v>-4581434</v>
      </c>
      <c r="AM29" s="30">
        <v>33964461</v>
      </c>
      <c r="AN29" s="30">
        <v>12255509</v>
      </c>
      <c r="AO29" s="30">
        <v>8361322</v>
      </c>
      <c r="AP29" s="27">
        <v>3864582</v>
      </c>
      <c r="AQ29" s="28">
        <v>5745640</v>
      </c>
      <c r="AR29" s="29">
        <v>6659888</v>
      </c>
      <c r="AS29" s="27">
        <v>122494</v>
      </c>
      <c r="AT29" s="28">
        <v>1606538</v>
      </c>
      <c r="AU29" s="29">
        <v>543799</v>
      </c>
      <c r="AV29" s="27">
        <v>1477374.4100000001</v>
      </c>
      <c r="AW29" s="28">
        <v>8993496.9400000013</v>
      </c>
      <c r="AX29" s="29">
        <v>5391994.0500000007</v>
      </c>
      <c r="AY29" s="27">
        <v>44411245.019999996</v>
      </c>
      <c r="AZ29" s="28">
        <v>53425294.749999993</v>
      </c>
      <c r="BA29" s="29">
        <v>49445804.600000009</v>
      </c>
      <c r="BB29" s="24">
        <v>1.9815004847472876E-3</v>
      </c>
      <c r="BC29" s="25">
        <v>3.0971847959796812E-2</v>
      </c>
      <c r="BD29" s="26">
        <v>1.3197897448265081E-2</v>
      </c>
      <c r="BE29" s="24">
        <v>2.3898461227229405E-2</v>
      </c>
      <c r="BF29" s="25">
        <v>0.27659252471349749</v>
      </c>
      <c r="BG29" s="26">
        <v>0.13086266159657431</v>
      </c>
      <c r="BH29" s="24">
        <v>0.71840991016180844</v>
      </c>
      <c r="BI29" s="25">
        <v>1.6430802453205993</v>
      </c>
      <c r="BJ29" s="26">
        <v>1.2000401956563986</v>
      </c>
      <c r="BK29" s="24">
        <v>0.87143000000000004</v>
      </c>
      <c r="BL29" s="25">
        <v>0.78244999999999998</v>
      </c>
      <c r="BM29" s="26">
        <v>0.82689999999999997</v>
      </c>
    </row>
    <row r="30" spans="1:65" x14ac:dyDescent="0.2">
      <c r="A30" s="22">
        <v>5301</v>
      </c>
      <c r="B30" s="23" t="s">
        <v>47</v>
      </c>
      <c r="C30" s="24">
        <v>0.26302640549020273</v>
      </c>
      <c r="D30" s="25">
        <v>0.22905174832859432</v>
      </c>
      <c r="E30" s="26">
        <v>0.37798123431663255</v>
      </c>
      <c r="F30" s="24">
        <v>0.77277580684049185</v>
      </c>
      <c r="G30" s="25">
        <v>0.41633791732791459</v>
      </c>
      <c r="H30" s="26">
        <v>1.4787956458231899</v>
      </c>
      <c r="I30" s="24">
        <v>0.17398329898033324</v>
      </c>
      <c r="J30" s="25">
        <v>-8.5772987101673664E-3</v>
      </c>
      <c r="K30" s="26">
        <v>0.22191847746808613</v>
      </c>
      <c r="L30" s="24">
        <v>0.66766024994540674</v>
      </c>
      <c r="M30" s="25">
        <v>0.72913573428304801</v>
      </c>
      <c r="N30" s="26">
        <v>0.41240540275577231</v>
      </c>
      <c r="O30" s="27">
        <v>391</v>
      </c>
      <c r="P30" s="28">
        <v>468</v>
      </c>
      <c r="Q30" s="29">
        <v>319</v>
      </c>
      <c r="R30" s="24">
        <v>4.077907486526719E-2</v>
      </c>
      <c r="S30" s="25">
        <v>0.12117451006532462</v>
      </c>
      <c r="T30" s="26">
        <v>4.1677814356960115E-2</v>
      </c>
      <c r="U30" s="27">
        <v>146.21428571428572</v>
      </c>
      <c r="V30" s="28">
        <v>146.21428571428572</v>
      </c>
      <c r="W30" s="29">
        <v>127.78125</v>
      </c>
      <c r="X30" s="24">
        <v>0.55676966087329005</v>
      </c>
      <c r="Y30" s="25">
        <v>0.44660586756455689</v>
      </c>
      <c r="Z30" s="26">
        <v>0.65922318623927356</v>
      </c>
      <c r="AA30" s="24">
        <v>0.12754424778761062</v>
      </c>
      <c r="AB30" s="25">
        <v>0.32535362894775388</v>
      </c>
      <c r="AC30" s="26">
        <v>5.9787803665076605E-3</v>
      </c>
      <c r="AD30" s="27">
        <v>2826936</v>
      </c>
      <c r="AE30" s="28">
        <v>5135900</v>
      </c>
      <c r="AF30" s="29">
        <v>4252129</v>
      </c>
      <c r="AG30" s="27">
        <v>8777840</v>
      </c>
      <c r="AH30" s="28">
        <v>23204619</v>
      </c>
      <c r="AI30" s="29">
        <v>8487517</v>
      </c>
      <c r="AJ30" s="27">
        <v>1869925</v>
      </c>
      <c r="AK30" s="28">
        <v>-192324</v>
      </c>
      <c r="AL30" s="29">
        <v>2496489</v>
      </c>
      <c r="AM30" s="30">
        <v>2519567</v>
      </c>
      <c r="AN30" s="30">
        <v>1056080</v>
      </c>
      <c r="AO30" s="30">
        <v>2325008</v>
      </c>
      <c r="AP30" s="27">
        <v>3204187</v>
      </c>
      <c r="AQ30" s="28">
        <v>3828473</v>
      </c>
      <c r="AR30" s="29">
        <v>2608126</v>
      </c>
      <c r="AS30" s="27">
        <v>195704</v>
      </c>
      <c r="AT30" s="28">
        <v>636251</v>
      </c>
      <c r="AU30" s="29">
        <v>263578</v>
      </c>
      <c r="AV30" s="27">
        <v>2337993.34</v>
      </c>
      <c r="AW30" s="28">
        <v>3623732.4999999981</v>
      </c>
      <c r="AX30" s="29">
        <v>1572495.18</v>
      </c>
      <c r="AY30" s="27">
        <v>17818677.060000002</v>
      </c>
      <c r="AZ30" s="28">
        <v>7870583.7599999998</v>
      </c>
      <c r="BA30" s="29">
        <v>12137883.640000001</v>
      </c>
      <c r="BB30" s="24">
        <v>1.1417382805469568E-2</v>
      </c>
      <c r="BC30" s="25">
        <v>2.7419153057414991E-2</v>
      </c>
      <c r="BD30" s="26">
        <v>1.472992748537698E-2</v>
      </c>
      <c r="BE30" s="24">
        <v>0.13639866818980889</v>
      </c>
      <c r="BF30" s="25">
        <v>0.22676073718449119</v>
      </c>
      <c r="BG30" s="26">
        <v>8.7878123259546775E-2</v>
      </c>
      <c r="BH30" s="24">
        <v>1.0395426617803369</v>
      </c>
      <c r="BI30" s="25">
        <v>0.49251410679179142</v>
      </c>
      <c r="BJ30" s="26">
        <v>0.67831968465935544</v>
      </c>
      <c r="BK30" s="24">
        <v>0.84616000000000002</v>
      </c>
      <c r="BL30" s="25">
        <v>0.71875999999999995</v>
      </c>
      <c r="BM30" s="26">
        <v>0.78249999999999997</v>
      </c>
    </row>
    <row r="31" spans="1:65" x14ac:dyDescent="0.2">
      <c r="A31" s="22">
        <v>5302</v>
      </c>
      <c r="B31" s="23" t="s">
        <v>48</v>
      </c>
      <c r="C31" s="24">
        <v>0.28061554613350442</v>
      </c>
      <c r="D31" s="25">
        <v>0.21950690897183109</v>
      </c>
      <c r="E31" s="26">
        <v>0.29551593083617983</v>
      </c>
      <c r="F31" s="24">
        <v>0.57450950841300141</v>
      </c>
      <c r="G31" s="25">
        <v>0.37620641700883012</v>
      </c>
      <c r="H31" s="26">
        <v>0.69876965372927735</v>
      </c>
      <c r="I31" s="24">
        <v>-4.0809564709390768E-2</v>
      </c>
      <c r="J31" s="25">
        <v>-9.8289413468311285E-2</v>
      </c>
      <c r="K31" s="26">
        <v>0.13090958348375301</v>
      </c>
      <c r="L31" s="24">
        <v>0.17861121168613112</v>
      </c>
      <c r="M31" s="25">
        <v>0.29112032285744444</v>
      </c>
      <c r="N31" s="26">
        <v>0.16575053985270055</v>
      </c>
      <c r="O31" s="27">
        <v>138</v>
      </c>
      <c r="P31" s="28">
        <v>173</v>
      </c>
      <c r="Q31" s="29">
        <v>129</v>
      </c>
      <c r="R31" s="24">
        <v>2.2993064158251666E-2</v>
      </c>
      <c r="S31" s="25">
        <v>5.5789691151207389E-2</v>
      </c>
      <c r="T31" s="26">
        <v>2.9552353053292395E-2</v>
      </c>
      <c r="U31" s="27">
        <v>169.24561403508773</v>
      </c>
      <c r="V31" s="28">
        <v>169.24561403508773</v>
      </c>
      <c r="W31" s="29">
        <v>168.44736842105263</v>
      </c>
      <c r="X31" s="24">
        <v>0.43501087864958915</v>
      </c>
      <c r="Y31" s="25">
        <v>0.39251243389573814</v>
      </c>
      <c r="Z31" s="26">
        <v>0.4869879117292224</v>
      </c>
      <c r="AA31" s="24">
        <v>0.28024611434849223</v>
      </c>
      <c r="AB31" s="25">
        <v>0.34044694951679871</v>
      </c>
      <c r="AC31" s="26">
        <v>0.23549778668949728</v>
      </c>
      <c r="AD31" s="27">
        <v>5965836</v>
      </c>
      <c r="AE31" s="28">
        <v>10250576</v>
      </c>
      <c r="AF31" s="29">
        <v>7816691</v>
      </c>
      <c r="AG31" s="27">
        <v>22560245</v>
      </c>
      <c r="AH31" s="28">
        <v>52569606</v>
      </c>
      <c r="AI31" s="29">
        <v>23237815</v>
      </c>
      <c r="AJ31" s="27">
        <v>-867604</v>
      </c>
      <c r="AK31" s="28">
        <v>-4589938</v>
      </c>
      <c r="AL31" s="29">
        <v>3462689</v>
      </c>
      <c r="AM31" s="30">
        <v>6870864</v>
      </c>
      <c r="AN31" s="30">
        <v>4213599</v>
      </c>
      <c r="AO31" s="30">
        <v>6121805</v>
      </c>
      <c r="AP31" s="27">
        <v>2654971</v>
      </c>
      <c r="AQ31" s="28">
        <v>3342491</v>
      </c>
      <c r="AR31" s="29">
        <v>2484557</v>
      </c>
      <c r="AS31" s="27">
        <v>341781</v>
      </c>
      <c r="AT31" s="28">
        <v>640548</v>
      </c>
      <c r="AU31" s="29">
        <v>442982</v>
      </c>
      <c r="AV31" s="27">
        <v>2024669.1600000004</v>
      </c>
      <c r="AW31" s="28">
        <v>6800000.7799999975</v>
      </c>
      <c r="AX31" s="29">
        <v>7736191.0199999996</v>
      </c>
      <c r="AY31" s="27">
        <v>30523604.060000002</v>
      </c>
      <c r="AZ31" s="28">
        <v>33191836.609999999</v>
      </c>
      <c r="BA31" s="29">
        <v>40649104.119999997</v>
      </c>
      <c r="BB31" s="24">
        <v>7.3611363848655664E-3</v>
      </c>
      <c r="BC31" s="25">
        <v>1.2184759383587544E-2</v>
      </c>
      <c r="BD31" s="26">
        <v>9.8262682883877156E-3</v>
      </c>
      <c r="BE31" s="24">
        <v>4.3606478478883284E-2</v>
      </c>
      <c r="BF31" s="25">
        <v>0.17657141150780667</v>
      </c>
      <c r="BG31" s="26">
        <v>0.17160491508173203</v>
      </c>
      <c r="BH31" s="24">
        <v>0.65740463174751185</v>
      </c>
      <c r="BI31" s="25">
        <v>0.86187187772119556</v>
      </c>
      <c r="BJ31" s="26">
        <v>0.90168224163899757</v>
      </c>
      <c r="BK31" s="24">
        <v>0.79117999999999999</v>
      </c>
      <c r="BL31" s="25">
        <v>0.74668000000000001</v>
      </c>
      <c r="BM31" s="26">
        <v>0.76890000000000003</v>
      </c>
    </row>
    <row r="32" spans="1:65" x14ac:dyDescent="0.2">
      <c r="A32" s="22">
        <v>5303</v>
      </c>
      <c r="B32" s="23" t="s">
        <v>49</v>
      </c>
      <c r="C32" s="24">
        <v>0.19769781366059511</v>
      </c>
      <c r="D32" s="25">
        <v>0.19639357832013044</v>
      </c>
      <c r="E32" s="26">
        <v>0.17298533503088603</v>
      </c>
      <c r="F32" s="24">
        <v>0.92382942429723713</v>
      </c>
      <c r="G32" s="25">
        <v>0.66104181931762351</v>
      </c>
      <c r="H32" s="26">
        <v>0.99233147581182735</v>
      </c>
      <c r="I32" s="24">
        <v>0.16488825708758265</v>
      </c>
      <c r="J32" s="25">
        <v>2.5275868117379134E-2</v>
      </c>
      <c r="K32" s="26">
        <v>0.20027563265029974</v>
      </c>
      <c r="L32" s="24">
        <v>0.22722782143849399</v>
      </c>
      <c r="M32" s="25">
        <v>0.24449664555045414</v>
      </c>
      <c r="N32" s="26">
        <v>0.18059115508466883</v>
      </c>
      <c r="O32" s="27">
        <v>128</v>
      </c>
      <c r="P32" s="28">
        <v>143</v>
      </c>
      <c r="Q32" s="29">
        <v>98</v>
      </c>
      <c r="R32" s="24">
        <v>0</v>
      </c>
      <c r="S32" s="25">
        <v>0</v>
      </c>
      <c r="T32" s="26">
        <v>0</v>
      </c>
      <c r="U32" s="27">
        <v>230.76363636363635</v>
      </c>
      <c r="V32" s="28">
        <v>242.52229299363057</v>
      </c>
      <c r="W32" s="29">
        <v>235.15527950310559</v>
      </c>
      <c r="X32" s="24">
        <v>0.57326861097402793</v>
      </c>
      <c r="Y32" s="25">
        <v>0.51759244619558686</v>
      </c>
      <c r="Z32" s="26">
        <v>0.59491082561535646</v>
      </c>
      <c r="AA32" s="24">
        <v>7.8337057983217204E-2</v>
      </c>
      <c r="AB32" s="25">
        <v>0.16314564224698874</v>
      </c>
      <c r="AC32" s="26">
        <v>4.195287387699792E-2</v>
      </c>
      <c r="AD32" s="27">
        <v>2412199</v>
      </c>
      <c r="AE32" s="28">
        <v>4895172</v>
      </c>
      <c r="AF32" s="29">
        <v>2362514</v>
      </c>
      <c r="AG32" s="27">
        <v>10468098</v>
      </c>
      <c r="AH32" s="28">
        <v>24508445</v>
      </c>
      <c r="AI32" s="29">
        <v>11385108</v>
      </c>
      <c r="AJ32" s="27">
        <v>2011875</v>
      </c>
      <c r="AK32" s="28">
        <v>630009</v>
      </c>
      <c r="AL32" s="29">
        <v>2735226</v>
      </c>
      <c r="AM32" s="30">
        <v>3836154</v>
      </c>
      <c r="AN32" s="30">
        <v>2560012</v>
      </c>
      <c r="AO32" s="30">
        <v>4827832</v>
      </c>
      <c r="AP32" s="27">
        <v>1215343</v>
      </c>
      <c r="AQ32" s="28">
        <v>1359639</v>
      </c>
      <c r="AR32" s="29">
        <v>929107</v>
      </c>
      <c r="AS32" s="27">
        <v>0</v>
      </c>
      <c r="AT32" s="28">
        <v>0</v>
      </c>
      <c r="AU32" s="29">
        <v>0</v>
      </c>
      <c r="AV32" s="27">
        <v>277463.77</v>
      </c>
      <c r="AW32" s="28">
        <v>1298359.54</v>
      </c>
      <c r="AX32" s="29">
        <v>3296429.96</v>
      </c>
      <c r="AY32" s="27">
        <v>8198115.5099999998</v>
      </c>
      <c r="AZ32" s="28">
        <v>8929584.8499999978</v>
      </c>
      <c r="BA32" s="29">
        <v>37461628.710000001</v>
      </c>
      <c r="BB32" s="24">
        <v>0</v>
      </c>
      <c r="BC32" s="25">
        <v>0</v>
      </c>
      <c r="BD32" s="26">
        <v>0</v>
      </c>
      <c r="BE32" s="24">
        <v>1.1615273915340264E-2</v>
      </c>
      <c r="BF32" s="25">
        <v>6.4549316488737879E-2</v>
      </c>
      <c r="BG32" s="26">
        <v>0.12570558923368336</v>
      </c>
      <c r="BH32" s="24">
        <v>0.34319203994903347</v>
      </c>
      <c r="BI32" s="25">
        <v>0.44394374658015662</v>
      </c>
      <c r="BJ32" s="26">
        <v>1.4285563982205827</v>
      </c>
      <c r="BK32" s="24">
        <v>0.95477999999999996</v>
      </c>
      <c r="BL32" s="25">
        <v>0.7964</v>
      </c>
      <c r="BM32" s="26">
        <v>0.87560000000000004</v>
      </c>
    </row>
    <row r="33" spans="1:65" x14ac:dyDescent="0.2">
      <c r="A33" s="22">
        <v>5304</v>
      </c>
      <c r="B33" s="23" t="s">
        <v>50</v>
      </c>
      <c r="C33" s="24">
        <v>0.20714627553818829</v>
      </c>
      <c r="D33" s="25">
        <v>0.19492460713071941</v>
      </c>
      <c r="E33" s="26">
        <v>0.25353588947610411</v>
      </c>
      <c r="F33" s="24">
        <v>0.34278953493289049</v>
      </c>
      <c r="G33" s="25">
        <v>0.37195574652108154</v>
      </c>
      <c r="H33" s="26">
        <v>0.41620565446128749</v>
      </c>
      <c r="I33" s="24">
        <v>0.17682171633951985</v>
      </c>
      <c r="J33" s="25">
        <v>0.19940057327387947</v>
      </c>
      <c r="K33" s="26">
        <v>-4.2478578320351519E-2</v>
      </c>
      <c r="L33" s="24">
        <v>6.9680909874914307E-2</v>
      </c>
      <c r="M33" s="25">
        <v>6.0587352561335461E-2</v>
      </c>
      <c r="N33" s="26">
        <v>3.925582991582207E-2</v>
      </c>
      <c r="O33" s="27">
        <v>101</v>
      </c>
      <c r="P33" s="28">
        <v>83</v>
      </c>
      <c r="Q33" s="29">
        <v>64</v>
      </c>
      <c r="R33" s="24">
        <v>0</v>
      </c>
      <c r="S33" s="25">
        <v>0</v>
      </c>
      <c r="T33" s="26">
        <v>0.20637708420319986</v>
      </c>
      <c r="U33" s="27">
        <v>131.36000000000001</v>
      </c>
      <c r="V33" s="28">
        <v>131.36000000000001</v>
      </c>
      <c r="W33" s="29">
        <v>69.265306122448976</v>
      </c>
      <c r="X33" s="24">
        <v>0.35104833026730242</v>
      </c>
      <c r="Y33" s="25">
        <v>0.35284332705849308</v>
      </c>
      <c r="Z33" s="26">
        <v>0.36062480696545884</v>
      </c>
      <c r="AA33" s="24">
        <v>0.45880799269110167</v>
      </c>
      <c r="AB33" s="25">
        <v>0.46183468906925235</v>
      </c>
      <c r="AC33" s="26">
        <v>0.49762803459100735</v>
      </c>
      <c r="AD33" s="27">
        <v>2180645</v>
      </c>
      <c r="AE33" s="28">
        <v>4479424</v>
      </c>
      <c r="AF33" s="29">
        <v>2513945</v>
      </c>
      <c r="AG33" s="27">
        <v>9036656</v>
      </c>
      <c r="AH33" s="28">
        <v>18825446</v>
      </c>
      <c r="AI33" s="29">
        <v>10224854</v>
      </c>
      <c r="AJ33" s="27">
        <v>1861416</v>
      </c>
      <c r="AK33" s="28">
        <v>4582283</v>
      </c>
      <c r="AL33" s="29">
        <v>-421198</v>
      </c>
      <c r="AM33" s="30">
        <v>3085641</v>
      </c>
      <c r="AN33" s="30">
        <v>6359448</v>
      </c>
      <c r="AO33" s="30">
        <v>5413027</v>
      </c>
      <c r="AP33" s="27">
        <v>330869</v>
      </c>
      <c r="AQ33" s="28">
        <v>273414</v>
      </c>
      <c r="AR33" s="29">
        <v>215959</v>
      </c>
      <c r="AS33" s="27">
        <v>0</v>
      </c>
      <c r="AT33" s="28">
        <v>0</v>
      </c>
      <c r="AU33" s="29">
        <v>1135347</v>
      </c>
      <c r="AV33" s="27">
        <v>50226.300000000483</v>
      </c>
      <c r="AW33" s="28">
        <v>285813.10000000044</v>
      </c>
      <c r="AX33" s="29">
        <v>2230046.870000001</v>
      </c>
      <c r="AY33" s="27">
        <v>49359512.380000003</v>
      </c>
      <c r="AZ33" s="28">
        <v>44721854.519999996</v>
      </c>
      <c r="BA33" s="29">
        <v>33808858.25</v>
      </c>
      <c r="BB33" s="24">
        <v>0</v>
      </c>
      <c r="BC33" s="25">
        <v>0</v>
      </c>
      <c r="BD33" s="26">
        <v>5.1646656330181381E-2</v>
      </c>
      <c r="BE33" s="24">
        <v>2.8867806627658719E-3</v>
      </c>
      <c r="BF33" s="25">
        <v>1.8855139135708982E-2</v>
      </c>
      <c r="BG33" s="26">
        <v>0.10144428469453544</v>
      </c>
      <c r="BH33" s="24">
        <v>2.8369616289102582</v>
      </c>
      <c r="BI33" s="25">
        <v>2.9503083986756882</v>
      </c>
      <c r="BJ33" s="26">
        <v>1.537956662547721</v>
      </c>
      <c r="BK33" s="24">
        <v>0.76914000000000005</v>
      </c>
      <c r="BL33" s="25">
        <v>0.72760000000000002</v>
      </c>
      <c r="BM33" s="26">
        <v>0.74839999999999995</v>
      </c>
    </row>
    <row r="34" spans="1:65" x14ac:dyDescent="0.2">
      <c r="A34" s="22">
        <v>5305</v>
      </c>
      <c r="B34" s="23" t="s">
        <v>51</v>
      </c>
      <c r="C34" s="24">
        <v>0.39526189788834504</v>
      </c>
      <c r="D34" s="25">
        <v>0.35184082570116265</v>
      </c>
      <c r="E34" s="26">
        <v>0.40755320972056275</v>
      </c>
      <c r="F34" s="24">
        <v>1.2075151416305654</v>
      </c>
      <c r="G34" s="25">
        <v>0.87629355160875622</v>
      </c>
      <c r="H34" s="26">
        <v>1.9907138866219305</v>
      </c>
      <c r="I34" s="24">
        <v>0.12529462575188266</v>
      </c>
      <c r="J34" s="25">
        <v>-8.3140938337764814E-2</v>
      </c>
      <c r="K34" s="26">
        <v>0.24340162380317634</v>
      </c>
      <c r="L34" s="24">
        <v>0.76050401003932533</v>
      </c>
      <c r="M34" s="25">
        <v>0.91075941615062606</v>
      </c>
      <c r="N34" s="26">
        <v>0</v>
      </c>
      <c r="O34" s="27">
        <v>542</v>
      </c>
      <c r="P34" s="28">
        <v>611</v>
      </c>
      <c r="Q34" s="29">
        <v>601</v>
      </c>
      <c r="R34" s="24">
        <v>0</v>
      </c>
      <c r="S34" s="25">
        <v>7.2028183308315901E-3</v>
      </c>
      <c r="T34" s="26">
        <v>0</v>
      </c>
      <c r="U34" s="27">
        <v>354.20153340635267</v>
      </c>
      <c r="V34" s="28">
        <v>354.20153340635267</v>
      </c>
      <c r="W34" s="29">
        <v>358.62431544359254</v>
      </c>
      <c r="X34" s="24">
        <v>0.50220912968057208</v>
      </c>
      <c r="Y34" s="25">
        <v>0.5155157881310185</v>
      </c>
      <c r="Z34" s="26">
        <v>0.57956072545475368</v>
      </c>
      <c r="AA34" s="24">
        <v>0.13743087242835605</v>
      </c>
      <c r="AB34" s="25">
        <v>0.15300244786432776</v>
      </c>
      <c r="AC34" s="26">
        <v>5.0247880103930026E-2</v>
      </c>
      <c r="AD34" s="27">
        <v>127018269</v>
      </c>
      <c r="AE34" s="28">
        <v>216841569</v>
      </c>
      <c r="AF34" s="29">
        <v>148428139</v>
      </c>
      <c r="AG34" s="27">
        <v>284087442</v>
      </c>
      <c r="AH34" s="28">
        <v>670151520</v>
      </c>
      <c r="AI34" s="29">
        <v>271867927</v>
      </c>
      <c r="AJ34" s="27">
        <v>40263700</v>
      </c>
      <c r="AK34" s="28">
        <v>-51240249</v>
      </c>
      <c r="AL34" s="29">
        <v>88645235</v>
      </c>
      <c r="AM34" s="30">
        <v>134491180</v>
      </c>
      <c r="AN34" s="30">
        <v>65410690</v>
      </c>
      <c r="AO34" s="30">
        <v>150940680</v>
      </c>
      <c r="AP34" s="27">
        <v>175158571</v>
      </c>
      <c r="AQ34" s="28">
        <v>197727025</v>
      </c>
      <c r="AR34" s="29">
        <v>196620051</v>
      </c>
      <c r="AS34" s="27">
        <v>0</v>
      </c>
      <c r="AT34" s="28">
        <v>1563741</v>
      </c>
      <c r="AU34" s="29">
        <v>2285272</v>
      </c>
      <c r="AV34" s="27">
        <v>17161608.829999994</v>
      </c>
      <c r="AW34" s="28">
        <v>27328432.689999998</v>
      </c>
      <c r="AX34" s="29">
        <v>12740627.819999993</v>
      </c>
      <c r="AY34" s="27">
        <v>169077968.38</v>
      </c>
      <c r="AZ34" s="28">
        <v>159386059.90999997</v>
      </c>
      <c r="BA34" s="29">
        <v>197736806.05000001</v>
      </c>
      <c r="BB34" s="24">
        <v>0</v>
      </c>
      <c r="BC34" s="25">
        <v>2.3334140911894074E-3</v>
      </c>
      <c r="BD34" s="26">
        <v>0</v>
      </c>
      <c r="BE34" s="24">
        <v>2.3109449746814122E-2</v>
      </c>
      <c r="BF34" s="25">
        <v>5.2434512665625765E-2</v>
      </c>
      <c r="BG34" s="26">
        <v>0</v>
      </c>
      <c r="BH34" s="24">
        <v>0.22767672030495981</v>
      </c>
      <c r="BI34" s="25">
        <v>0.30581081878629612</v>
      </c>
      <c r="BJ34" s="26">
        <v>0</v>
      </c>
      <c r="BK34" s="24">
        <v>0.87060999999999999</v>
      </c>
      <c r="BL34" s="25">
        <v>0.76060000000000005</v>
      </c>
      <c r="BM34" s="26">
        <v>0.81559999999999999</v>
      </c>
    </row>
    <row r="35" spans="1:65" x14ac:dyDescent="0.2">
      <c r="A35" s="22">
        <v>5306</v>
      </c>
      <c r="B35" s="23" t="s">
        <v>52</v>
      </c>
      <c r="C35" s="24">
        <v>0.21307115067192467</v>
      </c>
      <c r="D35" s="25">
        <v>0.22244909384240338</v>
      </c>
      <c r="E35" s="26">
        <v>0.20477470517439297</v>
      </c>
      <c r="F35" s="24">
        <v>0.21510942262883631</v>
      </c>
      <c r="G35" s="25">
        <v>0.18275235082359978</v>
      </c>
      <c r="H35" s="26">
        <v>0.70520875961666707</v>
      </c>
      <c r="I35" s="24">
        <v>-0.54058684459234019</v>
      </c>
      <c r="J35" s="25">
        <v>-0.85939208255470234</v>
      </c>
      <c r="K35" s="26">
        <v>3.6561089507558153E-2</v>
      </c>
      <c r="L35" s="24">
        <v>4.1387539147270919E-2</v>
      </c>
      <c r="M35" s="25">
        <v>3.5751057855711373E-2</v>
      </c>
      <c r="N35" s="26">
        <v>2.5099826785682285E-2</v>
      </c>
      <c r="O35" s="27">
        <v>27</v>
      </c>
      <c r="P35" s="28">
        <v>22</v>
      </c>
      <c r="Q35" s="29">
        <v>17</v>
      </c>
      <c r="R35" s="24">
        <v>0</v>
      </c>
      <c r="S35" s="25">
        <v>0</v>
      </c>
      <c r="T35" s="26">
        <v>0</v>
      </c>
      <c r="U35" s="27">
        <v>120.21951219512195</v>
      </c>
      <c r="V35" s="28">
        <v>120.21951219512195</v>
      </c>
      <c r="W35" s="29">
        <v>117.09756097560975</v>
      </c>
      <c r="X35" s="24">
        <v>0.36061485638862056</v>
      </c>
      <c r="Y35" s="25">
        <v>0.32696172331072965</v>
      </c>
      <c r="Z35" s="26">
        <v>0.6734832998955681</v>
      </c>
      <c r="AA35" s="24">
        <v>0.52236585737643404</v>
      </c>
      <c r="AB35" s="25">
        <v>0.55257501433144451</v>
      </c>
      <c r="AC35" s="26">
        <v>0.13796576566170324</v>
      </c>
      <c r="AD35" s="27">
        <v>1159719</v>
      </c>
      <c r="AE35" s="28">
        <v>2403984</v>
      </c>
      <c r="AF35" s="29">
        <v>1237293</v>
      </c>
      <c r="AG35" s="27">
        <v>8482371</v>
      </c>
      <c r="AH35" s="28">
        <v>20093927</v>
      </c>
      <c r="AI35" s="29">
        <v>5280955</v>
      </c>
      <c r="AJ35" s="27">
        <v>-2942345</v>
      </c>
      <c r="AK35" s="28">
        <v>-9287360</v>
      </c>
      <c r="AL35" s="29">
        <v>220910</v>
      </c>
      <c r="AM35" s="30">
        <v>8494848</v>
      </c>
      <c r="AN35" s="30">
        <v>2153575</v>
      </c>
      <c r="AO35" s="30">
        <v>2348235</v>
      </c>
      <c r="AP35" s="27">
        <v>135140</v>
      </c>
      <c r="AQ35" s="28">
        <v>108890</v>
      </c>
      <c r="AR35" s="29">
        <v>82640</v>
      </c>
      <c r="AS35" s="27">
        <v>0</v>
      </c>
      <c r="AT35" s="28">
        <v>0</v>
      </c>
      <c r="AU35" s="29">
        <v>0</v>
      </c>
      <c r="AV35" s="27">
        <v>115250.08999999985</v>
      </c>
      <c r="AW35" s="28">
        <v>2078028.790000001</v>
      </c>
      <c r="AX35" s="29">
        <v>1932202.74</v>
      </c>
      <c r="AY35" s="27">
        <v>7735245.040000001</v>
      </c>
      <c r="AZ35" s="28">
        <v>2282081.7200000007</v>
      </c>
      <c r="BA35" s="29">
        <v>19419931.32</v>
      </c>
      <c r="BB35" s="24">
        <v>0</v>
      </c>
      <c r="BC35" s="25">
        <v>0</v>
      </c>
      <c r="BD35" s="26">
        <v>0</v>
      </c>
      <c r="BE35" s="24">
        <v>5.301490589390047E-3</v>
      </c>
      <c r="BF35" s="25">
        <v>0.17109867209344401</v>
      </c>
      <c r="BG35" s="26">
        <v>0.14268247095678865</v>
      </c>
      <c r="BH35" s="24">
        <v>0.35582036236315384</v>
      </c>
      <c r="BI35" s="25">
        <v>0.18789977972380387</v>
      </c>
      <c r="BJ35" s="26">
        <v>1.4340543718247343</v>
      </c>
      <c r="BK35" s="24">
        <v>0.75241999999999998</v>
      </c>
      <c r="BL35" s="25">
        <v>0.59833000000000003</v>
      </c>
      <c r="BM35" s="26">
        <v>0.6754</v>
      </c>
    </row>
    <row r="36" spans="1:65" x14ac:dyDescent="0.2">
      <c r="A36" s="22">
        <v>5307</v>
      </c>
      <c r="B36" s="23" t="s">
        <v>53</v>
      </c>
      <c r="C36" s="24">
        <v>0.19285455107687241</v>
      </c>
      <c r="D36" s="25">
        <v>0.16312007424887617</v>
      </c>
      <c r="E36" s="26">
        <v>0.19370637497187476</v>
      </c>
      <c r="F36" s="24">
        <v>0.94760764996581981</v>
      </c>
      <c r="G36" s="25">
        <v>0.55179672811982905</v>
      </c>
      <c r="H36" s="26">
        <v>1.065909705227678</v>
      </c>
      <c r="I36" s="24">
        <v>0.12024167969306904</v>
      </c>
      <c r="J36" s="25">
        <v>-2.0794527157449788E-3</v>
      </c>
      <c r="K36" s="26">
        <v>0.15740351085407595</v>
      </c>
      <c r="L36" s="24">
        <v>5.0425687208960956E-2</v>
      </c>
      <c r="M36" s="25">
        <v>3.1740585018594628E-2</v>
      </c>
      <c r="N36" s="26">
        <v>1.4064503149891003E-2</v>
      </c>
      <c r="O36" s="27">
        <v>29</v>
      </c>
      <c r="P36" s="28">
        <v>20</v>
      </c>
      <c r="Q36" s="29">
        <v>10</v>
      </c>
      <c r="R36" s="24">
        <v>1.3489938882526111E-2</v>
      </c>
      <c r="S36" s="25">
        <v>4.3784144563909333E-2</v>
      </c>
      <c r="T36" s="26">
        <v>1.0335161141363132E-2</v>
      </c>
      <c r="U36" s="27">
        <v>108.69117647058823</v>
      </c>
      <c r="V36" s="28">
        <v>105.96415770609319</v>
      </c>
      <c r="W36" s="29">
        <v>98.671186440677971</v>
      </c>
      <c r="X36" s="24">
        <v>0.68257625626275065</v>
      </c>
      <c r="Y36" s="25">
        <v>0.63029855515943145</v>
      </c>
      <c r="Z36" s="26">
        <v>0.70316861377283424</v>
      </c>
      <c r="AA36" s="24">
        <v>3.4161204807348994E-2</v>
      </c>
      <c r="AB36" s="25">
        <v>0.11504111459062365</v>
      </c>
      <c r="AC36" s="26">
        <v>3.1992326000242509E-2</v>
      </c>
      <c r="AD36" s="27">
        <v>2129191</v>
      </c>
      <c r="AE36" s="28">
        <v>3476784</v>
      </c>
      <c r="AF36" s="29">
        <v>2350284</v>
      </c>
      <c r="AG36" s="27">
        <v>9494630</v>
      </c>
      <c r="AH36" s="28">
        <v>21256809</v>
      </c>
      <c r="AI36" s="29">
        <v>10003649</v>
      </c>
      <c r="AJ36" s="27">
        <v>1327516</v>
      </c>
      <c r="AK36" s="28">
        <v>-44322</v>
      </c>
      <c r="AL36" s="29">
        <v>1909813</v>
      </c>
      <c r="AM36" s="30">
        <v>3767249</v>
      </c>
      <c r="AN36" s="30">
        <v>2278689</v>
      </c>
      <c r="AO36" s="30">
        <v>4160280</v>
      </c>
      <c r="AP36" s="27">
        <v>217280</v>
      </c>
      <c r="AQ36" s="28">
        <v>144854</v>
      </c>
      <c r="AR36" s="29">
        <v>72428</v>
      </c>
      <c r="AS36" s="27">
        <v>58127</v>
      </c>
      <c r="AT36" s="28">
        <v>199817</v>
      </c>
      <c r="AU36" s="29">
        <v>53223</v>
      </c>
      <c r="AV36" s="27">
        <v>467041.30999999982</v>
      </c>
      <c r="AW36" s="28">
        <v>2337639.6400000015</v>
      </c>
      <c r="AX36" s="29">
        <v>399213.56000000017</v>
      </c>
      <c r="AY36" s="27">
        <v>3900007.98</v>
      </c>
      <c r="AZ36" s="28">
        <v>6499823.6799999997</v>
      </c>
      <c r="BA36" s="29">
        <v>8147247.6600000001</v>
      </c>
      <c r="BB36" s="24">
        <v>2.6687029374647887E-3</v>
      </c>
      <c r="BC36" s="25">
        <v>9.400140914847567E-3</v>
      </c>
      <c r="BD36" s="26">
        <v>2.2161755288634764E-3</v>
      </c>
      <c r="BE36" s="24">
        <v>2.1442608700163478E-2</v>
      </c>
      <c r="BF36" s="25">
        <v>0.13368073799940364</v>
      </c>
      <c r="BG36" s="26">
        <v>1.6623026181584493E-2</v>
      </c>
      <c r="BH36" s="24">
        <v>0.17905556372016648</v>
      </c>
      <c r="BI36" s="25">
        <v>0.37170024478554742</v>
      </c>
      <c r="BJ36" s="26">
        <v>0.33924677097649925</v>
      </c>
      <c r="BK36" s="24">
        <v>0.72568999999999995</v>
      </c>
      <c r="BL36" s="25">
        <v>0.72355999999999998</v>
      </c>
      <c r="BM36" s="26">
        <v>0.72460000000000002</v>
      </c>
    </row>
    <row r="37" spans="1:65" x14ac:dyDescent="0.2">
      <c r="A37" s="22">
        <v>5308</v>
      </c>
      <c r="B37" s="23" t="s">
        <v>54</v>
      </c>
      <c r="C37" s="24">
        <v>0.53527473960280847</v>
      </c>
      <c r="D37" s="25">
        <v>0.38208423534936076</v>
      </c>
      <c r="E37" s="26">
        <v>0.56964334715191212</v>
      </c>
      <c r="F37" s="24">
        <v>1.6630758028868848</v>
      </c>
      <c r="G37" s="25">
        <v>0.70633677953543017</v>
      </c>
      <c r="H37" s="26">
        <v>2.4552337954807717</v>
      </c>
      <c r="I37" s="24">
        <v>0.2948792941881857</v>
      </c>
      <c r="J37" s="25">
        <v>-1.3840939615853386E-2</v>
      </c>
      <c r="K37" s="26">
        <v>0.55658065665482748</v>
      </c>
      <c r="L37" s="24">
        <v>0.45884123487305845</v>
      </c>
      <c r="M37" s="25">
        <v>0.30078482136799273</v>
      </c>
      <c r="N37" s="26">
        <v>0.44176891808933549</v>
      </c>
      <c r="O37" s="27">
        <v>426</v>
      </c>
      <c r="P37" s="28">
        <v>376</v>
      </c>
      <c r="Q37" s="29">
        <v>505</v>
      </c>
      <c r="R37" s="24">
        <v>0</v>
      </c>
      <c r="S37" s="25">
        <v>0</v>
      </c>
      <c r="T37" s="26">
        <v>0.72515092020717553</v>
      </c>
      <c r="U37" s="27">
        <v>178.57499999999999</v>
      </c>
      <c r="V37" s="28">
        <v>178.57499999999999</v>
      </c>
      <c r="W37" s="29">
        <v>99.676056338028175</v>
      </c>
      <c r="X37" s="24">
        <v>0.46368229480500728</v>
      </c>
      <c r="Y37" s="25">
        <v>0.39158231976811941</v>
      </c>
      <c r="Z37" s="26">
        <v>0.54986840495944789</v>
      </c>
      <c r="AA37" s="24">
        <v>0.19544351302096405</v>
      </c>
      <c r="AB37" s="25">
        <v>0.29039172267838892</v>
      </c>
      <c r="AC37" s="26">
        <v>6.6426218198081824E-2</v>
      </c>
      <c r="AD37" s="27">
        <v>6584937</v>
      </c>
      <c r="AE37" s="28">
        <v>8853014</v>
      </c>
      <c r="AF37" s="29">
        <v>7338382</v>
      </c>
      <c r="AG37" s="27">
        <v>8407442</v>
      </c>
      <c r="AH37" s="28">
        <v>23090851</v>
      </c>
      <c r="AI37" s="29">
        <v>7693679</v>
      </c>
      <c r="AJ37" s="27">
        <v>3627598</v>
      </c>
      <c r="AK37" s="28">
        <v>-320699</v>
      </c>
      <c r="AL37" s="29">
        <v>7170103</v>
      </c>
      <c r="AM37" s="30">
        <v>8251940</v>
      </c>
      <c r="AN37" s="30">
        <v>3809056</v>
      </c>
      <c r="AO37" s="30">
        <v>10461334</v>
      </c>
      <c r="AP37" s="27">
        <v>3042144</v>
      </c>
      <c r="AQ37" s="28">
        <v>2686524</v>
      </c>
      <c r="AR37" s="29">
        <v>3573634</v>
      </c>
      <c r="AS37" s="27">
        <v>0</v>
      </c>
      <c r="AT37" s="28">
        <v>0</v>
      </c>
      <c r="AU37" s="29">
        <v>5866017</v>
      </c>
      <c r="AV37" s="27">
        <v>67763.610000000015</v>
      </c>
      <c r="AW37" s="28">
        <v>4967029.660000002</v>
      </c>
      <c r="AX37" s="29">
        <v>5895881.2700000005</v>
      </c>
      <c r="AY37" s="27">
        <v>5774633.75</v>
      </c>
      <c r="AZ37" s="28">
        <v>10296871.66</v>
      </c>
      <c r="BA37" s="29">
        <v>18224095.68</v>
      </c>
      <c r="BB37" s="24">
        <v>0</v>
      </c>
      <c r="BC37" s="25">
        <v>0</v>
      </c>
      <c r="BD37" s="26">
        <v>0.15823836271623645</v>
      </c>
      <c r="BE37" s="24">
        <v>1.9298222331416044E-3</v>
      </c>
      <c r="BF37" s="25">
        <v>0.26230360867302477</v>
      </c>
      <c r="BG37" s="26">
        <v>0.15904396440278384</v>
      </c>
      <c r="BH37" s="24">
        <v>0.16445429337368353</v>
      </c>
      <c r="BI37" s="25">
        <v>0.54376695517074847</v>
      </c>
      <c r="BJ37" s="26">
        <v>0.49160291597982714</v>
      </c>
      <c r="BK37" s="24">
        <v>0.96340999999999999</v>
      </c>
      <c r="BL37" s="25">
        <v>0.73311000000000004</v>
      </c>
      <c r="BM37" s="26">
        <v>0.84830000000000005</v>
      </c>
    </row>
    <row r="38" spans="1:65" x14ac:dyDescent="0.2">
      <c r="A38" s="22">
        <v>5309</v>
      </c>
      <c r="B38" s="23" t="s">
        <v>55</v>
      </c>
      <c r="C38" s="24">
        <v>0.10957448226181399</v>
      </c>
      <c r="D38" s="25">
        <v>0.12396801146611021</v>
      </c>
      <c r="E38" s="26">
        <v>0.10547331424658297</v>
      </c>
      <c r="F38" s="24">
        <v>0.58762778185375397</v>
      </c>
      <c r="G38" s="25">
        <v>0.43553891582027049</v>
      </c>
      <c r="H38" s="26">
        <v>0.52333459057640619</v>
      </c>
      <c r="I38" s="24">
        <v>0.14541238189739314</v>
      </c>
      <c r="J38" s="25">
        <v>4.0021869018011585E-3</v>
      </c>
      <c r="K38" s="26">
        <v>0.20414387378339244</v>
      </c>
      <c r="L38" s="24">
        <v>0.2443766743746823</v>
      </c>
      <c r="M38" s="25">
        <v>0.19726802084139577</v>
      </c>
      <c r="N38" s="26">
        <v>0.16236655685014703</v>
      </c>
      <c r="O38" s="27">
        <v>98</v>
      </c>
      <c r="P38" s="28">
        <v>88</v>
      </c>
      <c r="Q38" s="29">
        <v>79</v>
      </c>
      <c r="R38" s="24">
        <v>0</v>
      </c>
      <c r="S38" s="25">
        <v>0</v>
      </c>
      <c r="T38" s="26">
        <v>0</v>
      </c>
      <c r="U38" s="27">
        <v>261.5593220338983</v>
      </c>
      <c r="V38" s="28">
        <v>261.5593220338983</v>
      </c>
      <c r="W38" s="29">
        <v>260.5593220338983</v>
      </c>
      <c r="X38" s="24">
        <v>0.62420540003964897</v>
      </c>
      <c r="Y38" s="25">
        <v>0.5837390533044613</v>
      </c>
      <c r="Z38" s="26">
        <v>0.65609473218654724</v>
      </c>
      <c r="AA38" s="24">
        <v>0.16280670970454778</v>
      </c>
      <c r="AB38" s="25">
        <v>0.18963259327411572</v>
      </c>
      <c r="AC38" s="26">
        <v>0.15192154561602561</v>
      </c>
      <c r="AD38" s="27">
        <v>2162529</v>
      </c>
      <c r="AE38" s="28">
        <v>4622905</v>
      </c>
      <c r="AF38" s="29">
        <v>2411508</v>
      </c>
      <c r="AG38" s="27">
        <v>16666248</v>
      </c>
      <c r="AH38" s="28">
        <v>37449886</v>
      </c>
      <c r="AI38" s="29">
        <v>17853024</v>
      </c>
      <c r="AJ38" s="27">
        <v>2869815</v>
      </c>
      <c r="AK38" s="28">
        <v>149246</v>
      </c>
      <c r="AL38" s="29">
        <v>4667480</v>
      </c>
      <c r="AM38" s="30">
        <v>9571809</v>
      </c>
      <c r="AN38" s="30">
        <v>6730456</v>
      </c>
      <c r="AO38" s="30">
        <v>11266833</v>
      </c>
      <c r="AP38" s="27">
        <v>1505211</v>
      </c>
      <c r="AQ38" s="28">
        <v>1363557</v>
      </c>
      <c r="AR38" s="29">
        <v>1221903</v>
      </c>
      <c r="AS38" s="27">
        <v>0</v>
      </c>
      <c r="AT38" s="28">
        <v>0</v>
      </c>
      <c r="AU38" s="29">
        <v>0</v>
      </c>
      <c r="AV38" s="27">
        <v>336585.00999999908</v>
      </c>
      <c r="AW38" s="28">
        <v>1345613.139999999</v>
      </c>
      <c r="AX38" s="29">
        <v>380673.71000000066</v>
      </c>
      <c r="AY38" s="27">
        <v>16363393.869999999</v>
      </c>
      <c r="AZ38" s="28">
        <v>13224394</v>
      </c>
      <c r="BA38" s="29">
        <v>24480733.899999999</v>
      </c>
      <c r="BB38" s="24">
        <v>0</v>
      </c>
      <c r="BC38" s="25">
        <v>0</v>
      </c>
      <c r="BD38" s="26">
        <v>0</v>
      </c>
      <c r="BE38" s="24">
        <v>8.4591104429529006E-3</v>
      </c>
      <c r="BF38" s="25">
        <v>4.5915015807188535E-2</v>
      </c>
      <c r="BG38" s="26">
        <v>8.6478432500035306E-3</v>
      </c>
      <c r="BH38" s="24">
        <v>0.41124753585392537</v>
      </c>
      <c r="BI38" s="25">
        <v>0.45124281377817826</v>
      </c>
      <c r="BJ38" s="26">
        <v>0.55613388540082587</v>
      </c>
      <c r="BK38" s="24">
        <v>0.70125999999999999</v>
      </c>
      <c r="BL38" s="25">
        <v>0.68864000000000003</v>
      </c>
      <c r="BM38" s="26">
        <v>0.69499999999999995</v>
      </c>
    </row>
    <row r="39" spans="1:65" x14ac:dyDescent="0.2">
      <c r="A39" s="22">
        <v>5310</v>
      </c>
      <c r="B39" s="23" t="s">
        <v>56</v>
      </c>
      <c r="C39" s="24">
        <v>0.12555832777666551</v>
      </c>
      <c r="D39" s="25">
        <v>0.11731804015422415</v>
      </c>
      <c r="E39" s="26">
        <v>0.12867988462345423</v>
      </c>
      <c r="F39" s="24">
        <v>0.61799362997019491</v>
      </c>
      <c r="G39" s="25">
        <v>0.43230280070355837</v>
      </c>
      <c r="H39" s="26">
        <v>0.5684975967494178</v>
      </c>
      <c r="I39" s="24">
        <v>7.0257774500288458E-2</v>
      </c>
      <c r="J39" s="25">
        <v>2.816340038567652E-2</v>
      </c>
      <c r="K39" s="26">
        <v>7.117415270393012E-3</v>
      </c>
      <c r="L39" s="24">
        <v>0.21358803758406547</v>
      </c>
      <c r="M39" s="25">
        <v>0.18732244017102798</v>
      </c>
      <c r="N39" s="26">
        <v>0.26076046169803002</v>
      </c>
      <c r="O39" s="27">
        <v>89</v>
      </c>
      <c r="P39" s="28">
        <v>81</v>
      </c>
      <c r="Q39" s="29">
        <v>116</v>
      </c>
      <c r="R39" s="24">
        <v>3.2721068262117715E-2</v>
      </c>
      <c r="S39" s="25">
        <v>6.8359723720347348E-2</v>
      </c>
      <c r="T39" s="26">
        <v>3.228109276173393E-2</v>
      </c>
      <c r="U39" s="27">
        <v>162.75524475524475</v>
      </c>
      <c r="V39" s="28">
        <v>169.88321167883211</v>
      </c>
      <c r="W39" s="29">
        <v>170.75555555555556</v>
      </c>
      <c r="X39" s="24">
        <v>0.68635869027259766</v>
      </c>
      <c r="Y39" s="25">
        <v>0.6629833836286767</v>
      </c>
      <c r="Z39" s="26">
        <v>0.67574914191346536</v>
      </c>
      <c r="AA39" s="24">
        <v>5.0050838766742614E-2</v>
      </c>
      <c r="AB39" s="25">
        <v>9.6030949875707441E-2</v>
      </c>
      <c r="AC39" s="26">
        <v>0.11213734866498433</v>
      </c>
      <c r="AD39" s="27">
        <v>1631806</v>
      </c>
      <c r="AE39" s="28">
        <v>3131247</v>
      </c>
      <c r="AF39" s="29">
        <v>1835656</v>
      </c>
      <c r="AG39" s="27">
        <v>11658426</v>
      </c>
      <c r="AH39" s="28">
        <v>26179362</v>
      </c>
      <c r="AI39" s="29">
        <v>13863695</v>
      </c>
      <c r="AJ39" s="27">
        <v>913098</v>
      </c>
      <c r="AK39" s="28">
        <v>751688</v>
      </c>
      <c r="AL39" s="29">
        <v>101532</v>
      </c>
      <c r="AM39" s="30">
        <v>2329322</v>
      </c>
      <c r="AN39" s="30">
        <v>1861936</v>
      </c>
      <c r="AO39" s="30">
        <v>2463468</v>
      </c>
      <c r="AP39" s="27">
        <v>1035000</v>
      </c>
      <c r="AQ39" s="28">
        <v>939000</v>
      </c>
      <c r="AR39" s="29">
        <v>1338000</v>
      </c>
      <c r="AS39" s="27">
        <v>158559</v>
      </c>
      <c r="AT39" s="28">
        <v>342670</v>
      </c>
      <c r="AU39" s="29">
        <v>165639</v>
      </c>
      <c r="AV39" s="27">
        <v>1148945.5699999998</v>
      </c>
      <c r="AW39" s="28">
        <v>2005537.2299999995</v>
      </c>
      <c r="AX39" s="29">
        <v>1951558.8400000008</v>
      </c>
      <c r="AY39" s="27">
        <v>9771123.4700000007</v>
      </c>
      <c r="AZ39" s="28">
        <v>8022003.7700000005</v>
      </c>
      <c r="BA39" s="29">
        <v>16771032.439999999</v>
      </c>
      <c r="BB39" s="24">
        <v>6.8309729364071873E-3</v>
      </c>
      <c r="BC39" s="25">
        <v>1.3089318219443239E-2</v>
      </c>
      <c r="BD39" s="26">
        <v>6.2834774348811727E-3</v>
      </c>
      <c r="BE39" s="24">
        <v>4.9498395512553237E-2</v>
      </c>
      <c r="BF39" s="25">
        <v>8.6646526709597535E-2</v>
      </c>
      <c r="BG39" s="26">
        <v>7.4031936524507402E-2</v>
      </c>
      <c r="BH39" s="24">
        <v>0.42095548018001555</v>
      </c>
      <c r="BI39" s="25">
        <v>0.3465798358287257</v>
      </c>
      <c r="BJ39" s="26">
        <v>0.63620526504265384</v>
      </c>
      <c r="BK39" s="24">
        <v>0.78327999999999998</v>
      </c>
      <c r="BL39" s="25">
        <v>0.70775999999999994</v>
      </c>
      <c r="BM39" s="26">
        <v>0.74550000000000005</v>
      </c>
    </row>
    <row r="40" spans="1:65" x14ac:dyDescent="0.2">
      <c r="A40" s="22">
        <v>5311</v>
      </c>
      <c r="B40" s="23" t="s">
        <v>57</v>
      </c>
      <c r="C40" s="24">
        <v>0.14295419335860315</v>
      </c>
      <c r="D40" s="25">
        <v>0.13569709455740964</v>
      </c>
      <c r="E40" s="26">
        <v>0.15176618800496905</v>
      </c>
      <c r="F40" s="24">
        <v>0.64447743062024954</v>
      </c>
      <c r="G40" s="25">
        <v>0.52560936020788196</v>
      </c>
      <c r="H40" s="26">
        <v>0.86089256954691806</v>
      </c>
      <c r="I40" s="24">
        <v>8.0114272564620101E-2</v>
      </c>
      <c r="J40" s="25">
        <v>-2.9487080907741253E-2</v>
      </c>
      <c r="K40" s="26">
        <v>0.12978343856420754</v>
      </c>
      <c r="L40" s="24">
        <v>0</v>
      </c>
      <c r="M40" s="25">
        <v>0</v>
      </c>
      <c r="N40" s="26">
        <v>0</v>
      </c>
      <c r="O40" s="27">
        <v>0</v>
      </c>
      <c r="P40" s="28">
        <v>0</v>
      </c>
      <c r="Q40" s="29">
        <v>0</v>
      </c>
      <c r="R40" s="24">
        <v>0</v>
      </c>
      <c r="S40" s="25">
        <v>0</v>
      </c>
      <c r="T40" s="26">
        <v>0</v>
      </c>
      <c r="U40" s="27">
        <v>136.86046511627907</v>
      </c>
      <c r="V40" s="28">
        <v>173.08823529411765</v>
      </c>
      <c r="W40" s="29">
        <v>171.61764705882354</v>
      </c>
      <c r="X40" s="24">
        <v>0.69378687768585368</v>
      </c>
      <c r="Y40" s="25">
        <v>0.6772975019226114</v>
      </c>
      <c r="Z40" s="26">
        <v>0.72745794883364912</v>
      </c>
      <c r="AA40" s="24">
        <v>8.7882233435606263E-2</v>
      </c>
      <c r="AB40" s="25">
        <v>9.5145275844395499E-2</v>
      </c>
      <c r="AC40" s="26">
        <v>2.7303058057216969E-2</v>
      </c>
      <c r="AD40" s="27">
        <v>2819088</v>
      </c>
      <c r="AE40" s="28">
        <v>5296093</v>
      </c>
      <c r="AF40" s="29">
        <v>3356361</v>
      </c>
      <c r="AG40" s="27">
        <v>18080378</v>
      </c>
      <c r="AH40" s="28">
        <v>40231740</v>
      </c>
      <c r="AI40" s="29">
        <v>19143167</v>
      </c>
      <c r="AJ40" s="27">
        <v>1579871</v>
      </c>
      <c r="AK40" s="28">
        <v>-1150845</v>
      </c>
      <c r="AL40" s="29">
        <v>2870205</v>
      </c>
      <c r="AM40" s="30">
        <v>12546096</v>
      </c>
      <c r="AN40" s="30">
        <v>10458653</v>
      </c>
      <c r="AO40" s="30">
        <v>13132988</v>
      </c>
      <c r="AP40" s="27">
        <v>0</v>
      </c>
      <c r="AQ40" s="28">
        <v>0</v>
      </c>
      <c r="AR40" s="29">
        <v>0</v>
      </c>
      <c r="AS40" s="27">
        <v>0</v>
      </c>
      <c r="AT40" s="28">
        <v>0</v>
      </c>
      <c r="AU40" s="29">
        <v>0</v>
      </c>
      <c r="AV40" s="27">
        <v>205110.34000000078</v>
      </c>
      <c r="AW40" s="28">
        <v>384715.96000000194</v>
      </c>
      <c r="AX40" s="29">
        <v>384665.48000000289</v>
      </c>
      <c r="AY40" s="27">
        <v>9373997.0099999979</v>
      </c>
      <c r="AZ40" s="28">
        <v>12542433.930000003</v>
      </c>
      <c r="BA40" s="29">
        <v>27260735.560000002</v>
      </c>
      <c r="BB40" s="24">
        <v>0</v>
      </c>
      <c r="BC40" s="25">
        <v>0</v>
      </c>
      <c r="BD40" s="26">
        <v>0</v>
      </c>
      <c r="BE40" s="24">
        <v>4.488399461856891E-3</v>
      </c>
      <c r="BF40" s="25">
        <v>1.164420772671158E-2</v>
      </c>
      <c r="BG40" s="26">
        <v>7.6067284475983725E-3</v>
      </c>
      <c r="BH40" s="24">
        <v>0.20512980055092267</v>
      </c>
      <c r="BI40" s="25">
        <v>0.37962216612868049</v>
      </c>
      <c r="BJ40" s="26">
        <v>0.53907881904741495</v>
      </c>
      <c r="BK40" s="24">
        <v>0.69313999999999998</v>
      </c>
      <c r="BL40" s="25">
        <v>0.67798999999999998</v>
      </c>
      <c r="BM40" s="26">
        <v>0.68559999999999999</v>
      </c>
    </row>
    <row r="41" spans="1:65" x14ac:dyDescent="0.2">
      <c r="A41" s="22">
        <v>5312</v>
      </c>
      <c r="B41" s="23" t="s">
        <v>58</v>
      </c>
      <c r="C41" s="24">
        <v>0.21121408017170637</v>
      </c>
      <c r="D41" s="25">
        <v>0.17780181110066323</v>
      </c>
      <c r="E41" s="26">
        <v>0.18539043420294993</v>
      </c>
      <c r="F41" s="24">
        <v>0.96608272282336594</v>
      </c>
      <c r="G41" s="25">
        <v>0.40722502267514682</v>
      </c>
      <c r="H41" s="26">
        <v>0.49248341023261649</v>
      </c>
      <c r="I41" s="24">
        <v>0.16617679138260322</v>
      </c>
      <c r="J41" s="25">
        <v>-4.5369078747335027E-2</v>
      </c>
      <c r="K41" s="26">
        <v>4.0121112674737086E-2</v>
      </c>
      <c r="L41" s="24">
        <v>0</v>
      </c>
      <c r="M41" s="25">
        <v>0</v>
      </c>
      <c r="N41" s="26">
        <v>0</v>
      </c>
      <c r="O41" s="27">
        <v>0</v>
      </c>
      <c r="P41" s="28">
        <v>0</v>
      </c>
      <c r="Q41" s="29">
        <v>0</v>
      </c>
      <c r="R41" s="24">
        <v>0</v>
      </c>
      <c r="S41" s="25">
        <v>0</v>
      </c>
      <c r="T41" s="26">
        <v>0</v>
      </c>
      <c r="U41" s="27">
        <v>149.89349112426035</v>
      </c>
      <c r="V41" s="28">
        <v>149.89349112426035</v>
      </c>
      <c r="W41" s="29">
        <v>147.32163742690059</v>
      </c>
      <c r="X41" s="24">
        <v>0.66787677605948348</v>
      </c>
      <c r="Y41" s="25">
        <v>0.5228059952501839</v>
      </c>
      <c r="Z41" s="26">
        <v>0.5300950407475199</v>
      </c>
      <c r="AA41" s="24">
        <v>4.0470418689361055E-2</v>
      </c>
      <c r="AB41" s="25">
        <v>0.261493794384212</v>
      </c>
      <c r="AC41" s="26">
        <v>0.2808263286458782</v>
      </c>
      <c r="AD41" s="27">
        <v>1890991</v>
      </c>
      <c r="AE41" s="28">
        <v>3536145</v>
      </c>
      <c r="AF41" s="29">
        <v>2135609</v>
      </c>
      <c r="AG41" s="27">
        <v>7460758</v>
      </c>
      <c r="AH41" s="28">
        <v>20645010</v>
      </c>
      <c r="AI41" s="29">
        <v>10869864</v>
      </c>
      <c r="AJ41" s="27">
        <v>1487774</v>
      </c>
      <c r="AK41" s="28">
        <v>-902306</v>
      </c>
      <c r="AL41" s="29">
        <v>462176</v>
      </c>
      <c r="AM41" s="30">
        <v>9726215</v>
      </c>
      <c r="AN41" s="30">
        <v>7505944</v>
      </c>
      <c r="AO41" s="30">
        <v>7769507</v>
      </c>
      <c r="AP41" s="27">
        <v>0</v>
      </c>
      <c r="AQ41" s="28">
        <v>0</v>
      </c>
      <c r="AR41" s="29">
        <v>0</v>
      </c>
      <c r="AS41" s="27">
        <v>0</v>
      </c>
      <c r="AT41" s="28">
        <v>0</v>
      </c>
      <c r="AU41" s="29">
        <v>0</v>
      </c>
      <c r="AV41" s="27">
        <v>498710.92000000027</v>
      </c>
      <c r="AW41" s="28">
        <v>1008324.3999999984</v>
      </c>
      <c r="AX41" s="29">
        <v>1335480.3500000001</v>
      </c>
      <c r="AY41" s="27">
        <v>9980602.9199999999</v>
      </c>
      <c r="AZ41" s="28">
        <v>17519195.07</v>
      </c>
      <c r="BA41" s="29">
        <v>17912914.620000001</v>
      </c>
      <c r="BB41" s="24">
        <v>0</v>
      </c>
      <c r="BC41" s="25">
        <v>0</v>
      </c>
      <c r="BD41" s="26">
        <v>0</v>
      </c>
      <c r="BE41" s="24">
        <v>2.1857145230077257E-2</v>
      </c>
      <c r="BF41" s="25">
        <v>6.4620293664986742E-2</v>
      </c>
      <c r="BG41" s="26">
        <v>5.1906926460348342E-2</v>
      </c>
      <c r="BH41" s="24">
        <v>0.43742272077413707</v>
      </c>
      <c r="BI41" s="25">
        <v>1.1227493157932009</v>
      </c>
      <c r="BJ41" s="26">
        <v>0.69623213989695809</v>
      </c>
      <c r="BK41" s="24">
        <v>0.82538</v>
      </c>
      <c r="BL41" s="25">
        <v>0.73362000000000005</v>
      </c>
      <c r="BM41" s="26">
        <v>0.77949999999999997</v>
      </c>
    </row>
    <row r="42" spans="1:65" x14ac:dyDescent="0.2">
      <c r="A42" s="22">
        <v>5401</v>
      </c>
      <c r="B42" s="23" t="s">
        <v>59</v>
      </c>
      <c r="C42" s="24">
        <v>0.26243762976206497</v>
      </c>
      <c r="D42" s="25">
        <v>0.25180253568413452</v>
      </c>
      <c r="E42" s="26">
        <v>0.28760452017639443</v>
      </c>
      <c r="F42" s="24">
        <v>0.95157855982800488</v>
      </c>
      <c r="G42" s="25">
        <v>0.82999889537275451</v>
      </c>
      <c r="H42" s="26">
        <v>1.1666431489896547</v>
      </c>
      <c r="I42" s="24">
        <v>0.15925911110809732</v>
      </c>
      <c r="J42" s="25">
        <v>3.6205584628750065E-2</v>
      </c>
      <c r="K42" s="26">
        <v>0.15956675510382015</v>
      </c>
      <c r="L42" s="24">
        <v>0.22409252520873069</v>
      </c>
      <c r="M42" s="25">
        <v>0.15345990685112379</v>
      </c>
      <c r="N42" s="26">
        <v>0.14502451657180201</v>
      </c>
      <c r="O42" s="27">
        <v>116</v>
      </c>
      <c r="P42" s="28">
        <v>93</v>
      </c>
      <c r="Q42" s="29">
        <v>86</v>
      </c>
      <c r="R42" s="24">
        <v>3.3299225224033772E-2</v>
      </c>
      <c r="S42" s="25">
        <v>0.13151501439118493</v>
      </c>
      <c r="T42" s="26">
        <v>0.17034153670043825</v>
      </c>
      <c r="U42" s="27">
        <v>316.0946502057613</v>
      </c>
      <c r="V42" s="28">
        <v>329.66094420600859</v>
      </c>
      <c r="W42" s="29">
        <v>308.19600000000003</v>
      </c>
      <c r="X42" s="24">
        <v>0.56426062042058378</v>
      </c>
      <c r="Y42" s="25">
        <v>0.58541873216833196</v>
      </c>
      <c r="Z42" s="26">
        <v>0.62381244283745863</v>
      </c>
      <c r="AA42" s="24">
        <v>0.11800195002979813</v>
      </c>
      <c r="AB42" s="25">
        <v>0.11134107730568787</v>
      </c>
      <c r="AC42" s="26">
        <v>5.1563039838332138E-2</v>
      </c>
      <c r="AD42" s="27">
        <v>24885142</v>
      </c>
      <c r="AE42" s="28">
        <v>43580254</v>
      </c>
      <c r="AF42" s="29">
        <v>29631959</v>
      </c>
      <c r="AG42" s="27">
        <v>81360808</v>
      </c>
      <c r="AH42" s="28">
        <v>175167292</v>
      </c>
      <c r="AI42" s="29">
        <v>85323577</v>
      </c>
      <c r="AJ42" s="27">
        <v>15101438</v>
      </c>
      <c r="AK42" s="28">
        <v>6266214</v>
      </c>
      <c r="AL42" s="29">
        <v>16440199</v>
      </c>
      <c r="AM42" s="30">
        <v>35992738</v>
      </c>
      <c r="AN42" s="30">
        <v>25584846</v>
      </c>
      <c r="AO42" s="30">
        <v>41365888</v>
      </c>
      <c r="AP42" s="27">
        <v>8875502</v>
      </c>
      <c r="AQ42" s="28">
        <v>7167875</v>
      </c>
      <c r="AR42" s="29">
        <v>6602348</v>
      </c>
      <c r="AS42" s="27">
        <v>1318863</v>
      </c>
      <c r="AT42" s="28">
        <v>6142863</v>
      </c>
      <c r="AU42" s="29">
        <v>7754924</v>
      </c>
      <c r="AV42" s="27">
        <v>4090010.459999999</v>
      </c>
      <c r="AW42" s="28">
        <v>15706941.120000005</v>
      </c>
      <c r="AX42" s="29">
        <v>9829034.4800000004</v>
      </c>
      <c r="AY42" s="27">
        <v>64410810.529999994</v>
      </c>
      <c r="AZ42" s="28">
        <v>51118867.470000006</v>
      </c>
      <c r="BA42" s="29">
        <v>52782260.049999997</v>
      </c>
      <c r="BB42" s="24">
        <v>7.1730367529107171E-3</v>
      </c>
      <c r="BC42" s="25">
        <v>3.5068550354708912E-2</v>
      </c>
      <c r="BD42" s="26">
        <v>3.8496773961065017E-2</v>
      </c>
      <c r="BE42" s="24">
        <v>2.2244763367665378E-2</v>
      </c>
      <c r="BF42" s="25">
        <v>0.11488263839109114</v>
      </c>
      <c r="BG42" s="26">
        <v>4.8793014429551376E-2</v>
      </c>
      <c r="BH42" s="24">
        <v>0.35031774431192519</v>
      </c>
      <c r="BI42" s="25">
        <v>0.37389013695609508</v>
      </c>
      <c r="BJ42" s="26">
        <v>0.26202019959176936</v>
      </c>
      <c r="BK42" s="24">
        <v>0.85082000000000002</v>
      </c>
      <c r="BL42" s="25">
        <v>0.80949000000000004</v>
      </c>
      <c r="BM42" s="26">
        <v>0.83020000000000005</v>
      </c>
    </row>
    <row r="43" spans="1:65" x14ac:dyDescent="0.2">
      <c r="A43" s="22">
        <v>5402</v>
      </c>
      <c r="B43" s="23" t="s">
        <v>60</v>
      </c>
      <c r="C43" s="24">
        <v>0.23216152073175175</v>
      </c>
      <c r="D43" s="25">
        <v>0.24985887588514424</v>
      </c>
      <c r="E43" s="26">
        <v>0.24962883497538393</v>
      </c>
      <c r="F43" s="24">
        <v>0.80767973253827097</v>
      </c>
      <c r="G43" s="25">
        <v>0.86513452261099477</v>
      </c>
      <c r="H43" s="26">
        <v>0.98767614883146748</v>
      </c>
      <c r="I43" s="24">
        <v>0.27471763437277408</v>
      </c>
      <c r="J43" s="25">
        <v>0.10598610644168487</v>
      </c>
      <c r="K43" s="26">
        <v>0.19749404885133282</v>
      </c>
      <c r="L43" s="24">
        <v>0.12047968204954851</v>
      </c>
      <c r="M43" s="25">
        <v>4.2756256933516992E-2</v>
      </c>
      <c r="N43" s="26">
        <v>3.9452370289951889E-2</v>
      </c>
      <c r="O43" s="27">
        <v>52</v>
      </c>
      <c r="P43" s="28">
        <v>24</v>
      </c>
      <c r="Q43" s="29">
        <v>19</v>
      </c>
      <c r="R43" s="24">
        <v>1.4352210820289832E-3</v>
      </c>
      <c r="S43" s="25">
        <v>2.0018183773103281E-2</v>
      </c>
      <c r="T43" s="26">
        <v>2.6128546180834604E-5</v>
      </c>
      <c r="U43" s="27">
        <v>279.37121212121212</v>
      </c>
      <c r="V43" s="28">
        <v>304.76859504132233</v>
      </c>
      <c r="W43" s="29">
        <v>267</v>
      </c>
      <c r="X43" s="24">
        <v>0.57935235612752589</v>
      </c>
      <c r="Y43" s="25">
        <v>0.62391519882549784</v>
      </c>
      <c r="Z43" s="26">
        <v>0.61672988914797866</v>
      </c>
      <c r="AA43" s="24">
        <v>9.7866169556338534E-2</v>
      </c>
      <c r="AB43" s="25">
        <v>8.214173880778837E-2</v>
      </c>
      <c r="AC43" s="26">
        <v>4.8747433980987284E-2</v>
      </c>
      <c r="AD43" s="27">
        <v>8347198</v>
      </c>
      <c r="AE43" s="28">
        <v>17195887</v>
      </c>
      <c r="AF43" s="29">
        <v>9888742</v>
      </c>
      <c r="AG43" s="27">
        <v>29880959</v>
      </c>
      <c r="AH43" s="28">
        <v>66310308</v>
      </c>
      <c r="AI43" s="29">
        <v>31542050</v>
      </c>
      <c r="AJ43" s="27">
        <v>9877272</v>
      </c>
      <c r="AK43" s="28">
        <v>7294218</v>
      </c>
      <c r="AL43" s="29">
        <v>7823486</v>
      </c>
      <c r="AM43" s="30">
        <v>11898637</v>
      </c>
      <c r="AN43" s="30">
        <v>8161169</v>
      </c>
      <c r="AO43" s="30">
        <v>15657916</v>
      </c>
      <c r="AP43" s="27">
        <v>1907483</v>
      </c>
      <c r="AQ43" s="28">
        <v>880013</v>
      </c>
      <c r="AR43" s="29">
        <v>705139</v>
      </c>
      <c r="AS43" s="27">
        <v>22723</v>
      </c>
      <c r="AT43" s="28">
        <v>412016</v>
      </c>
      <c r="AU43" s="29">
        <v>467</v>
      </c>
      <c r="AV43" s="27">
        <v>2725704.3799999994</v>
      </c>
      <c r="AW43" s="28">
        <v>4906044.0700000012</v>
      </c>
      <c r="AX43" s="29">
        <v>7501962.7100000018</v>
      </c>
      <c r="AY43" s="27">
        <v>22080205.91</v>
      </c>
      <c r="AZ43" s="28">
        <v>22125428.030000001</v>
      </c>
      <c r="BA43" s="29">
        <v>21287529</v>
      </c>
      <c r="BB43" s="24">
        <v>3.3708070015769052E-4</v>
      </c>
      <c r="BC43" s="25">
        <v>6.2134532688341605E-3</v>
      </c>
      <c r="BD43" s="26">
        <v>6.3100893288403873E-6</v>
      </c>
      <c r="BE43" s="24">
        <v>4.0434024593288015E-2</v>
      </c>
      <c r="BF43" s="25">
        <v>9.0040327463415004E-2</v>
      </c>
      <c r="BG43" s="26">
        <v>0.10136628445766493</v>
      </c>
      <c r="BH43" s="24">
        <v>0.32754527429339331</v>
      </c>
      <c r="BI43" s="25">
        <v>0.40606663060191805</v>
      </c>
      <c r="BJ43" s="26">
        <v>0.28763642308411197</v>
      </c>
      <c r="BK43" s="24">
        <v>0.85984000000000005</v>
      </c>
      <c r="BL43" s="25">
        <v>0.75800000000000001</v>
      </c>
      <c r="BM43" s="26">
        <v>0.80889999999999995</v>
      </c>
    </row>
    <row r="44" spans="1:65" x14ac:dyDescent="0.2">
      <c r="A44" s="22">
        <v>5403</v>
      </c>
      <c r="B44" s="23" t="s">
        <v>61</v>
      </c>
      <c r="C44" s="24">
        <v>0.13412050407324538</v>
      </c>
      <c r="D44" s="25">
        <v>0.10562446419666387</v>
      </c>
      <c r="E44" s="26">
        <v>0.13228025483339564</v>
      </c>
      <c r="F44" s="24">
        <v>0.54330479441320467</v>
      </c>
      <c r="G44" s="25">
        <v>0.30107377422282178</v>
      </c>
      <c r="H44" s="26">
        <v>0.50132921104352346</v>
      </c>
      <c r="I44" s="24">
        <v>-4.1676834425744796E-2</v>
      </c>
      <c r="J44" s="25">
        <v>-1.728261904933983E-2</v>
      </c>
      <c r="K44" s="26">
        <v>5.0962731310701691E-2</v>
      </c>
      <c r="L44" s="24">
        <v>0</v>
      </c>
      <c r="M44" s="25">
        <v>0</v>
      </c>
      <c r="N44" s="26">
        <v>0</v>
      </c>
      <c r="O44" s="27">
        <v>0</v>
      </c>
      <c r="P44" s="28">
        <v>0</v>
      </c>
      <c r="Q44" s="29">
        <v>0</v>
      </c>
      <c r="R44" s="24">
        <v>0</v>
      </c>
      <c r="S44" s="25">
        <v>5.5260594059853034E-3</v>
      </c>
      <c r="T44" s="26">
        <v>9.8578515992604736E-3</v>
      </c>
      <c r="U44" s="27">
        <v>141</v>
      </c>
      <c r="V44" s="28">
        <v>141</v>
      </c>
      <c r="W44" s="29">
        <v>139.18867924528303</v>
      </c>
      <c r="X44" s="24">
        <v>0.60442461808697046</v>
      </c>
      <c r="Y44" s="25">
        <v>0.51852375830430386</v>
      </c>
      <c r="Z44" s="26">
        <v>0.57520238641124521</v>
      </c>
      <c r="AA44" s="24">
        <v>8.0928341632045805E-2</v>
      </c>
      <c r="AB44" s="25">
        <v>0.19824672968114343</v>
      </c>
      <c r="AC44" s="26">
        <v>4.6845361606951401E-2</v>
      </c>
      <c r="AD44" s="27">
        <v>1386679</v>
      </c>
      <c r="AE44" s="28">
        <v>2601415</v>
      </c>
      <c r="AF44" s="29">
        <v>1675358</v>
      </c>
      <c r="AG44" s="27">
        <v>10459253</v>
      </c>
      <c r="AH44" s="28">
        <v>25149459</v>
      </c>
      <c r="AI44" s="29">
        <v>12125320</v>
      </c>
      <c r="AJ44" s="27">
        <v>-430899</v>
      </c>
      <c r="AK44" s="28">
        <v>-425652</v>
      </c>
      <c r="AL44" s="29">
        <v>645454</v>
      </c>
      <c r="AM44" s="30">
        <v>6717619</v>
      </c>
      <c r="AN44" s="30">
        <v>6708737</v>
      </c>
      <c r="AO44" s="30">
        <v>7379022</v>
      </c>
      <c r="AP44" s="27">
        <v>0</v>
      </c>
      <c r="AQ44" s="28">
        <v>0</v>
      </c>
      <c r="AR44" s="29">
        <v>0</v>
      </c>
      <c r="AS44" s="27">
        <v>0</v>
      </c>
      <c r="AT44" s="28">
        <v>24475</v>
      </c>
      <c r="AU44" s="29">
        <v>51475</v>
      </c>
      <c r="AV44" s="27">
        <v>113412.90000000037</v>
      </c>
      <c r="AW44" s="28">
        <v>309627.13999999902</v>
      </c>
      <c r="AX44" s="29">
        <v>94542.709999999031</v>
      </c>
      <c r="AY44" s="27">
        <v>13177057.969999999</v>
      </c>
      <c r="AZ44" s="28">
        <v>15903912.65</v>
      </c>
      <c r="BA44" s="29">
        <v>14061382.300000001</v>
      </c>
      <c r="BB44" s="24">
        <v>0</v>
      </c>
      <c r="BC44" s="25">
        <v>9.7318196785068018E-4</v>
      </c>
      <c r="BD44" s="26">
        <v>1.6410146612824597E-3</v>
      </c>
      <c r="BE44" s="24">
        <v>3.9924394473205569E-3</v>
      </c>
      <c r="BF44" s="25">
        <v>1.5932566486262584E-2</v>
      </c>
      <c r="BG44" s="26">
        <v>3.0140062793079011E-3</v>
      </c>
      <c r="BH44" s="24">
        <v>0.4638679201312863</v>
      </c>
      <c r="BI44" s="25">
        <v>0.81837188331694166</v>
      </c>
      <c r="BJ44" s="26">
        <v>0.44827458984356822</v>
      </c>
      <c r="BK44" s="24">
        <v>0.80762</v>
      </c>
      <c r="BL44" s="25">
        <v>0.73523000000000005</v>
      </c>
      <c r="BM44" s="26">
        <v>0.77139999999999997</v>
      </c>
    </row>
    <row r="45" spans="1:65" x14ac:dyDescent="0.2">
      <c r="A45" s="22">
        <v>5404</v>
      </c>
      <c r="B45" s="23" t="s">
        <v>62</v>
      </c>
      <c r="C45" s="24">
        <v>9.0897880405980569E-2</v>
      </c>
      <c r="D45" s="25">
        <v>8.4956114987523021E-2</v>
      </c>
      <c r="E45" s="26">
        <v>9.6383633482990436E-2</v>
      </c>
      <c r="F45" s="24">
        <v>0.38530021616151094</v>
      </c>
      <c r="G45" s="25">
        <v>0.1481003312803244</v>
      </c>
      <c r="H45" s="26">
        <v>0.46154330651352526</v>
      </c>
      <c r="I45" s="24">
        <v>7.552706366499122E-2</v>
      </c>
      <c r="J45" s="25">
        <v>-0.28717283583047593</v>
      </c>
      <c r="K45" s="26">
        <v>0.15063198106080922</v>
      </c>
      <c r="L45" s="24">
        <v>0</v>
      </c>
      <c r="M45" s="25">
        <v>0</v>
      </c>
      <c r="N45" s="26">
        <v>0</v>
      </c>
      <c r="O45" s="27">
        <v>0</v>
      </c>
      <c r="P45" s="28">
        <v>0</v>
      </c>
      <c r="Q45" s="29">
        <v>0</v>
      </c>
      <c r="R45" s="24">
        <v>0</v>
      </c>
      <c r="S45" s="25">
        <v>0</v>
      </c>
      <c r="T45" s="26">
        <v>0</v>
      </c>
      <c r="U45" s="27">
        <v>93.041095890410958</v>
      </c>
      <c r="V45" s="28">
        <v>93.041095890410958</v>
      </c>
      <c r="W45" s="29">
        <v>91.643835616438352</v>
      </c>
      <c r="X45" s="24">
        <v>0.55070421191823282</v>
      </c>
      <c r="Y45" s="25">
        <v>0.41621489746003459</v>
      </c>
      <c r="Z45" s="26">
        <v>0.57882575497784305</v>
      </c>
      <c r="AA45" s="24">
        <v>4.9975070993475104E-2</v>
      </c>
      <c r="AB45" s="25">
        <v>0.29390607739977148</v>
      </c>
      <c r="AC45" s="26">
        <v>9.9495858530998113E-2</v>
      </c>
      <c r="AD45" s="27">
        <v>577162</v>
      </c>
      <c r="AE45" s="28">
        <v>1013830</v>
      </c>
      <c r="AF45" s="29">
        <v>659508</v>
      </c>
      <c r="AG45" s="27">
        <v>5766375</v>
      </c>
      <c r="AH45" s="28">
        <v>15493715</v>
      </c>
      <c r="AI45" s="29">
        <v>5934247</v>
      </c>
      <c r="AJ45" s="27">
        <v>479564</v>
      </c>
      <c r="AK45" s="28">
        <v>-3426998</v>
      </c>
      <c r="AL45" s="29">
        <v>1030704</v>
      </c>
      <c r="AM45" s="30">
        <v>6279696</v>
      </c>
      <c r="AN45" s="30">
        <v>2372858</v>
      </c>
      <c r="AO45" s="30">
        <v>3445620</v>
      </c>
      <c r="AP45" s="27">
        <v>0</v>
      </c>
      <c r="AQ45" s="28">
        <v>0</v>
      </c>
      <c r="AR45" s="29">
        <v>0</v>
      </c>
      <c r="AS45" s="27">
        <v>0</v>
      </c>
      <c r="AT45" s="28">
        <v>0</v>
      </c>
      <c r="AU45" s="29">
        <v>0</v>
      </c>
      <c r="AV45" s="27">
        <v>51449.239999999962</v>
      </c>
      <c r="AW45" s="28">
        <v>281505.81000000041</v>
      </c>
      <c r="AX45" s="29">
        <v>572886.50999999978</v>
      </c>
      <c r="AY45" s="27">
        <v>10194221.24</v>
      </c>
      <c r="AZ45" s="28">
        <v>13560615.640000001</v>
      </c>
      <c r="BA45" s="29">
        <v>13105004.560000001</v>
      </c>
      <c r="BB45" s="24">
        <v>0</v>
      </c>
      <c r="BC45" s="25">
        <v>0</v>
      </c>
      <c r="BD45" s="26">
        <v>0</v>
      </c>
      <c r="BE45" s="24">
        <v>3.0801358416845436E-3</v>
      </c>
      <c r="BF45" s="25">
        <v>2.5411202543414835E-2</v>
      </c>
      <c r="BG45" s="26">
        <v>3.8748752421769492E-2</v>
      </c>
      <c r="BH45" s="24">
        <v>0.61030223613382584</v>
      </c>
      <c r="BI45" s="25">
        <v>1.2241010252734694</v>
      </c>
      <c r="BJ45" s="26">
        <v>0.8863929736826941</v>
      </c>
      <c r="BK45" s="24">
        <v>0.86741999999999997</v>
      </c>
      <c r="BL45" s="25">
        <v>0.66749999999999998</v>
      </c>
      <c r="BM45" s="26">
        <v>0.76749999999999996</v>
      </c>
    </row>
    <row r="46" spans="1:65" x14ac:dyDescent="0.2">
      <c r="A46" s="22">
        <v>5405</v>
      </c>
      <c r="B46" s="23" t="s">
        <v>63</v>
      </c>
      <c r="C46" s="24">
        <v>0.24498762085442599</v>
      </c>
      <c r="D46" s="25">
        <v>0.20215827120710528</v>
      </c>
      <c r="E46" s="26">
        <v>0.28597207897517313</v>
      </c>
      <c r="F46" s="24">
        <v>0.78204082943677733</v>
      </c>
      <c r="G46" s="25">
        <v>0.52747253366196434</v>
      </c>
      <c r="H46" s="26">
        <v>1.4014791350482585</v>
      </c>
      <c r="I46" s="24">
        <v>0.11200426550385087</v>
      </c>
      <c r="J46" s="25">
        <v>-2.3030795008487849E-2</v>
      </c>
      <c r="K46" s="26">
        <v>0.22156769570546847</v>
      </c>
      <c r="L46" s="24">
        <v>0</v>
      </c>
      <c r="M46" s="25">
        <v>0</v>
      </c>
      <c r="N46" s="26">
        <v>0</v>
      </c>
      <c r="O46" s="27">
        <v>0</v>
      </c>
      <c r="P46" s="28">
        <v>0</v>
      </c>
      <c r="Q46" s="29">
        <v>0</v>
      </c>
      <c r="R46" s="24">
        <v>0</v>
      </c>
      <c r="S46" s="25">
        <v>0</v>
      </c>
      <c r="T46" s="26">
        <v>0</v>
      </c>
      <c r="U46" s="27">
        <v>188.44827586206895</v>
      </c>
      <c r="V46" s="28">
        <v>188.44827586206895</v>
      </c>
      <c r="W46" s="29">
        <v>185.87931034482759</v>
      </c>
      <c r="X46" s="24">
        <v>0.6432183242135453</v>
      </c>
      <c r="Y46" s="25">
        <v>0.58893375336965126</v>
      </c>
      <c r="Z46" s="26">
        <v>0.69556224338768224</v>
      </c>
      <c r="AA46" s="24">
        <v>0.10522498249037664</v>
      </c>
      <c r="AB46" s="25">
        <v>0.18969318807205743</v>
      </c>
      <c r="AC46" s="26">
        <v>3.8291450038173164E-2</v>
      </c>
      <c r="AD46" s="27">
        <v>2288655</v>
      </c>
      <c r="AE46" s="28">
        <v>3745996</v>
      </c>
      <c r="AF46" s="29">
        <v>3177533</v>
      </c>
      <c r="AG46" s="27">
        <v>8658096</v>
      </c>
      <c r="AH46" s="28">
        <v>19469745</v>
      </c>
      <c r="AI46" s="29">
        <v>8707688</v>
      </c>
      <c r="AJ46" s="27">
        <v>1046335</v>
      </c>
      <c r="AK46" s="28">
        <v>-426761</v>
      </c>
      <c r="AL46" s="29">
        <v>2461914</v>
      </c>
      <c r="AM46" s="30">
        <v>3864510</v>
      </c>
      <c r="AN46" s="30">
        <v>2462253</v>
      </c>
      <c r="AO46" s="30">
        <v>4919769</v>
      </c>
      <c r="AP46" s="27">
        <v>0</v>
      </c>
      <c r="AQ46" s="28">
        <v>0</v>
      </c>
      <c r="AR46" s="29">
        <v>0</v>
      </c>
      <c r="AS46" s="27">
        <v>0</v>
      </c>
      <c r="AT46" s="28">
        <v>0</v>
      </c>
      <c r="AU46" s="29">
        <v>0</v>
      </c>
      <c r="AV46" s="27">
        <v>76346.179999999702</v>
      </c>
      <c r="AW46" s="28">
        <v>281319.13000000111</v>
      </c>
      <c r="AX46" s="29">
        <v>125312.26000000024</v>
      </c>
      <c r="AY46" s="27">
        <v>8929265.4499999993</v>
      </c>
      <c r="AZ46" s="28">
        <v>6774376.1399999978</v>
      </c>
      <c r="BA46" s="29">
        <v>10439145.940000001</v>
      </c>
      <c r="BB46" s="24">
        <v>0</v>
      </c>
      <c r="BC46" s="25">
        <v>0</v>
      </c>
      <c r="BD46" s="26">
        <v>0</v>
      </c>
      <c r="BE46" s="24">
        <v>4.0009674073848769E-3</v>
      </c>
      <c r="BF46" s="25">
        <v>1.7792412776145565E-2</v>
      </c>
      <c r="BG46" s="26">
        <v>6.0395636092756807E-3</v>
      </c>
      <c r="BH46" s="24">
        <v>0.46794351776785675</v>
      </c>
      <c r="BI46" s="25">
        <v>0.4284546755983184</v>
      </c>
      <c r="BJ46" s="26">
        <v>0.50312623785686938</v>
      </c>
      <c r="BK46" s="24">
        <v>0.81867999999999996</v>
      </c>
      <c r="BL46" s="25">
        <v>0.76385000000000003</v>
      </c>
      <c r="BM46" s="26">
        <v>0.7913</v>
      </c>
    </row>
    <row r="47" spans="1:65" x14ac:dyDescent="0.2">
      <c r="A47" s="22">
        <v>5406</v>
      </c>
      <c r="B47" s="23" t="s">
        <v>64</v>
      </c>
      <c r="C47" s="24">
        <v>0.17026591842685873</v>
      </c>
      <c r="D47" s="25">
        <v>0.16807695480592466</v>
      </c>
      <c r="E47" s="26">
        <v>0.19369351368265844</v>
      </c>
      <c r="F47" s="24">
        <v>0.80098528557656301</v>
      </c>
      <c r="G47" s="25">
        <v>0.52364728621902157</v>
      </c>
      <c r="H47" s="26">
        <v>1.0525184536568204</v>
      </c>
      <c r="I47" s="24">
        <v>8.4020785767496581E-2</v>
      </c>
      <c r="J47" s="25">
        <v>-0.11392635394766117</v>
      </c>
      <c r="K47" s="26">
        <v>0.11300016437080374</v>
      </c>
      <c r="L47" s="24">
        <v>0</v>
      </c>
      <c r="M47" s="25">
        <v>3.1808545047870944E-2</v>
      </c>
      <c r="N47" s="26">
        <v>0.1711876273288222</v>
      </c>
      <c r="O47" s="27">
        <v>0</v>
      </c>
      <c r="P47" s="28">
        <v>15</v>
      </c>
      <c r="Q47" s="29">
        <v>100</v>
      </c>
      <c r="R47" s="24">
        <v>0</v>
      </c>
      <c r="S47" s="25">
        <v>0</v>
      </c>
      <c r="T47" s="26">
        <v>0</v>
      </c>
      <c r="U47" s="27">
        <v>209.51162790697674</v>
      </c>
      <c r="V47" s="28">
        <v>209.51162790697674</v>
      </c>
      <c r="W47" s="29">
        <v>207.64705882352942</v>
      </c>
      <c r="X47" s="24">
        <v>0.72634555469261541</v>
      </c>
      <c r="Y47" s="25">
        <v>0.65260018508362028</v>
      </c>
      <c r="Z47" s="26">
        <v>0.74384296755818258</v>
      </c>
      <c r="AA47" s="24">
        <v>3.8835491730248757E-2</v>
      </c>
      <c r="AB47" s="25">
        <v>0.10950734959709305</v>
      </c>
      <c r="AC47" s="26">
        <v>5.4998450174072767E-2</v>
      </c>
      <c r="AD47" s="27">
        <v>3531931</v>
      </c>
      <c r="AE47" s="28">
        <v>6694929</v>
      </c>
      <c r="AF47" s="29">
        <v>4798419</v>
      </c>
      <c r="AG47" s="27">
        <v>18527099</v>
      </c>
      <c r="AH47" s="28">
        <v>44290251</v>
      </c>
      <c r="AI47" s="29">
        <v>20741039</v>
      </c>
      <c r="AJ47" s="27">
        <v>1742895</v>
      </c>
      <c r="AK47" s="28">
        <v>-4537974</v>
      </c>
      <c r="AL47" s="29">
        <v>2799382</v>
      </c>
      <c r="AM47" s="30">
        <v>8606708</v>
      </c>
      <c r="AN47" s="30">
        <v>2961606</v>
      </c>
      <c r="AO47" s="30">
        <v>7053331</v>
      </c>
      <c r="AP47" s="27">
        <v>0</v>
      </c>
      <c r="AQ47" s="28">
        <v>278208</v>
      </c>
      <c r="AR47" s="29">
        <v>1768544</v>
      </c>
      <c r="AS47" s="27">
        <v>0</v>
      </c>
      <c r="AT47" s="28">
        <v>0</v>
      </c>
      <c r="AU47" s="29">
        <v>0</v>
      </c>
      <c r="AV47" s="27">
        <v>607096.04999999958</v>
      </c>
      <c r="AW47" s="28">
        <v>2947316.620000001</v>
      </c>
      <c r="AX47" s="29">
        <v>3125462.38</v>
      </c>
      <c r="AY47" s="27">
        <v>19366399.170000002</v>
      </c>
      <c r="AZ47" s="28">
        <v>20073052.16</v>
      </c>
      <c r="BA47" s="29">
        <v>24608871.59</v>
      </c>
      <c r="BB47" s="24">
        <v>0</v>
      </c>
      <c r="BC47" s="25">
        <v>0</v>
      </c>
      <c r="BD47" s="26">
        <v>0</v>
      </c>
      <c r="BE47" s="24">
        <v>1.365628378945602E-2</v>
      </c>
      <c r="BF47" s="25">
        <v>7.8207984514412854E-2</v>
      </c>
      <c r="BG47" s="26">
        <v>6.7554389070456619E-2</v>
      </c>
      <c r="BH47" s="24">
        <v>0.43563624412546537</v>
      </c>
      <c r="BI47" s="25">
        <v>0.53264482744520369</v>
      </c>
      <c r="BJ47" s="26">
        <v>0.53190123055513039</v>
      </c>
      <c r="BK47" s="24">
        <v>0.82028000000000001</v>
      </c>
      <c r="BL47" s="25">
        <v>0.73516000000000004</v>
      </c>
      <c r="BM47" s="26">
        <v>0.77769999999999995</v>
      </c>
    </row>
    <row r="48" spans="1:65" x14ac:dyDescent="0.2">
      <c r="A48" s="22">
        <v>5407</v>
      </c>
      <c r="B48" s="23" t="s">
        <v>65</v>
      </c>
      <c r="C48" s="24">
        <v>0.23269746630240973</v>
      </c>
      <c r="D48" s="25">
        <v>0.25502082890886973</v>
      </c>
      <c r="E48" s="26">
        <v>0.25000438207219428</v>
      </c>
      <c r="F48" s="24">
        <v>0.55084589770679415</v>
      </c>
      <c r="G48" s="25">
        <v>0.48552426645152841</v>
      </c>
      <c r="H48" s="26">
        <v>0.97460078546487483</v>
      </c>
      <c r="I48" s="24">
        <v>3.6125561865393105E-2</v>
      </c>
      <c r="J48" s="25">
        <v>-0.18333640266954029</v>
      </c>
      <c r="K48" s="26">
        <v>0.14562662391791831</v>
      </c>
      <c r="L48" s="24">
        <v>0</v>
      </c>
      <c r="M48" s="25">
        <v>0</v>
      </c>
      <c r="N48" s="26">
        <v>0</v>
      </c>
      <c r="O48" s="27">
        <v>0</v>
      </c>
      <c r="P48" s="28">
        <v>0</v>
      </c>
      <c r="Q48" s="29">
        <v>0</v>
      </c>
      <c r="R48" s="24">
        <v>0</v>
      </c>
      <c r="S48" s="25">
        <v>0</v>
      </c>
      <c r="T48" s="26">
        <v>0</v>
      </c>
      <c r="U48" s="27">
        <v>181.79661016949152</v>
      </c>
      <c r="V48" s="28">
        <v>176.559670781893</v>
      </c>
      <c r="W48" s="29">
        <v>139.07894736842104</v>
      </c>
      <c r="X48" s="24">
        <v>0.59180745656215406</v>
      </c>
      <c r="Y48" s="25">
        <v>0.5831907826779591</v>
      </c>
      <c r="Z48" s="26">
        <v>0.7515967430682351</v>
      </c>
      <c r="AA48" s="24">
        <v>0.20425678637903247</v>
      </c>
      <c r="AB48" s="25">
        <v>0.22777962827310319</v>
      </c>
      <c r="AC48" s="26">
        <v>2.9307723655670265E-2</v>
      </c>
      <c r="AD48" s="27">
        <v>2597559</v>
      </c>
      <c r="AE48" s="28">
        <v>5640198</v>
      </c>
      <c r="AF48" s="29">
        <v>3123577</v>
      </c>
      <c r="AG48" s="27">
        <v>10896201</v>
      </c>
      <c r="AH48" s="28">
        <v>26482399</v>
      </c>
      <c r="AI48" s="29">
        <v>10681587</v>
      </c>
      <c r="AJ48" s="27">
        <v>403263</v>
      </c>
      <c r="AK48" s="28">
        <v>-4054781</v>
      </c>
      <c r="AL48" s="29">
        <v>1819472</v>
      </c>
      <c r="AM48" s="30">
        <v>6694112</v>
      </c>
      <c r="AN48" s="30">
        <v>2290629</v>
      </c>
      <c r="AO48" s="30">
        <v>4164789</v>
      </c>
      <c r="AP48" s="27">
        <v>0</v>
      </c>
      <c r="AQ48" s="28">
        <v>0</v>
      </c>
      <c r="AR48" s="29">
        <v>0</v>
      </c>
      <c r="AS48" s="27">
        <v>0</v>
      </c>
      <c r="AT48" s="28">
        <v>0</v>
      </c>
      <c r="AU48" s="29">
        <v>0</v>
      </c>
      <c r="AV48" s="27">
        <v>199155.47</v>
      </c>
      <c r="AW48" s="28">
        <v>1139496.9300000006</v>
      </c>
      <c r="AX48" s="29">
        <v>3178010.74</v>
      </c>
      <c r="AY48" s="27">
        <v>9405387.4900000002</v>
      </c>
      <c r="AZ48" s="28">
        <v>9824488.2100000009</v>
      </c>
      <c r="BA48" s="29">
        <v>12339099.48</v>
      </c>
      <c r="BB48" s="24">
        <v>0</v>
      </c>
      <c r="BC48" s="25">
        <v>0</v>
      </c>
      <c r="BD48" s="26">
        <v>0</v>
      </c>
      <c r="BE48" s="24">
        <v>7.6604942946751778E-3</v>
      </c>
      <c r="BF48" s="25">
        <v>5.4779392528311127E-2</v>
      </c>
      <c r="BG48" s="26">
        <v>0.13495905102279973</v>
      </c>
      <c r="BH48" s="24">
        <v>0.36177724471416373</v>
      </c>
      <c r="BI48" s="25">
        <v>0.47229569635203361</v>
      </c>
      <c r="BJ48" s="26">
        <v>0.52399859299931806</v>
      </c>
      <c r="BK48" s="24">
        <v>0.79354999999999998</v>
      </c>
      <c r="BL48" s="25">
        <v>0.66803999999999997</v>
      </c>
      <c r="BM48" s="26">
        <v>0.73080000000000001</v>
      </c>
    </row>
    <row r="49" spans="1:65" x14ac:dyDescent="0.2">
      <c r="A49" s="22">
        <v>5408</v>
      </c>
      <c r="B49" s="23" t="s">
        <v>66</v>
      </c>
      <c r="C49" s="24">
        <v>0.20921337145339305</v>
      </c>
      <c r="D49" s="25">
        <v>0.1896012149943255</v>
      </c>
      <c r="E49" s="26">
        <v>0.23258005444269711</v>
      </c>
      <c r="F49" s="24">
        <v>0.73055334648702519</v>
      </c>
      <c r="G49" s="25">
        <v>0.56241351555630748</v>
      </c>
      <c r="H49" s="26">
        <v>0.87082475042212448</v>
      </c>
      <c r="I49" s="24">
        <v>6.8280324263464448E-2</v>
      </c>
      <c r="J49" s="25">
        <v>-2.272420607908229E-2</v>
      </c>
      <c r="K49" s="26">
        <v>0.13487514777272888</v>
      </c>
      <c r="L49" s="24">
        <v>0.37235371127537437</v>
      </c>
      <c r="M49" s="25">
        <v>0.42510621493771661</v>
      </c>
      <c r="N49" s="26">
        <v>0.43374254015714131</v>
      </c>
      <c r="O49" s="27">
        <v>201</v>
      </c>
      <c r="P49" s="28">
        <v>234</v>
      </c>
      <c r="Q49" s="29">
        <v>286</v>
      </c>
      <c r="R49" s="24">
        <v>0</v>
      </c>
      <c r="S49" s="25">
        <v>0</v>
      </c>
      <c r="T49" s="26">
        <v>0</v>
      </c>
      <c r="U49" s="27">
        <v>187.4</v>
      </c>
      <c r="V49" s="28">
        <v>187.4</v>
      </c>
      <c r="W49" s="29">
        <v>183.71428571428572</v>
      </c>
      <c r="X49" s="24">
        <v>0.64966774989997167</v>
      </c>
      <c r="Y49" s="25">
        <v>0.59108045167963597</v>
      </c>
      <c r="Z49" s="26">
        <v>0.66483669541573165</v>
      </c>
      <c r="AA49" s="24">
        <v>9.7047359740804709E-2</v>
      </c>
      <c r="AB49" s="25">
        <v>0.16656026319977557</v>
      </c>
      <c r="AC49" s="26">
        <v>0.11177918256190114</v>
      </c>
      <c r="AD49" s="27">
        <v>5826865</v>
      </c>
      <c r="AE49" s="28">
        <v>11281996</v>
      </c>
      <c r="AF49" s="29">
        <v>7596840</v>
      </c>
      <c r="AG49" s="27">
        <v>25617750</v>
      </c>
      <c r="AH49" s="28">
        <v>60045036</v>
      </c>
      <c r="AI49" s="29">
        <v>28661106</v>
      </c>
      <c r="AJ49" s="27">
        <v>1901696</v>
      </c>
      <c r="AK49" s="28">
        <v>-1352177</v>
      </c>
      <c r="AL49" s="29">
        <v>4405472</v>
      </c>
      <c r="AM49" s="30">
        <v>6638201</v>
      </c>
      <c r="AN49" s="30">
        <v>3744184</v>
      </c>
      <c r="AO49" s="30">
        <v>9409382</v>
      </c>
      <c r="AP49" s="27">
        <v>5285094</v>
      </c>
      <c r="AQ49" s="28">
        <v>6140360</v>
      </c>
      <c r="AR49" s="29">
        <v>7344634</v>
      </c>
      <c r="AS49" s="27">
        <v>0</v>
      </c>
      <c r="AT49" s="28">
        <v>0</v>
      </c>
      <c r="AU49" s="29">
        <v>0</v>
      </c>
      <c r="AV49" s="27">
        <v>211446.35000000038</v>
      </c>
      <c r="AW49" s="28">
        <v>1871622.8799999997</v>
      </c>
      <c r="AX49" s="29">
        <v>1470179.570000001</v>
      </c>
      <c r="AY49" s="27">
        <v>23735679.02</v>
      </c>
      <c r="AZ49" s="28">
        <v>22183975.470000003</v>
      </c>
      <c r="BA49" s="29">
        <v>31949938.670000002</v>
      </c>
      <c r="BB49" s="24">
        <v>0</v>
      </c>
      <c r="BC49" s="25">
        <v>0</v>
      </c>
      <c r="BD49" s="26">
        <v>0</v>
      </c>
      <c r="BE49" s="24">
        <v>4.1138138494824063E-3</v>
      </c>
      <c r="BF49" s="25">
        <v>3.9461856995023067E-2</v>
      </c>
      <c r="BG49" s="26">
        <v>2.4683536446750365E-2</v>
      </c>
      <c r="BH49" s="24">
        <v>0.46179167944655847</v>
      </c>
      <c r="BI49" s="25">
        <v>0.46773357866742893</v>
      </c>
      <c r="BJ49" s="26">
        <v>0.53642255118018223</v>
      </c>
      <c r="BK49" s="24">
        <v>0.82038999999999995</v>
      </c>
      <c r="BL49" s="25">
        <v>0.76471999999999996</v>
      </c>
      <c r="BM49" s="26">
        <v>0.79259999999999997</v>
      </c>
    </row>
    <row r="50" spans="1:65" x14ac:dyDescent="0.2">
      <c r="A50" s="22">
        <v>5409</v>
      </c>
      <c r="B50" s="23" t="s">
        <v>67</v>
      </c>
      <c r="C50" s="24">
        <v>0.13367099978497093</v>
      </c>
      <c r="D50" s="25">
        <v>0.15106481329347859</v>
      </c>
      <c r="E50" s="26">
        <v>0.16676518389360001</v>
      </c>
      <c r="F50" s="24">
        <v>0.56375135712569835</v>
      </c>
      <c r="G50" s="25">
        <v>0.44261201509788339</v>
      </c>
      <c r="H50" s="26">
        <v>0.89422617631559975</v>
      </c>
      <c r="I50" s="24">
        <v>4.5537796630542894E-2</v>
      </c>
      <c r="J50" s="25">
        <v>-4.8114042679287497E-2</v>
      </c>
      <c r="K50" s="26">
        <v>0.11764126983795327</v>
      </c>
      <c r="L50" s="24">
        <v>8.7959679865140847E-2</v>
      </c>
      <c r="M50" s="25">
        <v>6.1531916625203693E-2</v>
      </c>
      <c r="N50" s="26">
        <v>4.8036827105549941E-2</v>
      </c>
      <c r="O50" s="27">
        <v>44</v>
      </c>
      <c r="P50" s="28">
        <v>34</v>
      </c>
      <c r="Q50" s="29">
        <v>26</v>
      </c>
      <c r="R50" s="24">
        <v>0</v>
      </c>
      <c r="S50" s="25">
        <v>0</v>
      </c>
      <c r="T50" s="26">
        <v>0</v>
      </c>
      <c r="U50" s="27">
        <v>95.106796116504853</v>
      </c>
      <c r="V50" s="28">
        <v>96.039215686274517</v>
      </c>
      <c r="W50" s="29">
        <v>91.93364928909952</v>
      </c>
      <c r="X50" s="24">
        <v>0.7005777800754277</v>
      </c>
      <c r="Y50" s="25">
        <v>0.62506994598414922</v>
      </c>
      <c r="Z50" s="26">
        <v>0.75329206886362743</v>
      </c>
      <c r="AA50" s="24">
        <v>8.3695804774291949E-2</v>
      </c>
      <c r="AB50" s="25">
        <v>0.17842494180140148</v>
      </c>
      <c r="AC50" s="26">
        <v>5.1820772140283619E-2</v>
      </c>
      <c r="AD50" s="27">
        <v>1680297</v>
      </c>
      <c r="AE50" s="28">
        <v>3921330</v>
      </c>
      <c r="AF50" s="29">
        <v>2394397</v>
      </c>
      <c r="AG50" s="27">
        <v>11973587</v>
      </c>
      <c r="AH50" s="28">
        <v>27120928</v>
      </c>
      <c r="AI50" s="29">
        <v>12840102</v>
      </c>
      <c r="AJ50" s="27">
        <v>572428</v>
      </c>
      <c r="AK50" s="28">
        <v>-1248941</v>
      </c>
      <c r="AL50" s="29">
        <v>1689081</v>
      </c>
      <c r="AM50" s="30">
        <v>4252736</v>
      </c>
      <c r="AN50" s="30">
        <v>2295307</v>
      </c>
      <c r="AO50" s="30">
        <v>4008018</v>
      </c>
      <c r="AP50" s="27">
        <v>429535</v>
      </c>
      <c r="AQ50" s="28">
        <v>332668</v>
      </c>
      <c r="AR50" s="29">
        <v>249712</v>
      </c>
      <c r="AS50" s="27">
        <v>0</v>
      </c>
      <c r="AT50" s="28">
        <v>0</v>
      </c>
      <c r="AU50" s="29">
        <v>0</v>
      </c>
      <c r="AV50" s="27">
        <v>421341.38000000035</v>
      </c>
      <c r="AW50" s="28">
        <v>2451715.4600000004</v>
      </c>
      <c r="AX50" s="29">
        <v>3370300.8499999996</v>
      </c>
      <c r="AY50" s="27">
        <v>22526805.109999999</v>
      </c>
      <c r="AZ50" s="28">
        <v>17769380.689999998</v>
      </c>
      <c r="BA50" s="29">
        <v>22269155.780000001</v>
      </c>
      <c r="BB50" s="24">
        <v>0</v>
      </c>
      <c r="BC50" s="25">
        <v>0</v>
      </c>
      <c r="BD50" s="26">
        <v>0</v>
      </c>
      <c r="BE50" s="24">
        <v>1.6004262876848575E-2</v>
      </c>
      <c r="BF50" s="25">
        <v>0.11108400715279174</v>
      </c>
      <c r="BG50" s="26">
        <v>0.12276082479896976</v>
      </c>
      <c r="BH50" s="24">
        <v>0.85565987075842265</v>
      </c>
      <c r="BI50" s="25">
        <v>0.80510729889864086</v>
      </c>
      <c r="BJ50" s="26">
        <v>0.8111382493137208</v>
      </c>
      <c r="BK50" s="24">
        <v>0.77342</v>
      </c>
      <c r="BL50" s="25">
        <v>0.65229000000000004</v>
      </c>
      <c r="BM50" s="26">
        <v>0.71289999999999998</v>
      </c>
    </row>
    <row r="51" spans="1:65" x14ac:dyDescent="0.2">
      <c r="A51" s="22">
        <v>5410</v>
      </c>
      <c r="B51" s="23" t="s">
        <v>68</v>
      </c>
      <c r="C51" s="24">
        <v>0.10567965917714477</v>
      </c>
      <c r="D51" s="25">
        <v>9.146563372620542E-2</v>
      </c>
      <c r="E51" s="26">
        <v>0.1409356937899022</v>
      </c>
      <c r="F51" s="24">
        <v>0.16759246580017881</v>
      </c>
      <c r="G51" s="25">
        <v>0.19134369432443502</v>
      </c>
      <c r="H51" s="26">
        <v>0.71857220144706102</v>
      </c>
      <c r="I51" s="24">
        <v>-0.19293034142025001</v>
      </c>
      <c r="J51" s="25">
        <v>-0.1613474161229162</v>
      </c>
      <c r="K51" s="26">
        <v>9.2138636711331018E-2</v>
      </c>
      <c r="L51" s="24">
        <v>0</v>
      </c>
      <c r="M51" s="25">
        <v>0</v>
      </c>
      <c r="N51" s="26">
        <v>0</v>
      </c>
      <c r="O51" s="27">
        <v>0</v>
      </c>
      <c r="P51" s="28">
        <v>0</v>
      </c>
      <c r="Q51" s="29">
        <v>0</v>
      </c>
      <c r="R51" s="24">
        <v>0</v>
      </c>
      <c r="S51" s="25">
        <v>1.8322434967495672E-3</v>
      </c>
      <c r="T51" s="26">
        <v>0</v>
      </c>
      <c r="U51" s="27">
        <v>66.745762711864401</v>
      </c>
      <c r="V51" s="28">
        <v>66.745762711864401</v>
      </c>
      <c r="W51" s="29">
        <v>64.745762711864401</v>
      </c>
      <c r="X51" s="24">
        <v>0.45369551854592077</v>
      </c>
      <c r="Y51" s="25">
        <v>0.49909954586814637</v>
      </c>
      <c r="Z51" s="26">
        <v>0.67596045298952878</v>
      </c>
      <c r="AA51" s="24">
        <v>0.37917340903185781</v>
      </c>
      <c r="AB51" s="25">
        <v>0.24671759734882281</v>
      </c>
      <c r="AC51" s="26">
        <v>3.2442377633521695E-2</v>
      </c>
      <c r="AD51" s="27">
        <v>405103</v>
      </c>
      <c r="AE51" s="28">
        <v>678331</v>
      </c>
      <c r="AF51" s="29">
        <v>604330</v>
      </c>
      <c r="AG51" s="27">
        <v>4745491</v>
      </c>
      <c r="AH51" s="28">
        <v>8924941</v>
      </c>
      <c r="AI51" s="29">
        <v>3739954</v>
      </c>
      <c r="AJ51" s="27">
        <v>-739562</v>
      </c>
      <c r="AK51" s="28">
        <v>-1196591</v>
      </c>
      <c r="AL51" s="29">
        <v>395089</v>
      </c>
      <c r="AM51" s="30">
        <v>2732381</v>
      </c>
      <c r="AN51" s="30">
        <v>2275318</v>
      </c>
      <c r="AO51" s="30">
        <v>2673481</v>
      </c>
      <c r="AP51" s="27">
        <v>0</v>
      </c>
      <c r="AQ51" s="28">
        <v>0</v>
      </c>
      <c r="AR51" s="29">
        <v>0</v>
      </c>
      <c r="AS51" s="27">
        <v>0</v>
      </c>
      <c r="AT51" s="28">
        <v>2113</v>
      </c>
      <c r="AU51" s="29">
        <v>0</v>
      </c>
      <c r="AV51" s="27">
        <v>495079.33000000019</v>
      </c>
      <c r="AW51" s="28">
        <v>784273.05000000028</v>
      </c>
      <c r="AX51" s="29">
        <v>732300.41999999969</v>
      </c>
      <c r="AY51" s="27">
        <v>1564382.5499999998</v>
      </c>
      <c r="AZ51" s="28">
        <v>1804475.5999999996</v>
      </c>
      <c r="BA51" s="29">
        <v>1324562.82</v>
      </c>
      <c r="BB51" s="24">
        <v>0</v>
      </c>
      <c r="BC51" s="25">
        <v>2.3675226536511558E-4</v>
      </c>
      <c r="BD51" s="26">
        <v>0</v>
      </c>
      <c r="BE51" s="24">
        <v>4.7034193129453006E-2</v>
      </c>
      <c r="BF51" s="25">
        <v>8.1857186604476898E-2</v>
      </c>
      <c r="BG51" s="26">
        <v>7.5453171612437336E-2</v>
      </c>
      <c r="BH51" s="24">
        <v>0.14862157744506549</v>
      </c>
      <c r="BI51" s="25">
        <v>0.18833911979051851</v>
      </c>
      <c r="BJ51" s="26">
        <v>0.13647741150949222</v>
      </c>
      <c r="BK51" s="24">
        <v>0.53605000000000003</v>
      </c>
      <c r="BL51" s="25">
        <v>0.70918000000000003</v>
      </c>
      <c r="BM51" s="26">
        <v>0.62260000000000004</v>
      </c>
    </row>
    <row r="52" spans="1:65" x14ac:dyDescent="0.2">
      <c r="A52" s="22">
        <v>5501</v>
      </c>
      <c r="B52" s="23" t="s">
        <v>69</v>
      </c>
      <c r="C52" s="24">
        <v>0.17390974188251235</v>
      </c>
      <c r="D52" s="25">
        <v>0.18062645950875278</v>
      </c>
      <c r="E52" s="26">
        <v>0.19545899937416797</v>
      </c>
      <c r="F52" s="24">
        <v>0.64219339516162099</v>
      </c>
      <c r="G52" s="25">
        <v>0.55288522680656438</v>
      </c>
      <c r="H52" s="26">
        <v>0.60701505211809459</v>
      </c>
      <c r="I52" s="24">
        <v>0.19863392452542367</v>
      </c>
      <c r="J52" s="25">
        <v>7.1343664240544086E-2</v>
      </c>
      <c r="K52" s="26">
        <v>-2.9376213293520032E-3</v>
      </c>
      <c r="L52" s="24">
        <v>0.16857875628346694</v>
      </c>
      <c r="M52" s="25">
        <v>0.16038840503623425</v>
      </c>
      <c r="N52" s="26">
        <v>0.21213763899390942</v>
      </c>
      <c r="O52" s="27">
        <v>152</v>
      </c>
      <c r="P52" s="28">
        <v>142</v>
      </c>
      <c r="Q52" s="29">
        <v>224</v>
      </c>
      <c r="R52" s="24">
        <v>0.88397785978029975</v>
      </c>
      <c r="S52" s="25">
        <v>0.89837719257127324</v>
      </c>
      <c r="T52" s="26">
        <v>0.77043618993177787</v>
      </c>
      <c r="U52" s="27">
        <v>76.476190476190482</v>
      </c>
      <c r="V52" s="28">
        <v>76.476190476190482</v>
      </c>
      <c r="W52" s="29">
        <v>92.529411764705884</v>
      </c>
      <c r="X52" s="24">
        <v>0.6209694773036738</v>
      </c>
      <c r="Y52" s="25">
        <v>0.59698154391587555</v>
      </c>
      <c r="Z52" s="26">
        <v>0.65357704818259921</v>
      </c>
      <c r="AA52" s="24">
        <v>6.8472306015763984E-2</v>
      </c>
      <c r="AB52" s="25">
        <v>0.11551502054242606</v>
      </c>
      <c r="AC52" s="26">
        <v>9.7823646528577973E-2</v>
      </c>
      <c r="AD52" s="27">
        <v>1550461</v>
      </c>
      <c r="AE52" s="28">
        <v>3390980</v>
      </c>
      <c r="AF52" s="29">
        <v>1789898</v>
      </c>
      <c r="AG52" s="27">
        <v>7811859</v>
      </c>
      <c r="AH52" s="28">
        <v>17508156</v>
      </c>
      <c r="AI52" s="29">
        <v>8622864</v>
      </c>
      <c r="AJ52" s="27">
        <v>1770885</v>
      </c>
      <c r="AK52" s="28">
        <v>1339366</v>
      </c>
      <c r="AL52" s="29">
        <v>-26901</v>
      </c>
      <c r="AM52" s="30">
        <v>4076877</v>
      </c>
      <c r="AN52" s="30">
        <v>3707674</v>
      </c>
      <c r="AO52" s="30">
        <v>3948651</v>
      </c>
      <c r="AP52" s="27">
        <v>730988</v>
      </c>
      <c r="AQ52" s="28">
        <v>684326</v>
      </c>
      <c r="AR52" s="29">
        <v>1055431</v>
      </c>
      <c r="AS52" s="27">
        <v>3833088</v>
      </c>
      <c r="AT52" s="28">
        <v>3833088</v>
      </c>
      <c r="AU52" s="29">
        <v>3833088</v>
      </c>
      <c r="AV52" s="27">
        <v>4673786.6100000003</v>
      </c>
      <c r="AW52" s="28">
        <v>4486812.8999999994</v>
      </c>
      <c r="AX52" s="29">
        <v>4417624.7299999995</v>
      </c>
      <c r="AY52" s="27">
        <v>4216768.3099999996</v>
      </c>
      <c r="AZ52" s="28">
        <v>3533438.55</v>
      </c>
      <c r="BA52" s="29">
        <v>4207240.26</v>
      </c>
      <c r="BB52" s="24">
        <v>0.19703456676984743</v>
      </c>
      <c r="BC52" s="25">
        <v>0.21893156538015768</v>
      </c>
      <c r="BD52" s="26">
        <v>0.17150207446526966</v>
      </c>
      <c r="BE52" s="24">
        <v>0.24024951158858443</v>
      </c>
      <c r="BF52" s="25">
        <v>0.33788831854731027</v>
      </c>
      <c r="BG52" s="26">
        <v>0.1976557296373255</v>
      </c>
      <c r="BH52" s="24">
        <v>0.21675712040257661</v>
      </c>
      <c r="BI52" s="25">
        <v>0.26609257772922651</v>
      </c>
      <c r="BJ52" s="26">
        <v>0.18824259509925167</v>
      </c>
      <c r="BK52" s="24">
        <v>0.71725000000000005</v>
      </c>
      <c r="BL52" s="25">
        <v>0.86260999999999999</v>
      </c>
      <c r="BM52" s="26">
        <v>0.78990000000000005</v>
      </c>
    </row>
    <row r="53" spans="1:65" x14ac:dyDescent="0.2">
      <c r="A53" s="22">
        <v>5502</v>
      </c>
      <c r="B53" s="23" t="s">
        <v>70</v>
      </c>
      <c r="C53" s="24">
        <v>5.1802381698288623E-2</v>
      </c>
      <c r="D53" s="25">
        <v>9.0116909701542153E-2</v>
      </c>
      <c r="E53" s="26">
        <v>5.654861824680632E-2</v>
      </c>
      <c r="F53" s="24">
        <v>0.41608724664700458</v>
      </c>
      <c r="G53" s="25">
        <v>0.55273506320070243</v>
      </c>
      <c r="H53" s="26">
        <v>0.50633872314582862</v>
      </c>
      <c r="I53" s="24">
        <v>0.12793320641427447</v>
      </c>
      <c r="J53" s="25">
        <v>-7.0514947648594537E-3</v>
      </c>
      <c r="K53" s="26">
        <v>0.18818057576158356</v>
      </c>
      <c r="L53" s="24">
        <v>0</v>
      </c>
      <c r="M53" s="25">
        <v>0</v>
      </c>
      <c r="N53" s="26">
        <v>0</v>
      </c>
      <c r="O53" s="27">
        <v>0</v>
      </c>
      <c r="P53" s="28">
        <v>0</v>
      </c>
      <c r="Q53" s="29">
        <v>0</v>
      </c>
      <c r="R53" s="24">
        <v>0</v>
      </c>
      <c r="S53" s="25">
        <v>0</v>
      </c>
      <c r="T53" s="26">
        <v>0</v>
      </c>
      <c r="U53" s="27">
        <v>32.347826086956523</v>
      </c>
      <c r="V53" s="28">
        <v>36.292682926829265</v>
      </c>
      <c r="W53" s="29">
        <v>34.731707317073173</v>
      </c>
      <c r="X53" s="24">
        <v>0.75808511966985892</v>
      </c>
      <c r="Y53" s="25">
        <v>0.67380562845103176</v>
      </c>
      <c r="Z53" s="26">
        <v>0.8212871959195196</v>
      </c>
      <c r="AA53" s="24">
        <v>6.6709604517268817E-2</v>
      </c>
      <c r="AB53" s="25">
        <v>0.17424769941771423</v>
      </c>
      <c r="AC53" s="26">
        <v>6.8094202726784936E-4</v>
      </c>
      <c r="AD53" s="27">
        <v>163370</v>
      </c>
      <c r="AE53" s="28">
        <v>567859</v>
      </c>
      <c r="AF53" s="29">
        <v>200100</v>
      </c>
      <c r="AG53" s="27">
        <v>2706237</v>
      </c>
      <c r="AH53" s="28">
        <v>6314597</v>
      </c>
      <c r="AI53" s="29">
        <v>2784378</v>
      </c>
      <c r="AJ53" s="27">
        <v>403465</v>
      </c>
      <c r="AK53" s="28">
        <v>-44434</v>
      </c>
      <c r="AL53" s="29">
        <v>665886</v>
      </c>
      <c r="AM53" s="30">
        <v>2069011</v>
      </c>
      <c r="AN53" s="30">
        <v>1619549</v>
      </c>
      <c r="AO53" s="30">
        <v>2281504</v>
      </c>
      <c r="AP53" s="27">
        <v>0</v>
      </c>
      <c r="AQ53" s="28">
        <v>0</v>
      </c>
      <c r="AR53" s="29">
        <v>0</v>
      </c>
      <c r="AS53" s="27">
        <v>0</v>
      </c>
      <c r="AT53" s="28">
        <v>0</v>
      </c>
      <c r="AU53" s="29">
        <v>0</v>
      </c>
      <c r="AV53" s="27">
        <v>15558.819999999891</v>
      </c>
      <c r="AW53" s="28">
        <v>26376.009999999962</v>
      </c>
      <c r="AX53" s="29">
        <v>27689.409999999974</v>
      </c>
      <c r="AY53" s="27">
        <v>951413.27999999991</v>
      </c>
      <c r="AZ53" s="28">
        <v>2127703.7199999997</v>
      </c>
      <c r="BA53" s="29">
        <v>2067391.58</v>
      </c>
      <c r="BB53" s="24">
        <v>0</v>
      </c>
      <c r="BC53" s="25">
        <v>0</v>
      </c>
      <c r="BD53" s="26">
        <v>0</v>
      </c>
      <c r="BE53" s="24">
        <v>2.072153157050209E-3</v>
      </c>
      <c r="BF53" s="25">
        <v>5.4008970776890496E-3</v>
      </c>
      <c r="BG53" s="26">
        <v>3.294537317052012E-3</v>
      </c>
      <c r="BH53" s="24">
        <v>0.12671102511704024</v>
      </c>
      <c r="BI53" s="25">
        <v>0.43568033237537196</v>
      </c>
      <c r="BJ53" s="26">
        <v>0.24598208157086507</v>
      </c>
      <c r="BK53" s="24">
        <v>0.62236999999999998</v>
      </c>
      <c r="BL53" s="25">
        <v>0.57852000000000003</v>
      </c>
      <c r="BM53" s="26">
        <v>0.60040000000000004</v>
      </c>
    </row>
    <row r="54" spans="1:65" x14ac:dyDescent="0.2">
      <c r="A54" s="22">
        <v>5503</v>
      </c>
      <c r="B54" s="23" t="s">
        <v>71</v>
      </c>
      <c r="C54" s="24">
        <v>7.8352184368766828E-2</v>
      </c>
      <c r="D54" s="25">
        <v>9.1375342522415942E-2</v>
      </c>
      <c r="E54" s="26">
        <v>6.3482504878381793E-2</v>
      </c>
      <c r="F54" s="24">
        <v>0.19256142852256505</v>
      </c>
      <c r="G54" s="25">
        <v>0.29693533714966797</v>
      </c>
      <c r="H54" s="26">
        <v>0.59154878176159753</v>
      </c>
      <c r="I54" s="24">
        <v>-0.13909038901182777</v>
      </c>
      <c r="J54" s="25">
        <v>-0.1572387736909823</v>
      </c>
      <c r="K54" s="26">
        <v>0.19206299537571678</v>
      </c>
      <c r="L54" s="24">
        <v>0.49883947681331747</v>
      </c>
      <c r="M54" s="25">
        <v>0.37453056812473762</v>
      </c>
      <c r="N54" s="26">
        <v>0.31704668728139096</v>
      </c>
      <c r="O54" s="27">
        <v>232</v>
      </c>
      <c r="P54" s="28">
        <v>201</v>
      </c>
      <c r="Q54" s="29">
        <v>178</v>
      </c>
      <c r="R54" s="24">
        <v>0</v>
      </c>
      <c r="S54" s="25">
        <v>0</v>
      </c>
      <c r="T54" s="26">
        <v>0</v>
      </c>
      <c r="U54" s="27">
        <v>97.756756756756758</v>
      </c>
      <c r="V54" s="28">
        <v>97.756756756756758</v>
      </c>
      <c r="W54" s="29">
        <v>85.58536585365853</v>
      </c>
      <c r="X54" s="24">
        <v>0.51732903258605745</v>
      </c>
      <c r="Y54" s="25">
        <v>0.62086707153676646</v>
      </c>
      <c r="Z54" s="26">
        <v>0.76576655104729996</v>
      </c>
      <c r="AA54" s="24">
        <v>0.33207530712050404</v>
      </c>
      <c r="AB54" s="25">
        <v>0.2057395366159159</v>
      </c>
      <c r="AC54" s="26">
        <v>4.446365485243306E-2</v>
      </c>
      <c r="AD54" s="27">
        <v>534823</v>
      </c>
      <c r="AE54" s="28">
        <v>1131046</v>
      </c>
      <c r="AF54" s="29">
        <v>470063</v>
      </c>
      <c r="AG54" s="27">
        <v>7749971</v>
      </c>
      <c r="AH54" s="28">
        <v>14295614</v>
      </c>
      <c r="AI54" s="29">
        <v>5977084</v>
      </c>
      <c r="AJ54" s="27">
        <v>-949415</v>
      </c>
      <c r="AK54" s="28">
        <v>-1946305</v>
      </c>
      <c r="AL54" s="29">
        <v>1422151</v>
      </c>
      <c r="AM54" s="30">
        <v>2197511</v>
      </c>
      <c r="AN54" s="30">
        <v>1133146</v>
      </c>
      <c r="AO54" s="30">
        <v>2702112</v>
      </c>
      <c r="AP54" s="27">
        <v>839048</v>
      </c>
      <c r="AQ54" s="28">
        <v>726232</v>
      </c>
      <c r="AR54" s="29">
        <v>625438</v>
      </c>
      <c r="AS54" s="27">
        <v>0</v>
      </c>
      <c r="AT54" s="28">
        <v>0</v>
      </c>
      <c r="AU54" s="29">
        <v>0</v>
      </c>
      <c r="AV54" s="27">
        <v>201341.79999999964</v>
      </c>
      <c r="AW54" s="28">
        <v>170780.93999999989</v>
      </c>
      <c r="AX54" s="29">
        <v>181984.8900000001</v>
      </c>
      <c r="AY54" s="27">
        <v>3165957.6</v>
      </c>
      <c r="AZ54" s="28">
        <v>6221755.7999999998</v>
      </c>
      <c r="BA54" s="29">
        <v>6340006.96</v>
      </c>
      <c r="BB54" s="24">
        <v>0</v>
      </c>
      <c r="BC54" s="25">
        <v>0</v>
      </c>
      <c r="BD54" s="26">
        <v>0</v>
      </c>
      <c r="BE54" s="24">
        <v>1.4515875650798741E-2</v>
      </c>
      <c r="BF54" s="25">
        <v>1.4904352338416117E-2</v>
      </c>
      <c r="BG54" s="26">
        <v>1.3261041298238409E-2</v>
      </c>
      <c r="BH54" s="24">
        <v>0.22825189224145856</v>
      </c>
      <c r="BI54" s="25">
        <v>0.54298354726694975</v>
      </c>
      <c r="BJ54" s="26">
        <v>0.46198942191123066</v>
      </c>
      <c r="BK54" s="24">
        <v>0.73860999999999999</v>
      </c>
      <c r="BL54" s="25">
        <v>0.55427999999999999</v>
      </c>
      <c r="BM54" s="26">
        <v>0.64639999999999997</v>
      </c>
    </row>
    <row r="55" spans="1:65" x14ac:dyDescent="0.2">
      <c r="A55" s="22">
        <v>5504</v>
      </c>
      <c r="B55" s="23" t="s">
        <v>72</v>
      </c>
      <c r="C55" s="24">
        <v>0.20137982166727536</v>
      </c>
      <c r="D55" s="25">
        <v>0.20018420829494668</v>
      </c>
      <c r="E55" s="26">
        <v>0.20280961036816578</v>
      </c>
      <c r="F55" s="24">
        <v>0.94668052424662452</v>
      </c>
      <c r="G55" s="25">
        <v>0.72561634258052843</v>
      </c>
      <c r="H55" s="26">
        <v>1.1954765810683159</v>
      </c>
      <c r="I55" s="24">
        <v>0.30269112705855161</v>
      </c>
      <c r="J55" s="25">
        <v>9.3203019977572979E-2</v>
      </c>
      <c r="K55" s="26">
        <v>0.22915098783823423</v>
      </c>
      <c r="L55" s="24">
        <v>0.27200069876343957</v>
      </c>
      <c r="M55" s="25">
        <v>0.19923470039096786</v>
      </c>
      <c r="N55" s="26">
        <v>0.10408704869988153</v>
      </c>
      <c r="O55" s="27">
        <v>131</v>
      </c>
      <c r="P55" s="28">
        <v>111</v>
      </c>
      <c r="Q55" s="29">
        <v>56</v>
      </c>
      <c r="R55" s="24">
        <v>5.4974000605858414E-2</v>
      </c>
      <c r="S55" s="25">
        <v>4.5210803478815925E-2</v>
      </c>
      <c r="T55" s="26">
        <v>4.0236370060900833E-2</v>
      </c>
      <c r="U55" s="27">
        <v>293.41558441558442</v>
      </c>
      <c r="V55" s="28">
        <v>291.52258064516127</v>
      </c>
      <c r="W55" s="29">
        <v>248.12777777777777</v>
      </c>
      <c r="X55" s="24">
        <v>0.66499229984499963</v>
      </c>
      <c r="Y55" s="25">
        <v>0.64229131842252252</v>
      </c>
      <c r="Z55" s="26">
        <v>0.72275884840754656</v>
      </c>
      <c r="AA55" s="24">
        <v>5.0143316288728056E-2</v>
      </c>
      <c r="AB55" s="25">
        <v>8.7602669510738765E-2</v>
      </c>
      <c r="AC55" s="26">
        <v>2.7556299457823362E-2</v>
      </c>
      <c r="AD55" s="27">
        <v>9984009</v>
      </c>
      <c r="AE55" s="28">
        <v>20171400</v>
      </c>
      <c r="AF55" s="29">
        <v>11366045</v>
      </c>
      <c r="AG55" s="27">
        <v>45125715</v>
      </c>
      <c r="AH55" s="28">
        <v>104630259</v>
      </c>
      <c r="AI55" s="29">
        <v>48892922</v>
      </c>
      <c r="AJ55" s="27">
        <v>15006821</v>
      </c>
      <c r="AK55" s="28">
        <v>9391527</v>
      </c>
      <c r="AL55" s="29">
        <v>12842293</v>
      </c>
      <c r="AM55" s="30">
        <v>19144078</v>
      </c>
      <c r="AN55" s="30">
        <v>12842898</v>
      </c>
      <c r="AO55" s="30">
        <v>22897246</v>
      </c>
      <c r="AP55" s="27">
        <v>5919867</v>
      </c>
      <c r="AQ55" s="28">
        <v>4994017</v>
      </c>
      <c r="AR55" s="29">
        <v>2503866</v>
      </c>
      <c r="AS55" s="27">
        <v>1196463</v>
      </c>
      <c r="AT55" s="28">
        <v>1133254</v>
      </c>
      <c r="AU55" s="29">
        <v>967906</v>
      </c>
      <c r="AV55" s="27">
        <v>4392046.95</v>
      </c>
      <c r="AW55" s="28">
        <v>4100399.7199999983</v>
      </c>
      <c r="AX55" s="29">
        <v>4608785.7699999996</v>
      </c>
      <c r="AY55" s="27">
        <v>16604038.680000002</v>
      </c>
      <c r="AZ55" s="28">
        <v>18871553.969999999</v>
      </c>
      <c r="BA55" s="29">
        <v>33627678.579999998</v>
      </c>
      <c r="BB55" s="24">
        <v>1.1800047888077212E-2</v>
      </c>
      <c r="BC55" s="25">
        <v>1.0831035025919223E-2</v>
      </c>
      <c r="BD55" s="26">
        <v>9.0663129661906188E-3</v>
      </c>
      <c r="BE55" s="24">
        <v>4.3316311776196562E-2</v>
      </c>
      <c r="BF55" s="25">
        <v>5.259827423926737E-2</v>
      </c>
      <c r="BG55" s="26">
        <v>4.3170198536785401E-2</v>
      </c>
      <c r="BH55" s="24">
        <v>0.16375638156757572</v>
      </c>
      <c r="BI55" s="25">
        <v>0.24207668491285411</v>
      </c>
      <c r="BJ55" s="26">
        <v>0.31498829259529798</v>
      </c>
      <c r="BK55" s="24">
        <v>0.69366000000000005</v>
      </c>
      <c r="BL55" s="25">
        <v>0.54735</v>
      </c>
      <c r="BM55" s="26">
        <v>0.62050000000000005</v>
      </c>
    </row>
    <row r="56" spans="1:65" x14ac:dyDescent="0.2">
      <c r="A56" s="22">
        <v>5505</v>
      </c>
      <c r="B56" s="23" t="s">
        <v>73</v>
      </c>
      <c r="C56" s="24">
        <v>0.11427743502087108</v>
      </c>
      <c r="D56" s="25">
        <v>0.15018366813200734</v>
      </c>
      <c r="E56" s="26">
        <v>0.1154704283461771</v>
      </c>
      <c r="F56" s="24">
        <v>0.24317354946158193</v>
      </c>
      <c r="G56" s="25">
        <v>0.29076700656800702</v>
      </c>
      <c r="H56" s="26">
        <v>0.49168843184514111</v>
      </c>
      <c r="I56" s="24">
        <v>-4.7183687542640837E-2</v>
      </c>
      <c r="J56" s="25">
        <v>-0.20062421689503745</v>
      </c>
      <c r="K56" s="26">
        <v>0.20565139646856415</v>
      </c>
      <c r="L56" s="24">
        <v>0</v>
      </c>
      <c r="M56" s="25">
        <v>0</v>
      </c>
      <c r="N56" s="26">
        <v>0</v>
      </c>
      <c r="O56" s="27">
        <v>0</v>
      </c>
      <c r="P56" s="28">
        <v>0</v>
      </c>
      <c r="Q56" s="29">
        <v>0</v>
      </c>
      <c r="R56" s="24">
        <v>0</v>
      </c>
      <c r="S56" s="25">
        <v>0</v>
      </c>
      <c r="T56" s="26">
        <v>0</v>
      </c>
      <c r="U56" s="27">
        <v>45.321428571428569</v>
      </c>
      <c r="V56" s="28">
        <v>45.321428571428569</v>
      </c>
      <c r="W56" s="29">
        <v>44.357142857142854</v>
      </c>
      <c r="X56" s="24">
        <v>0.498198530956736</v>
      </c>
      <c r="Y56" s="25">
        <v>0.533876302439523</v>
      </c>
      <c r="Z56" s="26">
        <v>0.68820762734023633</v>
      </c>
      <c r="AA56" s="24">
        <v>0.26572033326624361</v>
      </c>
      <c r="AB56" s="25">
        <v>0.27699903208606308</v>
      </c>
      <c r="AC56" s="26">
        <v>3.5171639124219924E-2</v>
      </c>
      <c r="AD56" s="27">
        <v>249240</v>
      </c>
      <c r="AE56" s="28">
        <v>642582</v>
      </c>
      <c r="AF56" s="29">
        <v>273158</v>
      </c>
      <c r="AG56" s="27">
        <v>2260655</v>
      </c>
      <c r="AH56" s="28">
        <v>5106859</v>
      </c>
      <c r="AI56" s="29">
        <v>1835712</v>
      </c>
      <c r="AJ56" s="27">
        <v>-102908</v>
      </c>
      <c r="AK56" s="28">
        <v>-858399</v>
      </c>
      <c r="AL56" s="29">
        <v>486491</v>
      </c>
      <c r="AM56" s="30">
        <v>1226139</v>
      </c>
      <c r="AN56" s="30">
        <v>468403</v>
      </c>
      <c r="AO56" s="30">
        <v>957589</v>
      </c>
      <c r="AP56" s="27">
        <v>0</v>
      </c>
      <c r="AQ56" s="28">
        <v>0</v>
      </c>
      <c r="AR56" s="29">
        <v>0</v>
      </c>
      <c r="AS56" s="27">
        <v>0</v>
      </c>
      <c r="AT56" s="28">
        <v>0</v>
      </c>
      <c r="AU56" s="29">
        <v>0</v>
      </c>
      <c r="AV56" s="27">
        <v>10686.02999999997</v>
      </c>
      <c r="AW56" s="28">
        <v>888828.86999999988</v>
      </c>
      <c r="AX56" s="29">
        <v>869228.3</v>
      </c>
      <c r="AY56" s="27">
        <v>2014454.9100000001</v>
      </c>
      <c r="AZ56" s="28">
        <v>2107573.5999999996</v>
      </c>
      <c r="BA56" s="29">
        <v>2100796.89</v>
      </c>
      <c r="BB56" s="24">
        <v>0</v>
      </c>
      <c r="BC56" s="25">
        <v>0</v>
      </c>
      <c r="BD56" s="26">
        <v>0</v>
      </c>
      <c r="BE56" s="24">
        <v>1.8818346409810818E-3</v>
      </c>
      <c r="BF56" s="25">
        <v>0.20446995967324513</v>
      </c>
      <c r="BG56" s="26">
        <v>0.1566780398146097</v>
      </c>
      <c r="BH56" s="24">
        <v>0.35475017685075172</v>
      </c>
      <c r="BI56" s="25">
        <v>0.48483516180161434</v>
      </c>
      <c r="BJ56" s="26">
        <v>0.37866776630929788</v>
      </c>
      <c r="BK56" s="24">
        <v>0.74650000000000005</v>
      </c>
      <c r="BL56" s="25">
        <v>0.71275999999999995</v>
      </c>
      <c r="BM56" s="26">
        <v>0.72960000000000003</v>
      </c>
    </row>
    <row r="57" spans="1:65" x14ac:dyDescent="0.2">
      <c r="A57" s="22">
        <v>5506</v>
      </c>
      <c r="B57" s="23" t="s">
        <v>74</v>
      </c>
      <c r="C57" s="24">
        <v>0.11101301943535156</v>
      </c>
      <c r="D57" s="25">
        <v>0.11393710582372882</v>
      </c>
      <c r="E57" s="26">
        <v>0.1211124988817312</v>
      </c>
      <c r="F57" s="24">
        <v>0.36588920134270259</v>
      </c>
      <c r="G57" s="25">
        <v>0.31651800114087669</v>
      </c>
      <c r="H57" s="26">
        <v>1.2428516020216085</v>
      </c>
      <c r="I57" s="24">
        <v>8.8929192626633277E-2</v>
      </c>
      <c r="J57" s="25">
        <v>2.5915630655708128E-4</v>
      </c>
      <c r="K57" s="26">
        <v>0.21740301344257346</v>
      </c>
      <c r="L57" s="24">
        <v>0.4321417978284301</v>
      </c>
      <c r="M57" s="25">
        <v>0.31235149834292469</v>
      </c>
      <c r="N57" s="26">
        <v>0.27696164230054815</v>
      </c>
      <c r="O57" s="27">
        <v>239</v>
      </c>
      <c r="P57" s="28">
        <v>207</v>
      </c>
      <c r="Q57" s="29">
        <v>174</v>
      </c>
      <c r="R57" s="24">
        <v>2.3022616267089975E-3</v>
      </c>
      <c r="S57" s="25">
        <v>1.9197628708901876E-3</v>
      </c>
      <c r="T57" s="26">
        <v>0.49970576524910676</v>
      </c>
      <c r="U57" s="27">
        <v>82.754385964912274</v>
      </c>
      <c r="V57" s="28">
        <v>82.754385964912274</v>
      </c>
      <c r="W57" s="29">
        <v>81.175438596491233</v>
      </c>
      <c r="X57" s="24">
        <v>0.58835450718720184</v>
      </c>
      <c r="Y57" s="25">
        <v>0.57591448103682819</v>
      </c>
      <c r="Z57" s="26">
        <v>0.79897334342215043</v>
      </c>
      <c r="AA57" s="24">
        <v>0.24581091276864972</v>
      </c>
      <c r="AB57" s="25">
        <v>0.2787175091371179</v>
      </c>
      <c r="AC57" s="26">
        <v>4.1956612265139168E-3</v>
      </c>
      <c r="AD57" s="27">
        <v>1068099</v>
      </c>
      <c r="AE57" s="28">
        <v>2055786</v>
      </c>
      <c r="AF57" s="29">
        <v>1047837</v>
      </c>
      <c r="AG57" s="27">
        <v>8279787</v>
      </c>
      <c r="AH57" s="28">
        <v>17712095</v>
      </c>
      <c r="AI57" s="29">
        <v>6642338</v>
      </c>
      <c r="AJ57" s="27">
        <v>855622</v>
      </c>
      <c r="AK57" s="28">
        <v>4676</v>
      </c>
      <c r="AL57" s="29">
        <v>1880920</v>
      </c>
      <c r="AM57" s="30">
        <v>5266110</v>
      </c>
      <c r="AN57" s="30">
        <v>4262996</v>
      </c>
      <c r="AO57" s="30">
        <v>6016964</v>
      </c>
      <c r="AP57" s="27">
        <v>1126219</v>
      </c>
      <c r="AQ57" s="28">
        <v>976219</v>
      </c>
      <c r="AR57" s="29">
        <v>806219</v>
      </c>
      <c r="AS57" s="27">
        <v>6000</v>
      </c>
      <c r="AT57" s="28">
        <v>6000</v>
      </c>
      <c r="AU57" s="29">
        <v>1454614</v>
      </c>
      <c r="AV57" s="27">
        <v>196953.0399999998</v>
      </c>
      <c r="AW57" s="28">
        <v>1814384.9099999997</v>
      </c>
      <c r="AX57" s="29">
        <v>1649577.6799999997</v>
      </c>
      <c r="AY57" s="27">
        <v>450583.27</v>
      </c>
      <c r="AZ57" s="28">
        <v>3144563.7800000003</v>
      </c>
      <c r="BA57" s="29">
        <v>4257942.7</v>
      </c>
      <c r="BB57" s="24">
        <v>3.5425165754350563E-4</v>
      </c>
      <c r="BC57" s="25">
        <v>3.3875157060754248E-4</v>
      </c>
      <c r="BD57" s="26">
        <v>8.3209068179524837E-2</v>
      </c>
      <c r="BE57" s="24">
        <v>1.162849014637205E-2</v>
      </c>
      <c r="BF57" s="25">
        <v>0.13776523178752631</v>
      </c>
      <c r="BG57" s="26">
        <v>9.4361680585050317E-2</v>
      </c>
      <c r="BH57" s="24">
        <v>2.6603311709812158E-2</v>
      </c>
      <c r="BI57" s="25">
        <v>0.23876496967909638</v>
      </c>
      <c r="BJ57" s="26">
        <v>0.24356938983731086</v>
      </c>
      <c r="BK57" s="24">
        <v>0.64254</v>
      </c>
      <c r="BL57" s="25">
        <v>0.47704000000000002</v>
      </c>
      <c r="BM57" s="26">
        <v>0.55979999999999996</v>
      </c>
    </row>
    <row r="58" spans="1:65" x14ac:dyDescent="0.2">
      <c r="A58" s="22">
        <v>5507</v>
      </c>
      <c r="B58" s="23" t="s">
        <v>75</v>
      </c>
      <c r="C58" s="24">
        <v>0.11755558072873058</v>
      </c>
      <c r="D58" s="25">
        <v>0.13527556126082574</v>
      </c>
      <c r="E58" s="26">
        <v>9.0919378637794313E-2</v>
      </c>
      <c r="F58" s="24">
        <v>0.44374733576705344</v>
      </c>
      <c r="G58" s="25">
        <v>0.39932873870455632</v>
      </c>
      <c r="H58" s="26">
        <v>0.34505604135356932</v>
      </c>
      <c r="I58" s="24">
        <v>0.17703195601667809</v>
      </c>
      <c r="J58" s="25">
        <v>4.3695743447008772E-2</v>
      </c>
      <c r="K58" s="26">
        <v>0.17048554896281473</v>
      </c>
      <c r="L58" s="24">
        <v>0</v>
      </c>
      <c r="M58" s="25">
        <v>0</v>
      </c>
      <c r="N58" s="26">
        <v>0</v>
      </c>
      <c r="O58" s="27">
        <v>0</v>
      </c>
      <c r="P58" s="28">
        <v>0</v>
      </c>
      <c r="Q58" s="29">
        <v>0</v>
      </c>
      <c r="R58" s="24">
        <v>0</v>
      </c>
      <c r="S58" s="25">
        <v>0</v>
      </c>
      <c r="T58" s="26">
        <v>0</v>
      </c>
      <c r="U58" s="27">
        <v>82.666666666666671</v>
      </c>
      <c r="V58" s="28">
        <v>82.666666666666671</v>
      </c>
      <c r="W58" s="29">
        <v>79.44</v>
      </c>
      <c r="X58" s="24">
        <v>0.72157143096577392</v>
      </c>
      <c r="Y58" s="25">
        <v>0.679123217611871</v>
      </c>
      <c r="Z58" s="26">
        <v>0.76526583564438366</v>
      </c>
      <c r="AA58" s="24">
        <v>3.8664349431499531E-2</v>
      </c>
      <c r="AB58" s="25">
        <v>9.4582031850671613E-2</v>
      </c>
      <c r="AC58" s="26">
        <v>6.046281086528181E-3</v>
      </c>
      <c r="AD58" s="27">
        <v>668311</v>
      </c>
      <c r="AE58" s="28">
        <v>1480808</v>
      </c>
      <c r="AF58" s="29">
        <v>537490</v>
      </c>
      <c r="AG58" s="27">
        <v>4653822</v>
      </c>
      <c r="AH58" s="28">
        <v>10411523</v>
      </c>
      <c r="AI58" s="29">
        <v>4882340</v>
      </c>
      <c r="AJ58" s="27">
        <v>1006438</v>
      </c>
      <c r="AK58" s="28">
        <v>478320</v>
      </c>
      <c r="AL58" s="29">
        <v>1007863</v>
      </c>
      <c r="AM58" s="30">
        <v>4342475</v>
      </c>
      <c r="AN58" s="30">
        <v>3828172</v>
      </c>
      <c r="AO58" s="30">
        <v>4834986</v>
      </c>
      <c r="AP58" s="27">
        <v>0</v>
      </c>
      <c r="AQ58" s="28">
        <v>0</v>
      </c>
      <c r="AR58" s="29">
        <v>0</v>
      </c>
      <c r="AS58" s="27">
        <v>0</v>
      </c>
      <c r="AT58" s="28">
        <v>0</v>
      </c>
      <c r="AU58" s="29">
        <v>0</v>
      </c>
      <c r="AV58" s="27">
        <v>23990.54000000019</v>
      </c>
      <c r="AW58" s="28">
        <v>113411.46000000021</v>
      </c>
      <c r="AX58" s="29">
        <v>97346.550000000207</v>
      </c>
      <c r="AY58" s="27">
        <v>497487.50000000012</v>
      </c>
      <c r="AZ58" s="28">
        <v>365729.95000000007</v>
      </c>
      <c r="BA58" s="29">
        <v>367739.95000000007</v>
      </c>
      <c r="BB58" s="24">
        <v>0</v>
      </c>
      <c r="BC58" s="25">
        <v>0</v>
      </c>
      <c r="BD58" s="26">
        <v>0</v>
      </c>
      <c r="BE58" s="24">
        <v>1.883438876286695E-3</v>
      </c>
      <c r="BF58" s="25">
        <v>1.3354963676167579E-2</v>
      </c>
      <c r="BG58" s="26">
        <v>6.6971070774316356E-3</v>
      </c>
      <c r="BH58" s="24">
        <v>3.9056532198386111E-2</v>
      </c>
      <c r="BI58" s="25">
        <v>4.3067166206453712E-2</v>
      </c>
      <c r="BJ58" s="26">
        <v>2.5299240926353845E-2</v>
      </c>
      <c r="BK58" s="24">
        <v>0.70045999999999997</v>
      </c>
      <c r="BL58" s="25">
        <v>0.67603999999999997</v>
      </c>
      <c r="BM58" s="26">
        <v>0.68830000000000002</v>
      </c>
    </row>
    <row r="59" spans="1:65" x14ac:dyDescent="0.2">
      <c r="A59" s="22">
        <v>5508</v>
      </c>
      <c r="B59" s="23" t="s">
        <v>76</v>
      </c>
      <c r="C59" s="24">
        <v>0.23034427868914772</v>
      </c>
      <c r="D59" s="25">
        <v>0.2140745070076798</v>
      </c>
      <c r="E59" s="26">
        <v>0.15636957800601228</v>
      </c>
      <c r="F59" s="24">
        <v>0.69967086554237334</v>
      </c>
      <c r="G59" s="25">
        <v>0.5356355053537637</v>
      </c>
      <c r="H59" s="26">
        <v>0.50411055433761354</v>
      </c>
      <c r="I59" s="24">
        <v>9.7865287230532935E-2</v>
      </c>
      <c r="J59" s="25">
        <v>-3.7568878654338451E-2</v>
      </c>
      <c r="K59" s="26">
        <v>6.8311142533834898E-2</v>
      </c>
      <c r="L59" s="24">
        <v>0</v>
      </c>
      <c r="M59" s="25">
        <v>0</v>
      </c>
      <c r="N59" s="26">
        <v>0</v>
      </c>
      <c r="O59" s="27">
        <v>0</v>
      </c>
      <c r="P59" s="28">
        <v>0</v>
      </c>
      <c r="Q59" s="29">
        <v>0</v>
      </c>
      <c r="R59" s="24">
        <v>0</v>
      </c>
      <c r="S59" s="25">
        <v>0</v>
      </c>
      <c r="T59" s="26">
        <v>0</v>
      </c>
      <c r="U59" s="27">
        <v>54.727272727272727</v>
      </c>
      <c r="V59" s="28">
        <v>52.347826086956523</v>
      </c>
      <c r="W59" s="29">
        <v>41.296296296296298</v>
      </c>
      <c r="X59" s="24">
        <v>0.63357674201352443</v>
      </c>
      <c r="Y59" s="25">
        <v>0.61632863629372192</v>
      </c>
      <c r="Z59" s="26">
        <v>0.67381959439794292</v>
      </c>
      <c r="AA59" s="24">
        <v>0.14657385514554086</v>
      </c>
      <c r="AB59" s="25">
        <v>0.10178941828013489</v>
      </c>
      <c r="AC59" s="26">
        <v>0</v>
      </c>
      <c r="AD59" s="27">
        <v>490845</v>
      </c>
      <c r="AE59" s="28">
        <v>915693</v>
      </c>
      <c r="AF59" s="29">
        <v>347679</v>
      </c>
      <c r="AG59" s="27">
        <v>1933237</v>
      </c>
      <c r="AH59" s="28">
        <v>4499004</v>
      </c>
      <c r="AI59" s="29">
        <v>1999694</v>
      </c>
      <c r="AJ59" s="27">
        <v>208543</v>
      </c>
      <c r="AK59" s="28">
        <v>-160699</v>
      </c>
      <c r="AL59" s="29">
        <v>151886</v>
      </c>
      <c r="AM59" s="30">
        <v>1287355</v>
      </c>
      <c r="AN59" s="30">
        <v>908960</v>
      </c>
      <c r="AO59" s="30">
        <v>1059695</v>
      </c>
      <c r="AP59" s="27">
        <v>0</v>
      </c>
      <c r="AQ59" s="28">
        <v>0</v>
      </c>
      <c r="AR59" s="29">
        <v>0</v>
      </c>
      <c r="AS59" s="27">
        <v>0</v>
      </c>
      <c r="AT59" s="28">
        <v>0</v>
      </c>
      <c r="AU59" s="29">
        <v>0</v>
      </c>
      <c r="AV59" s="27">
        <v>88305.089999999866</v>
      </c>
      <c r="AW59" s="28">
        <v>19979.820000000029</v>
      </c>
      <c r="AX59" s="29">
        <v>132752.53000000003</v>
      </c>
      <c r="AY59" s="27">
        <v>859455.51</v>
      </c>
      <c r="AZ59" s="28">
        <v>982570.30000000028</v>
      </c>
      <c r="BA59" s="29">
        <v>240662.04000000004</v>
      </c>
      <c r="BB59" s="24">
        <v>0</v>
      </c>
      <c r="BC59" s="25">
        <v>0</v>
      </c>
      <c r="BD59" s="26">
        <v>0</v>
      </c>
      <c r="BE59" s="24">
        <v>2.0015914341357945E-2</v>
      </c>
      <c r="BF59" s="25">
        <v>5.4877463946170239E-3</v>
      </c>
      <c r="BG59" s="26">
        <v>2.7312081544194639E-2</v>
      </c>
      <c r="BH59" s="24">
        <v>0.19481082991216173</v>
      </c>
      <c r="BI59" s="25">
        <v>0.2698771370954674</v>
      </c>
      <c r="BJ59" s="26">
        <v>4.9513039495911917E-2</v>
      </c>
      <c r="BK59" s="24">
        <v>0.71023999999999998</v>
      </c>
      <c r="BL59" s="25">
        <v>0.55191000000000001</v>
      </c>
      <c r="BM59" s="26">
        <v>0.63109999999999999</v>
      </c>
    </row>
    <row r="60" spans="1:65" x14ac:dyDescent="0.2">
      <c r="A60" s="22">
        <v>5509</v>
      </c>
      <c r="B60" s="23" t="s">
        <v>77</v>
      </c>
      <c r="C60" s="24">
        <v>0.22892219633198285</v>
      </c>
      <c r="D60" s="25">
        <v>0.12085615172537569</v>
      </c>
      <c r="E60" s="26">
        <v>8.2797059097494713E-2</v>
      </c>
      <c r="F60" s="24">
        <v>0.29301284973592079</v>
      </c>
      <c r="G60" s="25">
        <v>0.22370220613947608</v>
      </c>
      <c r="H60" s="26">
        <v>0.28994552842371329</v>
      </c>
      <c r="I60" s="24">
        <v>-1.4536921580564128</v>
      </c>
      <c r="J60" s="25">
        <v>-0.43407583085127655</v>
      </c>
      <c r="K60" s="26">
        <v>0.19011306417669288</v>
      </c>
      <c r="L60" s="24">
        <v>0</v>
      </c>
      <c r="M60" s="25">
        <v>0</v>
      </c>
      <c r="N60" s="26">
        <v>0</v>
      </c>
      <c r="O60" s="27">
        <v>0</v>
      </c>
      <c r="P60" s="28">
        <v>0</v>
      </c>
      <c r="Q60" s="29">
        <v>0</v>
      </c>
      <c r="R60" s="24">
        <v>0</v>
      </c>
      <c r="S60" s="25">
        <v>0</v>
      </c>
      <c r="T60" s="26">
        <v>0</v>
      </c>
      <c r="U60" s="27">
        <v>103.1063829787234</v>
      </c>
      <c r="V60" s="28">
        <v>103.1063829787234</v>
      </c>
      <c r="W60" s="29">
        <v>98.893617021276597</v>
      </c>
      <c r="X60" s="24">
        <v>0.77335075266753006</v>
      </c>
      <c r="Y60" s="25">
        <v>0.7006269377984945</v>
      </c>
      <c r="Z60" s="26">
        <v>0.77175187000663181</v>
      </c>
      <c r="AA60" s="24">
        <v>1.7341534579936042E-2</v>
      </c>
      <c r="AB60" s="25">
        <v>0.10953775650383396</v>
      </c>
      <c r="AC60" s="26">
        <v>2.886539626756382E-2</v>
      </c>
      <c r="AD60" s="27">
        <v>327155</v>
      </c>
      <c r="AE60" s="28">
        <v>690898</v>
      </c>
      <c r="AF60" s="29">
        <v>410660</v>
      </c>
      <c r="AG60" s="27">
        <v>3427609</v>
      </c>
      <c r="AH60" s="28">
        <v>8111331</v>
      </c>
      <c r="AI60" s="29">
        <v>3946109</v>
      </c>
      <c r="AJ60" s="27">
        <v>-2077486</v>
      </c>
      <c r="AK60" s="28">
        <v>-2481480</v>
      </c>
      <c r="AL60" s="29">
        <v>942930</v>
      </c>
      <c r="AM60" s="30">
        <v>1233737</v>
      </c>
      <c r="AN60" s="30">
        <v>838898</v>
      </c>
      <c r="AO60" s="30">
        <v>1765577</v>
      </c>
      <c r="AP60" s="27">
        <v>0</v>
      </c>
      <c r="AQ60" s="28">
        <v>0</v>
      </c>
      <c r="AR60" s="29">
        <v>0</v>
      </c>
      <c r="AS60" s="27">
        <v>0</v>
      </c>
      <c r="AT60" s="28">
        <v>0</v>
      </c>
      <c r="AU60" s="29">
        <v>0</v>
      </c>
      <c r="AV60" s="27">
        <v>26369.659999999913</v>
      </c>
      <c r="AW60" s="28">
        <v>883650.8899999999</v>
      </c>
      <c r="AX60" s="29">
        <v>747863.2</v>
      </c>
      <c r="AY60" s="27">
        <v>1400788.08</v>
      </c>
      <c r="AZ60" s="28">
        <v>1899838.78</v>
      </c>
      <c r="BA60" s="29">
        <v>155510.31999999995</v>
      </c>
      <c r="BB60" s="24">
        <v>0</v>
      </c>
      <c r="BC60" s="25">
        <v>0</v>
      </c>
      <c r="BD60" s="26">
        <v>0</v>
      </c>
      <c r="BE60" s="24">
        <v>2.7173596280683182E-3</v>
      </c>
      <c r="BF60" s="25">
        <v>0.13119563622952746</v>
      </c>
      <c r="BG60" s="26">
        <v>8.3251109679800844E-2</v>
      </c>
      <c r="BH60" s="24">
        <v>0.14434941429170289</v>
      </c>
      <c r="BI60" s="25">
        <v>0.28206903913787634</v>
      </c>
      <c r="BJ60" s="26">
        <v>1.7311196361394603E-2</v>
      </c>
      <c r="BK60" s="24">
        <v>0.75165000000000004</v>
      </c>
      <c r="BL60" s="25">
        <v>0.65415999999999996</v>
      </c>
      <c r="BM60" s="26">
        <v>0.70289999999999997</v>
      </c>
    </row>
    <row r="61" spans="1:65" x14ac:dyDescent="0.2">
      <c r="A61" s="22">
        <v>5510</v>
      </c>
      <c r="B61" s="23" t="s">
        <v>78</v>
      </c>
      <c r="C61" s="24">
        <v>0.13488325334880286</v>
      </c>
      <c r="D61" s="25">
        <v>0.13041398850845579</v>
      </c>
      <c r="E61" s="26">
        <v>0.1118770856615262</v>
      </c>
      <c r="F61" s="24">
        <v>1.2699473128883434</v>
      </c>
      <c r="G61" s="25">
        <v>0.34286435199852172</v>
      </c>
      <c r="H61" s="26">
        <v>0.54338238068882239</v>
      </c>
      <c r="I61" s="24">
        <v>0.19396285260579638</v>
      </c>
      <c r="J61" s="25">
        <v>-0.11554578412958126</v>
      </c>
      <c r="K61" s="26">
        <v>8.8001319543093634E-2</v>
      </c>
      <c r="L61" s="24">
        <v>0</v>
      </c>
      <c r="M61" s="25">
        <v>6.2713954672331165E-2</v>
      </c>
      <c r="N61" s="26">
        <v>3.7452423890323404E-2</v>
      </c>
      <c r="O61" s="27">
        <v>0</v>
      </c>
      <c r="P61" s="28">
        <v>46</v>
      </c>
      <c r="Q61" s="29">
        <v>28</v>
      </c>
      <c r="R61" s="24">
        <v>0</v>
      </c>
      <c r="S61" s="25">
        <v>0</v>
      </c>
      <c r="T61" s="26">
        <v>0</v>
      </c>
      <c r="U61" s="27">
        <v>81.473684210526315</v>
      </c>
      <c r="V61" s="28">
        <v>91.058823529411768</v>
      </c>
      <c r="W61" s="29">
        <v>89.588235294117652</v>
      </c>
      <c r="X61" s="24">
        <v>0.74603820673870558</v>
      </c>
      <c r="Y61" s="25">
        <v>0.56663190535404606</v>
      </c>
      <c r="Z61" s="26">
        <v>0.65223650345038198</v>
      </c>
      <c r="AA61" s="24">
        <v>3.3271852330215484E-2</v>
      </c>
      <c r="AB61" s="25">
        <v>0.27091659889657754</v>
      </c>
      <c r="AC61" s="26">
        <v>0.19260022497462176</v>
      </c>
      <c r="AD61" s="27">
        <v>736605</v>
      </c>
      <c r="AE61" s="28">
        <v>1462120</v>
      </c>
      <c r="AF61" s="29">
        <v>691165</v>
      </c>
      <c r="AG61" s="27">
        <v>4368287</v>
      </c>
      <c r="AH61" s="28">
        <v>12439116</v>
      </c>
      <c r="AI61" s="29">
        <v>5576629</v>
      </c>
      <c r="AJ61" s="27">
        <v>1059242</v>
      </c>
      <c r="AK61" s="28">
        <v>-1295427</v>
      </c>
      <c r="AL61" s="29">
        <v>543663</v>
      </c>
      <c r="AM61" s="30">
        <v>4827690</v>
      </c>
      <c r="AN61" s="30">
        <v>2464424</v>
      </c>
      <c r="AO61" s="30">
        <v>2957210</v>
      </c>
      <c r="AP61" s="27">
        <v>0</v>
      </c>
      <c r="AQ61" s="28">
        <v>142895</v>
      </c>
      <c r="AR61" s="29">
        <v>85127</v>
      </c>
      <c r="AS61" s="27">
        <v>0</v>
      </c>
      <c r="AT61" s="28">
        <v>0</v>
      </c>
      <c r="AU61" s="29">
        <v>0</v>
      </c>
      <c r="AV61" s="27">
        <v>97022.349999999977</v>
      </c>
      <c r="AW61" s="28">
        <v>111183.27000000003</v>
      </c>
      <c r="AX61" s="29">
        <v>118695.97000000009</v>
      </c>
      <c r="AY61" s="27">
        <v>8261796.0299999993</v>
      </c>
      <c r="AZ61" s="28">
        <v>3663991.1399999997</v>
      </c>
      <c r="BA61" s="29">
        <v>5431782.2999999998</v>
      </c>
      <c r="BB61" s="24">
        <v>0</v>
      </c>
      <c r="BC61" s="25">
        <v>0</v>
      </c>
      <c r="BD61" s="26">
        <v>0</v>
      </c>
      <c r="BE61" s="24">
        <v>7.6909165119787744E-3</v>
      </c>
      <c r="BF61" s="25">
        <v>1.0783710616317785E-2</v>
      </c>
      <c r="BG61" s="26">
        <v>9.1135955737287732E-3</v>
      </c>
      <c r="BH61" s="24">
        <v>0.65490872469825456</v>
      </c>
      <c r="BI61" s="25">
        <v>0.35537199215774362</v>
      </c>
      <c r="BJ61" s="26">
        <v>0.41705769055797137</v>
      </c>
      <c r="BK61" s="24">
        <v>0.62541999999999998</v>
      </c>
      <c r="BL61" s="25">
        <v>0.48727999999999999</v>
      </c>
      <c r="BM61" s="26">
        <v>0.55640000000000001</v>
      </c>
    </row>
    <row r="62" spans="1:65" x14ac:dyDescent="0.2">
      <c r="A62" s="22">
        <v>5511</v>
      </c>
      <c r="B62" s="23" t="s">
        <v>79</v>
      </c>
      <c r="C62" s="24">
        <v>6.6146034515742649E-2</v>
      </c>
      <c r="D62" s="25">
        <v>5.4959805065131685E-2</v>
      </c>
      <c r="E62" s="26">
        <v>6.1233973520330734E-2</v>
      </c>
      <c r="F62" s="24">
        <v>0.2570934665751024</v>
      </c>
      <c r="G62" s="25">
        <v>0.17334462892675143</v>
      </c>
      <c r="H62" s="26">
        <v>0.55170918006506675</v>
      </c>
      <c r="I62" s="24">
        <v>7.7725002406573179E-2</v>
      </c>
      <c r="J62" s="25">
        <v>-7.3916093009036815E-2</v>
      </c>
      <c r="K62" s="26">
        <v>-1.283688314406824E-2</v>
      </c>
      <c r="L62" s="24">
        <v>0</v>
      </c>
      <c r="M62" s="25">
        <v>0.12806585483431493</v>
      </c>
      <c r="N62" s="26">
        <v>0</v>
      </c>
      <c r="O62" s="27">
        <v>0</v>
      </c>
      <c r="P62" s="28">
        <v>76</v>
      </c>
      <c r="Q62" s="29">
        <v>76</v>
      </c>
      <c r="R62" s="24">
        <v>8.7056385284271093E-3</v>
      </c>
      <c r="S62" s="25">
        <v>9.9222401542621193E-3</v>
      </c>
      <c r="T62" s="26">
        <v>0</v>
      </c>
      <c r="U62" s="27">
        <v>45.685714285714283</v>
      </c>
      <c r="V62" s="28">
        <v>45.685714285714283</v>
      </c>
      <c r="W62" s="29">
        <v>58.4</v>
      </c>
      <c r="X62" s="24">
        <v>0.66601670483659492</v>
      </c>
      <c r="Y62" s="25">
        <v>0.5583031643788019</v>
      </c>
      <c r="Z62" s="26">
        <v>0.55839170093233548</v>
      </c>
      <c r="AA62" s="24">
        <v>0.14531995120517163</v>
      </c>
      <c r="AB62" s="25">
        <v>0.2044665427202739</v>
      </c>
      <c r="AC62" s="26">
        <v>0.25347763568249843</v>
      </c>
      <c r="AD62" s="27">
        <v>217136</v>
      </c>
      <c r="AE62" s="28">
        <v>373220</v>
      </c>
      <c r="AF62" s="29">
        <v>234024</v>
      </c>
      <c r="AG62" s="27">
        <v>2935557</v>
      </c>
      <c r="AH62" s="28">
        <v>7154706</v>
      </c>
      <c r="AI62" s="29">
        <v>3664990</v>
      </c>
      <c r="AJ62" s="27">
        <v>255146</v>
      </c>
      <c r="AK62" s="28">
        <v>-501948</v>
      </c>
      <c r="AL62" s="29">
        <v>-49060</v>
      </c>
      <c r="AM62" s="30">
        <v>2301245</v>
      </c>
      <c r="AN62" s="30">
        <v>1549488</v>
      </c>
      <c r="AO62" s="30">
        <v>1482177</v>
      </c>
      <c r="AP62" s="27">
        <v>0</v>
      </c>
      <c r="AQ62" s="28">
        <v>122203</v>
      </c>
      <c r="AR62" s="29">
        <v>122203</v>
      </c>
      <c r="AS62" s="27">
        <v>9468</v>
      </c>
      <c r="AT62" s="28">
        <v>9468</v>
      </c>
      <c r="AU62" s="29">
        <v>9468</v>
      </c>
      <c r="AV62" s="27">
        <v>168721.25999999983</v>
      </c>
      <c r="AW62" s="28">
        <v>339348.45999999932</v>
      </c>
      <c r="AX62" s="29">
        <v>450771.42</v>
      </c>
      <c r="AY62" s="27">
        <v>1566096.33</v>
      </c>
      <c r="AZ62" s="28">
        <v>1602960.11</v>
      </c>
      <c r="BA62" s="29">
        <v>1878650.7899999998</v>
      </c>
      <c r="BB62" s="24">
        <v>1.1683448152292537E-3</v>
      </c>
      <c r="BC62" s="25">
        <v>1.3233248158624547E-3</v>
      </c>
      <c r="BD62" s="26">
        <v>0</v>
      </c>
      <c r="BE62" s="24">
        <v>2.0820089706373751E-2</v>
      </c>
      <c r="BF62" s="25">
        <v>6.2517183322362488E-2</v>
      </c>
      <c r="BG62" s="26">
        <v>0</v>
      </c>
      <c r="BH62" s="24">
        <v>0.19325523102081352</v>
      </c>
      <c r="BI62" s="25">
        <v>0.29530869553763273</v>
      </c>
      <c r="BJ62" s="26">
        <v>0</v>
      </c>
      <c r="BK62" s="24">
        <v>0.72516000000000003</v>
      </c>
      <c r="BL62" s="25">
        <v>0.64849000000000001</v>
      </c>
      <c r="BM62" s="26">
        <v>0.68679999999999997</v>
      </c>
    </row>
    <row r="63" spans="1:65" x14ac:dyDescent="0.2">
      <c r="A63" s="22">
        <v>5601</v>
      </c>
      <c r="B63" s="23" t="s">
        <v>80</v>
      </c>
      <c r="C63" s="24">
        <v>5.2725541805679232E-2</v>
      </c>
      <c r="D63" s="25">
        <v>8.6193971844134992E-2</v>
      </c>
      <c r="E63" s="26">
        <v>5.7345221600078516E-2</v>
      </c>
      <c r="F63" s="24">
        <v>0.28401832021570317</v>
      </c>
      <c r="G63" s="25">
        <v>0.43720770742013121</v>
      </c>
      <c r="H63" s="26">
        <v>0.37797641004417493</v>
      </c>
      <c r="I63" s="24">
        <v>0.11913383733815096</v>
      </c>
      <c r="J63" s="25">
        <v>0.11469930245158079</v>
      </c>
      <c r="K63" s="26">
        <v>-7.4495540125493726E-2</v>
      </c>
      <c r="L63" s="24">
        <v>0.39992434930740961</v>
      </c>
      <c r="M63" s="25">
        <v>0.33002553642905574</v>
      </c>
      <c r="N63" s="26">
        <v>0.36039674020950679</v>
      </c>
      <c r="O63" s="27">
        <v>152</v>
      </c>
      <c r="P63" s="28">
        <v>152</v>
      </c>
      <c r="Q63" s="29">
        <v>156</v>
      </c>
      <c r="R63" s="24">
        <v>0.77486961299424884</v>
      </c>
      <c r="S63" s="25">
        <v>0.63943783401503385</v>
      </c>
      <c r="T63" s="26">
        <v>0.69828327055892858</v>
      </c>
      <c r="U63" s="27">
        <v>106.22222222222223</v>
      </c>
      <c r="V63" s="28">
        <v>119.5</v>
      </c>
      <c r="W63" s="29">
        <v>107.97674418604652</v>
      </c>
      <c r="X63" s="24">
        <v>0.7483535068899545</v>
      </c>
      <c r="Y63" s="25">
        <v>0.73300639840952775</v>
      </c>
      <c r="Z63" s="26">
        <v>0.66193010937152397</v>
      </c>
      <c r="AA63" s="24">
        <v>7.1571987932687098E-2</v>
      </c>
      <c r="AB63" s="25">
        <v>0.10164765739705683</v>
      </c>
      <c r="AC63" s="26">
        <v>7.0661541085828394E-2</v>
      </c>
      <c r="AD63" s="27">
        <v>351298</v>
      </c>
      <c r="AE63" s="28">
        <v>1234212</v>
      </c>
      <c r="AF63" s="29">
        <v>420117</v>
      </c>
      <c r="AG63" s="27">
        <v>6001999</v>
      </c>
      <c r="AH63" s="28">
        <v>12809277</v>
      </c>
      <c r="AI63" s="29">
        <v>7709045</v>
      </c>
      <c r="AJ63" s="27">
        <v>793761</v>
      </c>
      <c r="AK63" s="28">
        <v>1642380</v>
      </c>
      <c r="AL63" s="29">
        <v>-545762</v>
      </c>
      <c r="AM63" s="30">
        <v>2754480</v>
      </c>
      <c r="AN63" s="30">
        <v>3602468</v>
      </c>
      <c r="AO63" s="30">
        <v>3057620</v>
      </c>
      <c r="AP63" s="27">
        <v>724245</v>
      </c>
      <c r="AQ63" s="28">
        <v>724245</v>
      </c>
      <c r="AR63" s="29">
        <v>724245</v>
      </c>
      <c r="AS63" s="27">
        <v>1403254</v>
      </c>
      <c r="AT63" s="28">
        <v>1403254</v>
      </c>
      <c r="AU63" s="29">
        <v>1403254</v>
      </c>
      <c r="AV63" s="27">
        <v>31821.249999999982</v>
      </c>
      <c r="AW63" s="28">
        <v>120929.88999999978</v>
      </c>
      <c r="AX63" s="29">
        <v>15585.309999999943</v>
      </c>
      <c r="AY63" s="27">
        <v>2929089.66</v>
      </c>
      <c r="AZ63" s="28">
        <v>9504784.4900000002</v>
      </c>
      <c r="BA63" s="29">
        <v>14723293.460000001</v>
      </c>
      <c r="BB63" s="24">
        <v>0.10744375403463259</v>
      </c>
      <c r="BC63" s="25">
        <v>0.10954982080565515</v>
      </c>
      <c r="BD63" s="26">
        <v>8.9823012843133973E-2</v>
      </c>
      <c r="BE63" s="24">
        <v>2.4364759039165753E-3</v>
      </c>
      <c r="BF63" s="25">
        <v>1.1300164909858352E-2</v>
      </c>
      <c r="BG63" s="26">
        <v>9.976237376086005E-4</v>
      </c>
      <c r="BH63" s="24">
        <v>0.22427328835294652</v>
      </c>
      <c r="BI63" s="25">
        <v>0.88816447422274269</v>
      </c>
      <c r="BJ63" s="26">
        <v>0.94244561394502391</v>
      </c>
      <c r="BK63" s="24">
        <v>0.64607000000000003</v>
      </c>
      <c r="BL63" s="25">
        <v>0.51644999999999996</v>
      </c>
      <c r="BM63" s="26">
        <v>0.58130000000000004</v>
      </c>
    </row>
    <row r="64" spans="1:65" x14ac:dyDescent="0.2">
      <c r="A64" s="22">
        <v>5602</v>
      </c>
      <c r="B64" s="23" t="s">
        <v>81</v>
      </c>
      <c r="C64" s="24">
        <v>0.10054286076632664</v>
      </c>
      <c r="D64" s="25">
        <v>0.13983118715179657</v>
      </c>
      <c r="E64" s="26">
        <v>0.12416715949978678</v>
      </c>
      <c r="F64" s="24">
        <v>0.36276791509504358</v>
      </c>
      <c r="G64" s="25">
        <v>0.54674778356043463</v>
      </c>
      <c r="H64" s="26">
        <v>0.83694002879474061</v>
      </c>
      <c r="I64" s="24">
        <v>8.64937776202446E-2</v>
      </c>
      <c r="J64" s="25">
        <v>1.0348142652943489E-2</v>
      </c>
      <c r="K64" s="26">
        <v>0.16199065329627102</v>
      </c>
      <c r="L64" s="24">
        <v>0.38761871461466579</v>
      </c>
      <c r="M64" s="25">
        <v>0.13183823039609363</v>
      </c>
      <c r="N64" s="26">
        <v>7.2741148424191979E-2</v>
      </c>
      <c r="O64" s="27">
        <v>164</v>
      </c>
      <c r="P64" s="28">
        <v>73</v>
      </c>
      <c r="Q64" s="29">
        <v>34</v>
      </c>
      <c r="R64" s="24">
        <v>0</v>
      </c>
      <c r="S64" s="25">
        <v>0</v>
      </c>
      <c r="T64" s="26">
        <v>0</v>
      </c>
      <c r="U64" s="27">
        <v>226.2235294117647</v>
      </c>
      <c r="V64" s="28">
        <v>206.76344086021504</v>
      </c>
      <c r="W64" s="29">
        <v>229.93975903614458</v>
      </c>
      <c r="X64" s="24">
        <v>0.64690753832447023</v>
      </c>
      <c r="Y64" s="25">
        <v>0.68295408748145359</v>
      </c>
      <c r="Z64" s="26">
        <v>0.77663205275292413</v>
      </c>
      <c r="AA64" s="24">
        <v>0.16944951801541924</v>
      </c>
      <c r="AB64" s="25">
        <v>0.13253924333707559</v>
      </c>
      <c r="AC64" s="26">
        <v>6.4934810258816283E-2</v>
      </c>
      <c r="AD64" s="27">
        <v>3091884</v>
      </c>
      <c r="AE64" s="28">
        <v>8102584</v>
      </c>
      <c r="AF64" s="29">
        <v>4097686</v>
      </c>
      <c r="AG64" s="27">
        <v>28005149</v>
      </c>
      <c r="AH64" s="28">
        <v>57335147</v>
      </c>
      <c r="AI64" s="29">
        <v>27281900</v>
      </c>
      <c r="AJ64" s="27">
        <v>2659848</v>
      </c>
      <c r="AK64" s="28">
        <v>599628</v>
      </c>
      <c r="AL64" s="29">
        <v>5345913</v>
      </c>
      <c r="AM64" s="30">
        <v>10616532</v>
      </c>
      <c r="AN64" s="30">
        <v>6783026</v>
      </c>
      <c r="AO64" s="30">
        <v>11447334</v>
      </c>
      <c r="AP64" s="27">
        <v>3156116</v>
      </c>
      <c r="AQ64" s="28">
        <v>1409164</v>
      </c>
      <c r="AR64" s="29">
        <v>646905</v>
      </c>
      <c r="AS64" s="27">
        <v>0</v>
      </c>
      <c r="AT64" s="28">
        <v>0</v>
      </c>
      <c r="AU64" s="29">
        <v>0</v>
      </c>
      <c r="AV64" s="27">
        <v>248906.16000000201</v>
      </c>
      <c r="AW64" s="28">
        <v>387536.25999999949</v>
      </c>
      <c r="AX64" s="29">
        <v>1637024.4699999993</v>
      </c>
      <c r="AY64" s="27">
        <v>6978353.6800000006</v>
      </c>
      <c r="AZ64" s="28">
        <v>22004007.530000001</v>
      </c>
      <c r="BA64" s="29">
        <v>20107129.41</v>
      </c>
      <c r="BB64" s="24">
        <v>0</v>
      </c>
      <c r="BC64" s="25">
        <v>0</v>
      </c>
      <c r="BD64" s="26">
        <v>0</v>
      </c>
      <c r="BE64" s="24">
        <v>4.7013313750289363E-3</v>
      </c>
      <c r="BF64" s="25">
        <v>8.7658368016786739E-3</v>
      </c>
      <c r="BG64" s="26">
        <v>2.9070160164598919E-2</v>
      </c>
      <c r="BH64" s="24">
        <v>0.13180691511143147</v>
      </c>
      <c r="BI64" s="25">
        <v>0.4977173980852499</v>
      </c>
      <c r="BJ64" s="26">
        <v>0.35706092554561364</v>
      </c>
      <c r="BK64" s="24">
        <v>0.71738000000000002</v>
      </c>
      <c r="BL64" s="25">
        <v>0.65737999999999996</v>
      </c>
      <c r="BM64" s="26">
        <v>0.68740000000000001</v>
      </c>
    </row>
    <row r="65" spans="1:65" x14ac:dyDescent="0.2">
      <c r="A65" s="22">
        <v>5603</v>
      </c>
      <c r="B65" s="23" t="s">
        <v>82</v>
      </c>
      <c r="C65" s="24">
        <v>0.21256843142847515</v>
      </c>
      <c r="D65" s="25">
        <v>0.19905046148515182</v>
      </c>
      <c r="E65" s="26">
        <v>0.20141824458295415</v>
      </c>
      <c r="F65" s="24">
        <v>0.71573575451833238</v>
      </c>
      <c r="G65" s="25">
        <v>0.74377053799984127</v>
      </c>
      <c r="H65" s="26">
        <v>1.1044958525716848</v>
      </c>
      <c r="I65" s="24">
        <v>9.78284110625878E-2</v>
      </c>
      <c r="J65" s="25">
        <v>2.6703608316186088E-2</v>
      </c>
      <c r="K65" s="26">
        <v>0.13495186312384205</v>
      </c>
      <c r="L65" s="24">
        <v>0.64547087376585999</v>
      </c>
      <c r="M65" s="25">
        <v>0.54015160085087599</v>
      </c>
      <c r="N65" s="26">
        <v>0.53704317088834841</v>
      </c>
      <c r="O65" s="27">
        <v>374</v>
      </c>
      <c r="P65" s="28">
        <v>321</v>
      </c>
      <c r="Q65" s="29">
        <v>330</v>
      </c>
      <c r="R65" s="24">
        <v>2.0641455622566443E-3</v>
      </c>
      <c r="S65" s="25">
        <v>1.8298037816133171E-3</v>
      </c>
      <c r="T65" s="26">
        <v>2.7218023638661834E-3</v>
      </c>
      <c r="U65" s="27">
        <v>379.46496815286622</v>
      </c>
      <c r="V65" s="28">
        <v>379.46496815286622</v>
      </c>
      <c r="W65" s="29">
        <v>367.26708074534162</v>
      </c>
      <c r="X65" s="24">
        <v>0.62015139311461387</v>
      </c>
      <c r="Y65" s="25">
        <v>0.64073792010823494</v>
      </c>
      <c r="Z65" s="26">
        <v>0.69976009264440886</v>
      </c>
      <c r="AA65" s="24">
        <v>4.413236407281703E-2</v>
      </c>
      <c r="AB65" s="25">
        <v>0.10888899857811765</v>
      </c>
      <c r="AC65" s="26">
        <v>5.0323836240739543E-2</v>
      </c>
      <c r="AD65" s="27">
        <v>16521896</v>
      </c>
      <c r="AE65" s="28">
        <v>30215452</v>
      </c>
      <c r="AF65" s="29">
        <v>17714449</v>
      </c>
      <c r="AG65" s="27">
        <v>71351990</v>
      </c>
      <c r="AH65" s="28">
        <v>151640535</v>
      </c>
      <c r="AI65" s="29">
        <v>74309935</v>
      </c>
      <c r="AJ65" s="27">
        <v>7603720</v>
      </c>
      <c r="AK65" s="28">
        <v>4053553</v>
      </c>
      <c r="AL65" s="29">
        <v>11868825</v>
      </c>
      <c r="AM65" s="30">
        <v>24809797</v>
      </c>
      <c r="AN65" s="30">
        <v>17728007</v>
      </c>
      <c r="AO65" s="30">
        <v>29569269</v>
      </c>
      <c r="AP65" s="27">
        <v>22263735</v>
      </c>
      <c r="AQ65" s="28">
        <v>19118694</v>
      </c>
      <c r="AR65" s="29">
        <v>19540754</v>
      </c>
      <c r="AS65" s="27">
        <v>71197</v>
      </c>
      <c r="AT65" s="28">
        <v>64766</v>
      </c>
      <c r="AU65" s="29">
        <v>99035</v>
      </c>
      <c r="AV65" s="27">
        <v>2228220.8499999987</v>
      </c>
      <c r="AW65" s="28">
        <v>1715278.0499999968</v>
      </c>
      <c r="AX65" s="29">
        <v>5185455.7699999986</v>
      </c>
      <c r="AY65" s="27">
        <v>28240962.660000004</v>
      </c>
      <c r="AZ65" s="28">
        <v>46198710.760000005</v>
      </c>
      <c r="BA65" s="29">
        <v>54152963.119999997</v>
      </c>
      <c r="BB65" s="24">
        <v>4.7989123157424804E-4</v>
      </c>
      <c r="BC65" s="25">
        <v>4.2710215972266256E-4</v>
      </c>
      <c r="BD65" s="26">
        <v>6.196471823359652E-4</v>
      </c>
      <c r="BE65" s="24">
        <v>1.5018942482491075E-2</v>
      </c>
      <c r="BF65" s="25">
        <v>1.4917061710498964E-2</v>
      </c>
      <c r="BG65" s="26">
        <v>3.2444621164318392E-2</v>
      </c>
      <c r="BH65" s="24">
        <v>0.19035339061687645</v>
      </c>
      <c r="BI65" s="25">
        <v>0.40177102444260504</v>
      </c>
      <c r="BJ65" s="26">
        <v>0.33882699058364657</v>
      </c>
      <c r="BK65" s="24">
        <v>0.80488999999999999</v>
      </c>
      <c r="BL65" s="25">
        <v>0.70987999999999996</v>
      </c>
      <c r="BM65" s="26">
        <v>0.75739999999999996</v>
      </c>
    </row>
    <row r="66" spans="1:65" x14ac:dyDescent="0.2">
      <c r="A66" s="22">
        <v>5605</v>
      </c>
      <c r="B66" s="23" t="s">
        <v>83</v>
      </c>
      <c r="C66" s="24">
        <v>0.36505669780417832</v>
      </c>
      <c r="D66" s="25">
        <v>0.29954173987225324</v>
      </c>
      <c r="E66" s="26">
        <v>0.32899506744115375</v>
      </c>
      <c r="F66" s="24">
        <v>1.1290047947567599</v>
      </c>
      <c r="G66" s="25">
        <v>1.1000022968144729</v>
      </c>
      <c r="H66" s="26">
        <v>1.0452567477780033</v>
      </c>
      <c r="I66" s="24">
        <v>6.354350400395932E-2</v>
      </c>
      <c r="J66" s="25">
        <v>-9.1609992222992265E-2</v>
      </c>
      <c r="K66" s="26">
        <v>6.973573613057428E-2</v>
      </c>
      <c r="L66" s="24">
        <v>0</v>
      </c>
      <c r="M66" s="25">
        <v>0.25602293513151114</v>
      </c>
      <c r="N66" s="26">
        <v>0.23656025324849328</v>
      </c>
      <c r="O66" s="27">
        <v>0</v>
      </c>
      <c r="P66" s="28">
        <v>207</v>
      </c>
      <c r="Q66" s="29">
        <v>239</v>
      </c>
      <c r="R66" s="24">
        <v>0</v>
      </c>
      <c r="S66" s="25">
        <v>0</v>
      </c>
      <c r="T66" s="26">
        <v>0</v>
      </c>
      <c r="U66" s="27">
        <v>160.7123287671233</v>
      </c>
      <c r="V66" s="28">
        <v>160.7123287671233</v>
      </c>
      <c r="W66" s="29">
        <v>167.08133971291866</v>
      </c>
      <c r="X66" s="24">
        <v>0.58666207816873195</v>
      </c>
      <c r="Y66" s="25">
        <v>0.61864892494225387</v>
      </c>
      <c r="Z66" s="26">
        <v>0.65154844632240949</v>
      </c>
      <c r="AA66" s="24">
        <v>0.20874300975782611</v>
      </c>
      <c r="AB66" s="25">
        <v>0.2016772427381546</v>
      </c>
      <c r="AC66" s="26">
        <v>0.13738500455210514</v>
      </c>
      <c r="AD66" s="27">
        <v>10338394</v>
      </c>
      <c r="AE66" s="28">
        <v>14224078</v>
      </c>
      <c r="AF66" s="29">
        <v>9808705</v>
      </c>
      <c r="AG66" s="27">
        <v>26233712</v>
      </c>
      <c r="AH66" s="28">
        <v>51475793</v>
      </c>
      <c r="AI66" s="29">
        <v>27717945</v>
      </c>
      <c r="AJ66" s="27">
        <v>1799550</v>
      </c>
      <c r="AK66" s="28">
        <v>-4350204</v>
      </c>
      <c r="AL66" s="29">
        <v>2079111</v>
      </c>
      <c r="AM66" s="30">
        <v>2760640</v>
      </c>
      <c r="AN66" s="30">
        <v>259284</v>
      </c>
      <c r="AO66" s="30">
        <v>2856845</v>
      </c>
      <c r="AP66" s="27">
        <v>0</v>
      </c>
      <c r="AQ66" s="28">
        <v>3648398</v>
      </c>
      <c r="AR66" s="29">
        <v>4166848</v>
      </c>
      <c r="AS66" s="27">
        <v>0</v>
      </c>
      <c r="AT66" s="28">
        <v>0</v>
      </c>
      <c r="AU66" s="29">
        <v>0</v>
      </c>
      <c r="AV66" s="27">
        <v>1620696.2699999991</v>
      </c>
      <c r="AW66" s="28">
        <v>3811987.899999999</v>
      </c>
      <c r="AX66" s="29">
        <v>3485687.919999999</v>
      </c>
      <c r="AY66" s="27">
        <v>14164634.6</v>
      </c>
      <c r="AZ66" s="28">
        <v>21948390.880000003</v>
      </c>
      <c r="BA66" s="29">
        <v>23725669.310000002</v>
      </c>
      <c r="BB66" s="24">
        <v>0</v>
      </c>
      <c r="BC66" s="25">
        <v>0</v>
      </c>
      <c r="BD66" s="26">
        <v>0</v>
      </c>
      <c r="BE66" s="24">
        <v>3.2497662777632365E-2</v>
      </c>
      <c r="BF66" s="25">
        <v>9.1699532585888338E-2</v>
      </c>
      <c r="BG66" s="26">
        <v>6.7520784597451644E-2</v>
      </c>
      <c r="BH66" s="24">
        <v>0.28402454372230013</v>
      </c>
      <c r="BI66" s="25">
        <v>0.52798100033538276</v>
      </c>
      <c r="BJ66" s="26">
        <v>0.45958669957776366</v>
      </c>
      <c r="BK66" s="24">
        <v>0.96511999999999998</v>
      </c>
      <c r="BL66" s="25">
        <v>0.81411999999999995</v>
      </c>
      <c r="BM66" s="26">
        <v>0.88959999999999995</v>
      </c>
    </row>
    <row r="67" spans="1:65" x14ac:dyDescent="0.2">
      <c r="A67" s="22">
        <v>5606</v>
      </c>
      <c r="B67" s="23" t="s">
        <v>84</v>
      </c>
      <c r="C67" s="24">
        <v>0.11122204717032559</v>
      </c>
      <c r="D67" s="25">
        <v>0.13507642943851941</v>
      </c>
      <c r="E67" s="26">
        <v>0.10230828776819119</v>
      </c>
      <c r="F67" s="24">
        <v>0.66886337899395398</v>
      </c>
      <c r="G67" s="25">
        <v>0.89131566681693797</v>
      </c>
      <c r="H67" s="26">
        <v>1.057697562788849</v>
      </c>
      <c r="I67" s="24">
        <v>0.12935266564012238</v>
      </c>
      <c r="J67" s="25">
        <v>-1.1665225191345855E-2</v>
      </c>
      <c r="K67" s="26">
        <v>0.14966233528599376</v>
      </c>
      <c r="L67" s="24">
        <v>0.27474274402685084</v>
      </c>
      <c r="M67" s="25">
        <v>0</v>
      </c>
      <c r="N67" s="26">
        <v>0</v>
      </c>
      <c r="O67" s="27">
        <v>107</v>
      </c>
      <c r="P67" s="28">
        <v>0</v>
      </c>
      <c r="Q67" s="29">
        <v>0</v>
      </c>
      <c r="R67" s="24">
        <v>5.9183734123670867E-2</v>
      </c>
      <c r="S67" s="25">
        <v>4.5973768469170555E-2</v>
      </c>
      <c r="T67" s="26">
        <v>5.1918046762166811E-2</v>
      </c>
      <c r="U67" s="27">
        <v>744.6</v>
      </c>
      <c r="V67" s="28">
        <v>744.6</v>
      </c>
      <c r="W67" s="29">
        <v>210</v>
      </c>
      <c r="X67" s="24">
        <v>0.77729725161283192</v>
      </c>
      <c r="Y67" s="25">
        <v>0.79465929724025597</v>
      </c>
      <c r="Z67" s="26">
        <v>0.8297975904886703</v>
      </c>
      <c r="AA67" s="24">
        <v>6.9077036811873771E-2</v>
      </c>
      <c r="AB67" s="25">
        <v>4.4016055746149856E-2</v>
      </c>
      <c r="AC67" s="26">
        <v>3.5163589700063197E-2</v>
      </c>
      <c r="AD67" s="27">
        <v>1073204</v>
      </c>
      <c r="AE67" s="28">
        <v>2449659</v>
      </c>
      <c r="AF67" s="29">
        <v>1149566</v>
      </c>
      <c r="AG67" s="27">
        <v>8329758</v>
      </c>
      <c r="AH67" s="28">
        <v>17515972</v>
      </c>
      <c r="AI67" s="29">
        <v>9507903</v>
      </c>
      <c r="AJ67" s="27">
        <v>1248150</v>
      </c>
      <c r="AK67" s="28">
        <v>-211553</v>
      </c>
      <c r="AL67" s="29">
        <v>1681650</v>
      </c>
      <c r="AM67" s="30">
        <v>3807028</v>
      </c>
      <c r="AN67" s="30">
        <v>2308080</v>
      </c>
      <c r="AO67" s="30">
        <v>3876852</v>
      </c>
      <c r="AP67" s="27">
        <v>795000</v>
      </c>
      <c r="AQ67" s="28">
        <v>0</v>
      </c>
      <c r="AR67" s="29">
        <v>0</v>
      </c>
      <c r="AS67" s="27">
        <v>171255</v>
      </c>
      <c r="AT67" s="28">
        <v>171255</v>
      </c>
      <c r="AU67" s="29">
        <v>171255</v>
      </c>
      <c r="AV67" s="27">
        <v>1113760.47</v>
      </c>
      <c r="AW67" s="28">
        <v>1329500.1700000009</v>
      </c>
      <c r="AX67" s="29">
        <v>735798.72000000044</v>
      </c>
      <c r="AY67" s="27">
        <v>1042265.6199999992</v>
      </c>
      <c r="AZ67" s="28">
        <v>13501785.380000001</v>
      </c>
      <c r="BA67" s="29">
        <v>13531093.720000001</v>
      </c>
      <c r="BB67" s="24">
        <v>1.1921976786343807E-2</v>
      </c>
      <c r="BC67" s="25">
        <v>9.777076601858007E-3</v>
      </c>
      <c r="BD67" s="26">
        <v>9.521648037121612E-3</v>
      </c>
      <c r="BE67" s="24">
        <v>7.7534825078902039E-2</v>
      </c>
      <c r="BF67" s="25">
        <v>8.7527550766137593E-2</v>
      </c>
      <c r="BG67" s="26">
        <v>4.0909850445269326E-2</v>
      </c>
      <c r="BH67" s="24">
        <v>7.255768606373085E-2</v>
      </c>
      <c r="BI67" s="25">
        <v>0.88888909678096828</v>
      </c>
      <c r="BJ67" s="26">
        <v>0.75231854228575268</v>
      </c>
      <c r="BK67" s="24">
        <v>0.65241000000000005</v>
      </c>
      <c r="BL67" s="25">
        <v>0.58819999999999995</v>
      </c>
      <c r="BM67" s="26">
        <v>0.62029999999999996</v>
      </c>
    </row>
    <row r="68" spans="1:65" x14ac:dyDescent="0.2">
      <c r="A68" s="22">
        <v>5607</v>
      </c>
      <c r="B68" s="23" t="s">
        <v>85</v>
      </c>
      <c r="C68" s="24">
        <v>0.13611601948600674</v>
      </c>
      <c r="D68" s="25">
        <v>0.15141616519140477</v>
      </c>
      <c r="E68" s="26">
        <v>0.18866072942277953</v>
      </c>
      <c r="F68" s="24">
        <v>0.50555142077712256</v>
      </c>
      <c r="G68" s="25">
        <v>0.45969738078465744</v>
      </c>
      <c r="H68" s="26">
        <v>0.6749496440181082</v>
      </c>
      <c r="I68" s="24">
        <v>0.1045365650326406</v>
      </c>
      <c r="J68" s="25">
        <v>1.6010577581986839E-2</v>
      </c>
      <c r="K68" s="26">
        <v>0.11782828930974157</v>
      </c>
      <c r="L68" s="24">
        <v>0.15997549388834462</v>
      </c>
      <c r="M68" s="25">
        <v>0.19247421714563853</v>
      </c>
      <c r="N68" s="26">
        <v>0.27083300194945992</v>
      </c>
      <c r="O68" s="27">
        <v>99</v>
      </c>
      <c r="P68" s="28">
        <v>107</v>
      </c>
      <c r="Q68" s="29">
        <v>186</v>
      </c>
      <c r="R68" s="24">
        <v>5.9513869365345438E-2</v>
      </c>
      <c r="S68" s="25">
        <v>0.12537719909414066</v>
      </c>
      <c r="T68" s="26">
        <v>7.6953267360040364E-2</v>
      </c>
      <c r="U68" s="27">
        <v>199.52380952380952</v>
      </c>
      <c r="V68" s="28">
        <v>199.52380952380952</v>
      </c>
      <c r="W68" s="29">
        <v>177.74193548387098</v>
      </c>
      <c r="X68" s="24">
        <v>0.70393626243056528</v>
      </c>
      <c r="Y68" s="25">
        <v>0.65443358392175133</v>
      </c>
      <c r="Z68" s="26">
        <v>0.69966740945661698</v>
      </c>
      <c r="AA68" s="24">
        <v>8.0013922693803419E-2</v>
      </c>
      <c r="AB68" s="25">
        <v>0.16679622825381241</v>
      </c>
      <c r="AC68" s="26">
        <v>8.3712529128946944E-2</v>
      </c>
      <c r="AD68" s="27">
        <v>2848167</v>
      </c>
      <c r="AE68" s="28">
        <v>6813510</v>
      </c>
      <c r="AF68" s="29">
        <v>4670472</v>
      </c>
      <c r="AG68" s="27">
        <v>18668801</v>
      </c>
      <c r="AH68" s="28">
        <v>44148888</v>
      </c>
      <c r="AI68" s="29">
        <v>21952819</v>
      </c>
      <c r="AJ68" s="27">
        <v>2187381</v>
      </c>
      <c r="AK68" s="28">
        <v>720453</v>
      </c>
      <c r="AL68" s="29">
        <v>2916949</v>
      </c>
      <c r="AM68" s="30">
        <v>5414004</v>
      </c>
      <c r="AN68" s="30">
        <v>4301005</v>
      </c>
      <c r="AO68" s="30">
        <v>7516650</v>
      </c>
      <c r="AP68" s="27">
        <v>1667247</v>
      </c>
      <c r="AQ68" s="28">
        <v>1787356</v>
      </c>
      <c r="AR68" s="29">
        <v>3081822</v>
      </c>
      <c r="AS68" s="27">
        <v>620247</v>
      </c>
      <c r="AT68" s="28">
        <v>1164279</v>
      </c>
      <c r="AU68" s="29">
        <v>875655</v>
      </c>
      <c r="AV68" s="27">
        <v>941417.14999999967</v>
      </c>
      <c r="AW68" s="28">
        <v>2395170.0500000021</v>
      </c>
      <c r="AX68" s="29">
        <v>1920720.7599999993</v>
      </c>
      <c r="AY68" s="27">
        <v>9446858.3900000006</v>
      </c>
      <c r="AZ68" s="28">
        <v>6539411.959999999</v>
      </c>
      <c r="BA68" s="29">
        <v>6935483.1400000006</v>
      </c>
      <c r="BB68" s="24">
        <v>1.4802685865773487E-2</v>
      </c>
      <c r="BC68" s="25">
        <v>2.6371649496585284E-2</v>
      </c>
      <c r="BD68" s="26">
        <v>1.846839237005499E-2</v>
      </c>
      <c r="BE68" s="24">
        <v>2.2467665849414436E-2</v>
      </c>
      <c r="BF68" s="25">
        <v>7.1198609029554341E-2</v>
      </c>
      <c r="BG68" s="26">
        <v>4.0509817940844524E-2</v>
      </c>
      <c r="BH68" s="24">
        <v>0.2254567570107017</v>
      </c>
      <c r="BI68" s="25">
        <v>0.1943899705255713</v>
      </c>
      <c r="BJ68" s="26">
        <v>0.14627590078903341</v>
      </c>
      <c r="BK68" s="24">
        <v>0.78095999999999999</v>
      </c>
      <c r="BL68" s="25">
        <v>0.75663000000000002</v>
      </c>
      <c r="BM68" s="26">
        <v>0.76880000000000004</v>
      </c>
    </row>
    <row r="69" spans="1:65" x14ac:dyDescent="0.2">
      <c r="A69" s="22">
        <v>5608</v>
      </c>
      <c r="B69" s="23" t="s">
        <v>86</v>
      </c>
      <c r="C69" s="24">
        <v>0.1215792933829815</v>
      </c>
      <c r="D69" s="25">
        <v>0.13033482587174641</v>
      </c>
      <c r="E69" s="26">
        <v>0.11048409051595726</v>
      </c>
      <c r="F69" s="24">
        <v>0.30634932043686447</v>
      </c>
      <c r="G69" s="25">
        <v>0.2554710939843387</v>
      </c>
      <c r="H69" s="26">
        <v>0.27585541448862161</v>
      </c>
      <c r="I69" s="24">
        <v>5.8375984632251021E-2</v>
      </c>
      <c r="J69" s="25">
        <v>-3.5986822115328984E-2</v>
      </c>
      <c r="K69" s="26">
        <v>7.9460004375424095E-2</v>
      </c>
      <c r="L69" s="24">
        <v>2.5092761843455661E-3</v>
      </c>
      <c r="M69" s="25">
        <v>1.7764564863847327E-3</v>
      </c>
      <c r="N69" s="26">
        <v>1.2845569667783755E-3</v>
      </c>
      <c r="O69" s="27">
        <v>1</v>
      </c>
      <c r="P69" s="28">
        <v>1</v>
      </c>
      <c r="Q69" s="29">
        <v>1</v>
      </c>
      <c r="R69" s="24">
        <v>5.1957968206928239E-2</v>
      </c>
      <c r="S69" s="25">
        <v>8.2980796089513975E-2</v>
      </c>
      <c r="T69" s="26">
        <v>5.6202465102743904E-2</v>
      </c>
      <c r="U69" s="27">
        <v>130.66666666666666</v>
      </c>
      <c r="V69" s="28">
        <v>130.66666666666666</v>
      </c>
      <c r="W69" s="29">
        <v>122.68181818181819</v>
      </c>
      <c r="X69" s="24">
        <v>0.73354192811358665</v>
      </c>
      <c r="Y69" s="25">
        <v>0.62411949383309306</v>
      </c>
      <c r="Z69" s="26">
        <v>0.76301138466226948</v>
      </c>
      <c r="AA69" s="24">
        <v>8.2088209544497498E-2</v>
      </c>
      <c r="AB69" s="25">
        <v>0.19521063591222168</v>
      </c>
      <c r="AC69" s="26">
        <v>2.4840621984225458E-2</v>
      </c>
      <c r="AD69" s="27">
        <v>805563</v>
      </c>
      <c r="AE69" s="28">
        <v>2004907</v>
      </c>
      <c r="AF69" s="29">
        <v>834800</v>
      </c>
      <c r="AG69" s="27">
        <v>6219395</v>
      </c>
      <c r="AH69" s="28">
        <v>15607500</v>
      </c>
      <c r="AI69" s="29">
        <v>6890850</v>
      </c>
      <c r="AJ69" s="27">
        <v>386789</v>
      </c>
      <c r="AK69" s="28">
        <v>-553576</v>
      </c>
      <c r="AL69" s="29">
        <v>600387</v>
      </c>
      <c r="AM69" s="30">
        <v>1968953</v>
      </c>
      <c r="AN69" s="30">
        <v>1027852</v>
      </c>
      <c r="AO69" s="30">
        <v>1588617</v>
      </c>
      <c r="AP69" s="27">
        <v>6198</v>
      </c>
      <c r="AQ69" s="28">
        <v>4827</v>
      </c>
      <c r="AR69" s="29">
        <v>3421</v>
      </c>
      <c r="AS69" s="27">
        <v>128338</v>
      </c>
      <c r="AT69" s="28">
        <v>225476</v>
      </c>
      <c r="AU69" s="29">
        <v>149677</v>
      </c>
      <c r="AV69" s="27">
        <v>172985.77</v>
      </c>
      <c r="AW69" s="28">
        <v>315859.10000000015</v>
      </c>
      <c r="AX69" s="29">
        <v>202394.90000000002</v>
      </c>
      <c r="AY69" s="27">
        <v>2308083.0499999998</v>
      </c>
      <c r="AZ69" s="28">
        <v>12381778.790000001</v>
      </c>
      <c r="BA69" s="29">
        <v>20788003.829999998</v>
      </c>
      <c r="BB69" s="24">
        <v>1.0259841695066741E-2</v>
      </c>
      <c r="BC69" s="25">
        <v>1.4446644241550536E-2</v>
      </c>
      <c r="BD69" s="26">
        <v>1.103753508200556E-2</v>
      </c>
      <c r="BE69" s="24">
        <v>1.3829159062002098E-2</v>
      </c>
      <c r="BF69" s="25">
        <v>2.6333257299650425E-2</v>
      </c>
      <c r="BG69" s="26">
        <v>1.492507739444943E-2</v>
      </c>
      <c r="BH69" s="24">
        <v>0.18451718674178194</v>
      </c>
      <c r="BI69" s="25">
        <v>1.0322721957493837</v>
      </c>
      <c r="BJ69" s="26">
        <v>1.5329564432644354</v>
      </c>
      <c r="BK69" s="24">
        <v>0.72907999999999995</v>
      </c>
      <c r="BL69" s="25">
        <v>0.68310999999999999</v>
      </c>
      <c r="BM69" s="26">
        <v>0.70609999999999995</v>
      </c>
    </row>
    <row r="70" spans="1:65" x14ac:dyDescent="0.2">
      <c r="A70" s="22">
        <v>5609</v>
      </c>
      <c r="B70" s="23" t="s">
        <v>87</v>
      </c>
      <c r="C70" s="24">
        <v>0.16119456212187105</v>
      </c>
      <c r="D70" s="25">
        <v>0.15046119339316094</v>
      </c>
      <c r="E70" s="26">
        <v>0.1917681755123741</v>
      </c>
      <c r="F70" s="24">
        <v>0.33027995327311221</v>
      </c>
      <c r="G70" s="25">
        <v>0.33035485847072149</v>
      </c>
      <c r="H70" s="26">
        <v>0.75093221859553982</v>
      </c>
      <c r="I70" s="24">
        <v>-6.929455142322144E-2</v>
      </c>
      <c r="J70" s="25">
        <v>3.7812606206776081E-2</v>
      </c>
      <c r="K70" s="26">
        <v>-8.6397533610197155E-2</v>
      </c>
      <c r="L70" s="24">
        <v>0.28697839540970954</v>
      </c>
      <c r="M70" s="25">
        <v>0.24968109321381415</v>
      </c>
      <c r="N70" s="26">
        <v>0.25146665411345132</v>
      </c>
      <c r="O70" s="27">
        <v>167</v>
      </c>
      <c r="P70" s="28">
        <v>158</v>
      </c>
      <c r="Q70" s="29">
        <v>155</v>
      </c>
      <c r="R70" s="24">
        <v>2.7846765526127547E-2</v>
      </c>
      <c r="S70" s="25">
        <v>8.7400436326633898E-3</v>
      </c>
      <c r="T70" s="26">
        <v>9.7875649940714224E-2</v>
      </c>
      <c r="U70" s="27">
        <v>226.83333333333334</v>
      </c>
      <c r="V70" s="28">
        <v>226.83333333333334</v>
      </c>
      <c r="W70" s="29">
        <v>224.16666666666666</v>
      </c>
      <c r="X70" s="24">
        <v>0.55438270474064799</v>
      </c>
      <c r="Y70" s="25">
        <v>0.53211115486196292</v>
      </c>
      <c r="Z70" s="26">
        <v>0.76307871933640703</v>
      </c>
      <c r="AA70" s="24">
        <v>0.28914030079456193</v>
      </c>
      <c r="AB70" s="25">
        <v>0.31176802857717506</v>
      </c>
      <c r="AC70" s="26">
        <v>5.9979578578303661E-2</v>
      </c>
      <c r="AD70" s="27">
        <v>1740217</v>
      </c>
      <c r="AE70" s="28">
        <v>4007881</v>
      </c>
      <c r="AF70" s="29">
        <v>1728471</v>
      </c>
      <c r="AG70" s="27">
        <v>11566499</v>
      </c>
      <c r="AH70" s="28">
        <v>26475675</v>
      </c>
      <c r="AI70" s="29">
        <v>9972861</v>
      </c>
      <c r="AJ70" s="27">
        <v>-748087</v>
      </c>
      <c r="AK70" s="28">
        <v>1007226</v>
      </c>
      <c r="AL70" s="29">
        <v>-778730</v>
      </c>
      <c r="AM70" s="30">
        <v>3395229</v>
      </c>
      <c r="AN70" s="30">
        <v>3721543</v>
      </c>
      <c r="AO70" s="30">
        <v>4257419</v>
      </c>
      <c r="AP70" s="27">
        <v>1366856</v>
      </c>
      <c r="AQ70" s="28">
        <v>1293593</v>
      </c>
      <c r="AR70" s="29">
        <v>1250000</v>
      </c>
      <c r="AS70" s="27">
        <v>132632</v>
      </c>
      <c r="AT70" s="28">
        <v>45282</v>
      </c>
      <c r="AU70" s="29">
        <v>486524</v>
      </c>
      <c r="AV70" s="27">
        <v>533738.05000000098</v>
      </c>
      <c r="AW70" s="28">
        <v>556400.08000000054</v>
      </c>
      <c r="AX70" s="29">
        <v>1018518.04</v>
      </c>
      <c r="AY70" s="27">
        <v>14402130.869999999</v>
      </c>
      <c r="AZ70" s="28">
        <v>13297817.75</v>
      </c>
      <c r="BA70" s="29">
        <v>20573775.98</v>
      </c>
      <c r="BB70" s="24">
        <v>5.834099845574414E-3</v>
      </c>
      <c r="BC70" s="25">
        <v>1.7103246659433613E-3</v>
      </c>
      <c r="BD70" s="26">
        <v>2.1513876960048556E-2</v>
      </c>
      <c r="BE70" s="24">
        <v>2.3477600240380862E-2</v>
      </c>
      <c r="BF70" s="25">
        <v>2.9902200364168362E-2</v>
      </c>
      <c r="BG70" s="26">
        <v>4.5038419058771643E-2</v>
      </c>
      <c r="BH70" s="24">
        <v>0.63350827465927906</v>
      </c>
      <c r="BI70" s="25">
        <v>0.71465484111126321</v>
      </c>
      <c r="BJ70" s="26">
        <v>0.90976331082808337</v>
      </c>
      <c r="BK70" s="24">
        <v>0.67969000000000002</v>
      </c>
      <c r="BL70" s="25">
        <v>0.65222999999999998</v>
      </c>
      <c r="BM70" s="26">
        <v>0.66600000000000004</v>
      </c>
    </row>
    <row r="71" spans="1:65" x14ac:dyDescent="0.2">
      <c r="A71" s="22">
        <v>5610</v>
      </c>
      <c r="B71" s="23" t="s">
        <v>88</v>
      </c>
      <c r="C71" s="24">
        <v>0.10381900145575855</v>
      </c>
      <c r="D71" s="25">
        <v>0.10482562558610138</v>
      </c>
      <c r="E71" s="26">
        <v>8.2799978309094982E-2</v>
      </c>
      <c r="F71" s="24">
        <v>0.7911242026207046</v>
      </c>
      <c r="G71" s="25">
        <v>0.42621622861336633</v>
      </c>
      <c r="H71" s="26">
        <v>0.75265228934201855</v>
      </c>
      <c r="I71" s="24">
        <v>0.21152171756438445</v>
      </c>
      <c r="J71" s="25">
        <v>-7.1105558180036235E-2</v>
      </c>
      <c r="K71" s="26">
        <v>0.16790111009185851</v>
      </c>
      <c r="L71" s="24">
        <v>8.2614364388855499E-2</v>
      </c>
      <c r="M71" s="25">
        <v>6.0707703699829467E-2</v>
      </c>
      <c r="N71" s="26">
        <v>5.1932903294363238E-2</v>
      </c>
      <c r="O71" s="27">
        <v>42</v>
      </c>
      <c r="P71" s="28">
        <v>36</v>
      </c>
      <c r="Q71" s="29">
        <v>31</v>
      </c>
      <c r="R71" s="24">
        <v>0</v>
      </c>
      <c r="S71" s="25">
        <v>0</v>
      </c>
      <c r="T71" s="26">
        <v>0</v>
      </c>
      <c r="U71" s="27">
        <v>109.48314606741573</v>
      </c>
      <c r="V71" s="28">
        <v>110.72727272727273</v>
      </c>
      <c r="W71" s="29">
        <v>102.60869565217391</v>
      </c>
      <c r="X71" s="24">
        <v>0.72380217098410549</v>
      </c>
      <c r="Y71" s="25">
        <v>0.60871190133004494</v>
      </c>
      <c r="Z71" s="26">
        <v>0.71601773999173435</v>
      </c>
      <c r="AA71" s="24">
        <v>3.550653318687922E-2</v>
      </c>
      <c r="AB71" s="25">
        <v>0.22625578028535157</v>
      </c>
      <c r="AC71" s="26">
        <v>7.1791870146197659E-2</v>
      </c>
      <c r="AD71" s="27">
        <v>900009</v>
      </c>
      <c r="AE71" s="28">
        <v>1858388</v>
      </c>
      <c r="AF71" s="29">
        <v>803153</v>
      </c>
      <c r="AG71" s="27">
        <v>6829898</v>
      </c>
      <c r="AH71" s="28">
        <v>18901316</v>
      </c>
      <c r="AI71" s="29">
        <v>8062236</v>
      </c>
      <c r="AJ71" s="27">
        <v>1833686</v>
      </c>
      <c r="AK71" s="28">
        <v>-1260586</v>
      </c>
      <c r="AL71" s="29">
        <v>1628627</v>
      </c>
      <c r="AM71" s="30">
        <v>8008013</v>
      </c>
      <c r="AN71" s="30">
        <v>4874413</v>
      </c>
      <c r="AO71" s="30">
        <v>6472000</v>
      </c>
      <c r="AP71" s="27">
        <v>204285</v>
      </c>
      <c r="AQ71" s="28">
        <v>176428</v>
      </c>
      <c r="AR71" s="29">
        <v>148571</v>
      </c>
      <c r="AS71" s="27">
        <v>0</v>
      </c>
      <c r="AT71" s="28">
        <v>0</v>
      </c>
      <c r="AU71" s="29">
        <v>0</v>
      </c>
      <c r="AV71" s="27">
        <v>633105.84999999986</v>
      </c>
      <c r="AW71" s="28">
        <v>272558.68999999994</v>
      </c>
      <c r="AX71" s="29">
        <v>717381.01999999979</v>
      </c>
      <c r="AY71" s="27">
        <v>11592111.619999999</v>
      </c>
      <c r="AZ71" s="28">
        <v>12362163.65</v>
      </c>
      <c r="BA71" s="29">
        <v>16231223.460000001</v>
      </c>
      <c r="BB71" s="24">
        <v>0</v>
      </c>
      <c r="BC71" s="25">
        <v>0</v>
      </c>
      <c r="BD71" s="26">
        <v>0</v>
      </c>
      <c r="BE71" s="24">
        <v>3.0798597180886591E-2</v>
      </c>
      <c r="BF71" s="25">
        <v>1.837797601789366E-2</v>
      </c>
      <c r="BG71" s="26">
        <v>3.3627853749747853E-2</v>
      </c>
      <c r="BH71" s="24">
        <v>0.56391956615193928</v>
      </c>
      <c r="BI71" s="25">
        <v>0.83355092104741479</v>
      </c>
      <c r="BJ71" s="26">
        <v>0.76085259224220425</v>
      </c>
      <c r="BK71" s="24">
        <v>0.83357000000000003</v>
      </c>
      <c r="BL71" s="25">
        <v>0.70267000000000002</v>
      </c>
      <c r="BM71" s="26">
        <v>0.7681</v>
      </c>
    </row>
    <row r="72" spans="1:65" x14ac:dyDescent="0.2">
      <c r="A72" s="22">
        <v>5611</v>
      </c>
      <c r="B72" s="23" t="s">
        <v>89</v>
      </c>
      <c r="C72" s="24">
        <v>8.7276211586059749E-2</v>
      </c>
      <c r="D72" s="25">
        <v>0.10315402084204094</v>
      </c>
      <c r="E72" s="26">
        <v>0.14467662872730461</v>
      </c>
      <c r="F72" s="24">
        <v>0.24681743500845885</v>
      </c>
      <c r="G72" s="25">
        <v>0.28386374823667221</v>
      </c>
      <c r="H72" s="26">
        <v>0.62421447102911498</v>
      </c>
      <c r="I72" s="24">
        <v>-5.0159579494471022E-2</v>
      </c>
      <c r="J72" s="25">
        <v>-0.16480361743211777</v>
      </c>
      <c r="K72" s="26">
        <v>6.714353459447063E-2</v>
      </c>
      <c r="L72" s="24">
        <v>0</v>
      </c>
      <c r="M72" s="25">
        <v>0</v>
      </c>
      <c r="N72" s="26">
        <v>0</v>
      </c>
      <c r="O72" s="27">
        <v>0</v>
      </c>
      <c r="P72" s="28">
        <v>0</v>
      </c>
      <c r="Q72" s="29">
        <v>0</v>
      </c>
      <c r="R72" s="24">
        <v>0</v>
      </c>
      <c r="S72" s="25">
        <v>0.23129135962430594</v>
      </c>
      <c r="T72" s="26">
        <v>0</v>
      </c>
      <c r="U72" s="27">
        <v>86.139534883720927</v>
      </c>
      <c r="V72" s="28">
        <v>86.139534883720927</v>
      </c>
      <c r="W72" s="29">
        <v>88.195121951219505</v>
      </c>
      <c r="X72" s="24">
        <v>0.60572961967317673</v>
      </c>
      <c r="Y72" s="25">
        <v>0.59231949493683811</v>
      </c>
      <c r="Z72" s="26">
        <v>0.69158620252904235</v>
      </c>
      <c r="AA72" s="24">
        <v>0.1961451640169091</v>
      </c>
      <c r="AB72" s="25">
        <v>0.20724708877524009</v>
      </c>
      <c r="AC72" s="26">
        <v>8.8266267281196256E-2</v>
      </c>
      <c r="AD72" s="27">
        <v>455333</v>
      </c>
      <c r="AE72" s="28">
        <v>1057047</v>
      </c>
      <c r="AF72" s="29">
        <v>931122</v>
      </c>
      <c r="AG72" s="27">
        <v>5625609</v>
      </c>
      <c r="AH72" s="28">
        <v>12050770</v>
      </c>
      <c r="AI72" s="29">
        <v>6126746</v>
      </c>
      <c r="AJ72" s="27">
        <v>-261690</v>
      </c>
      <c r="AK72" s="28">
        <v>-1688787</v>
      </c>
      <c r="AL72" s="29">
        <v>432128</v>
      </c>
      <c r="AM72" s="30">
        <v>2217484</v>
      </c>
      <c r="AN72" s="30">
        <v>774353</v>
      </c>
      <c r="AO72" s="30">
        <v>1446898</v>
      </c>
      <c r="AP72" s="27">
        <v>0</v>
      </c>
      <c r="AQ72" s="28">
        <v>0</v>
      </c>
      <c r="AR72" s="29">
        <v>0</v>
      </c>
      <c r="AS72" s="27">
        <v>0</v>
      </c>
      <c r="AT72" s="28">
        <v>417353</v>
      </c>
      <c r="AU72" s="29">
        <v>0</v>
      </c>
      <c r="AV72" s="27">
        <v>392983.29000000004</v>
      </c>
      <c r="AW72" s="28">
        <v>1199904.3600000003</v>
      </c>
      <c r="AX72" s="29">
        <v>535295.48</v>
      </c>
      <c r="AY72" s="27">
        <v>2168945.7999999998</v>
      </c>
      <c r="AZ72" s="28">
        <v>2333739</v>
      </c>
      <c r="BA72" s="29">
        <v>3055376</v>
      </c>
      <c r="BB72" s="24">
        <v>0</v>
      </c>
      <c r="BC72" s="25">
        <v>3.463289067835499E-2</v>
      </c>
      <c r="BD72" s="26">
        <v>0</v>
      </c>
      <c r="BE72" s="24">
        <v>3.6251893849941409E-2</v>
      </c>
      <c r="BF72" s="25">
        <v>0.12650207996538632</v>
      </c>
      <c r="BG72" s="26">
        <v>5.1518626599792942E-2</v>
      </c>
      <c r="BH72" s="24">
        <v>0.2000807538352998</v>
      </c>
      <c r="BI72" s="25">
        <v>0.24603864060994043</v>
      </c>
      <c r="BJ72" s="26">
        <v>0.29405960100012235</v>
      </c>
      <c r="BK72" s="24">
        <v>0.68689999999999996</v>
      </c>
      <c r="BL72" s="25">
        <v>0.65939000000000003</v>
      </c>
      <c r="BM72" s="26">
        <v>0.67310000000000003</v>
      </c>
    </row>
    <row r="73" spans="1:65" x14ac:dyDescent="0.2">
      <c r="A73" s="22">
        <v>5701</v>
      </c>
      <c r="B73" s="23" t="s">
        <v>90</v>
      </c>
      <c r="C73" s="24">
        <v>0.25543982325690279</v>
      </c>
      <c r="D73" s="25">
        <v>0.23034785432213556</v>
      </c>
      <c r="E73" s="26">
        <v>0.24873410242896921</v>
      </c>
      <c r="F73" s="24">
        <v>1.3539072844996278</v>
      </c>
      <c r="G73" s="25">
        <v>0.81550769629703002</v>
      </c>
      <c r="H73" s="26">
        <v>1.2652835135938314</v>
      </c>
      <c r="I73" s="24">
        <v>0.23793949361296093</v>
      </c>
      <c r="J73" s="25">
        <v>5.7251305866566765E-3</v>
      </c>
      <c r="K73" s="26">
        <v>0.23831382995513306</v>
      </c>
      <c r="L73" s="24">
        <v>0.45081019006463607</v>
      </c>
      <c r="M73" s="25">
        <v>0.3662343139433753</v>
      </c>
      <c r="N73" s="26">
        <v>0.30205222336827886</v>
      </c>
      <c r="O73" s="27">
        <v>227</v>
      </c>
      <c r="P73" s="28">
        <v>201</v>
      </c>
      <c r="Q73" s="29">
        <v>175</v>
      </c>
      <c r="R73" s="24">
        <v>0</v>
      </c>
      <c r="S73" s="25">
        <v>0</v>
      </c>
      <c r="T73" s="26">
        <v>0</v>
      </c>
      <c r="U73" s="27">
        <v>349.6223776223776</v>
      </c>
      <c r="V73" s="28">
        <v>347.19444444444446</v>
      </c>
      <c r="W73" s="29">
        <v>335.4033898305085</v>
      </c>
      <c r="X73" s="24">
        <v>0.67466133200309963</v>
      </c>
      <c r="Y73" s="25">
        <v>0.64111147789658041</v>
      </c>
      <c r="Z73" s="26">
        <v>0.65997772162796653</v>
      </c>
      <c r="AA73" s="24">
        <v>1.6794856109968219E-2</v>
      </c>
      <c r="AB73" s="25">
        <v>8.6585188680091213E-2</v>
      </c>
      <c r="AC73" s="26">
        <v>4.9566628196677232E-2</v>
      </c>
      <c r="AD73" s="27">
        <v>13353398</v>
      </c>
      <c r="AE73" s="28">
        <v>23448756</v>
      </c>
      <c r="AF73" s="29">
        <v>15050908</v>
      </c>
      <c r="AG73" s="27">
        <v>38653859</v>
      </c>
      <c r="AH73" s="28">
        <v>102042695</v>
      </c>
      <c r="AI73" s="29">
        <v>45643371</v>
      </c>
      <c r="AJ73" s="27">
        <v>12438549</v>
      </c>
      <c r="AK73" s="28">
        <v>582802</v>
      </c>
      <c r="AL73" s="29">
        <v>14420377</v>
      </c>
      <c r="AM73" s="30">
        <v>18750328</v>
      </c>
      <c r="AN73" s="30">
        <v>6832713</v>
      </c>
      <c r="AO73" s="30">
        <v>19654260</v>
      </c>
      <c r="AP73" s="27">
        <v>11334827</v>
      </c>
      <c r="AQ73" s="28">
        <v>10045608</v>
      </c>
      <c r="AR73" s="29">
        <v>8669589</v>
      </c>
      <c r="AS73" s="27">
        <v>0</v>
      </c>
      <c r="AT73" s="28">
        <v>0</v>
      </c>
      <c r="AU73" s="29">
        <v>0</v>
      </c>
      <c r="AV73" s="27">
        <v>255957.78000000212</v>
      </c>
      <c r="AW73" s="28">
        <v>883751.08000000182</v>
      </c>
      <c r="AX73" s="29">
        <v>714509.8599999994</v>
      </c>
      <c r="AY73" s="27">
        <v>21176704.310000002</v>
      </c>
      <c r="AZ73" s="28">
        <v>87508328.5</v>
      </c>
      <c r="BA73" s="29">
        <v>106160842.17999999</v>
      </c>
      <c r="BB73" s="24">
        <v>0</v>
      </c>
      <c r="BC73" s="25">
        <v>0</v>
      </c>
      <c r="BD73" s="26">
        <v>0</v>
      </c>
      <c r="BE73" s="24">
        <v>2.6120409827029376E-3</v>
      </c>
      <c r="BF73" s="25">
        <v>1.0618874584029023E-2</v>
      </c>
      <c r="BG73" s="26">
        <v>6.6464574359111689E-3</v>
      </c>
      <c r="BH73" s="24">
        <v>0.2161075921829822</v>
      </c>
      <c r="BI73" s="25">
        <v>1.0514725089778796</v>
      </c>
      <c r="BJ73" s="26">
        <v>0.98752103842185412</v>
      </c>
      <c r="BK73" s="24">
        <v>0.89166000000000001</v>
      </c>
      <c r="BL73" s="25">
        <v>0.8105</v>
      </c>
      <c r="BM73" s="26">
        <v>0.85109999999999997</v>
      </c>
    </row>
    <row r="74" spans="1:65" x14ac:dyDescent="0.2">
      <c r="A74" s="22">
        <v>5702</v>
      </c>
      <c r="B74" s="23" t="s">
        <v>91</v>
      </c>
      <c r="C74" s="24">
        <v>0.2005726327009407</v>
      </c>
      <c r="D74" s="25">
        <v>0.15423074094842237</v>
      </c>
      <c r="E74" s="26">
        <v>0.1347181861285659</v>
      </c>
      <c r="F74" s="24">
        <v>0.55172461123940808</v>
      </c>
      <c r="G74" s="25">
        <v>0.35689253798096077</v>
      </c>
      <c r="H74" s="26">
        <v>0.57005464450637222</v>
      </c>
      <c r="I74" s="24">
        <v>0.11808990924415841</v>
      </c>
      <c r="J74" s="25">
        <v>-4.7871798820584413E-2</v>
      </c>
      <c r="K74" s="26">
        <v>0.33256736094560813</v>
      </c>
      <c r="L74" s="24">
        <v>4.9710222542724281E-2</v>
      </c>
      <c r="M74" s="25">
        <v>0.20750887226044898</v>
      </c>
      <c r="N74" s="26">
        <v>5.3665976522208593E-2</v>
      </c>
      <c r="O74" s="27">
        <v>41</v>
      </c>
      <c r="P74" s="28">
        <v>161</v>
      </c>
      <c r="Q74" s="29">
        <v>55</v>
      </c>
      <c r="R74" s="24">
        <v>3.3985222145042497E-4</v>
      </c>
      <c r="S74" s="25">
        <v>3.5891530928664926E-4</v>
      </c>
      <c r="T74" s="26">
        <v>2.0929730843661352E-4</v>
      </c>
      <c r="U74" s="27">
        <v>153.52083333333334</v>
      </c>
      <c r="V74" s="28">
        <v>153.52083333333334</v>
      </c>
      <c r="W74" s="29">
        <v>151.3125</v>
      </c>
      <c r="X74" s="24">
        <v>0.4674896736977931</v>
      </c>
      <c r="Y74" s="25">
        <v>0.48033799267300387</v>
      </c>
      <c r="Z74" s="26">
        <v>0.56749795101370737</v>
      </c>
      <c r="AA74" s="24">
        <v>0.2700317985386223</v>
      </c>
      <c r="AB74" s="25">
        <v>0.28092373107594332</v>
      </c>
      <c r="AC74" s="26">
        <v>0.16382288167425538</v>
      </c>
      <c r="AD74" s="27">
        <v>3095073</v>
      </c>
      <c r="AE74" s="28">
        <v>4492640</v>
      </c>
      <c r="AF74" s="29">
        <v>2472502</v>
      </c>
      <c r="AG74" s="27">
        <v>13194946</v>
      </c>
      <c r="AH74" s="28">
        <v>29813309</v>
      </c>
      <c r="AI74" s="29">
        <v>12757528</v>
      </c>
      <c r="AJ74" s="27">
        <v>1822267</v>
      </c>
      <c r="AK74" s="28">
        <v>-1394474</v>
      </c>
      <c r="AL74" s="29">
        <v>6103656</v>
      </c>
      <c r="AM74" s="30">
        <v>3273462</v>
      </c>
      <c r="AN74" s="30">
        <v>1131154</v>
      </c>
      <c r="AO74" s="30">
        <v>6586613</v>
      </c>
      <c r="AP74" s="27">
        <v>300000</v>
      </c>
      <c r="AQ74" s="28">
        <v>1185797</v>
      </c>
      <c r="AR74" s="29">
        <v>400000</v>
      </c>
      <c r="AS74" s="27">
        <v>2051</v>
      </c>
      <c r="AT74" s="28">
        <v>2051</v>
      </c>
      <c r="AU74" s="29">
        <v>1560</v>
      </c>
      <c r="AV74" s="27">
        <v>294988.5500000004</v>
      </c>
      <c r="AW74" s="28">
        <v>346880.3499999998</v>
      </c>
      <c r="AX74" s="29">
        <v>1650783.3700000006</v>
      </c>
      <c r="AY74" s="27">
        <v>15509205.07</v>
      </c>
      <c r="AZ74" s="28">
        <v>16844446.469999999</v>
      </c>
      <c r="BA74" s="29">
        <v>17172615.129999999</v>
      </c>
      <c r="BB74" s="24">
        <v>6.4917013362871264E-5</v>
      </c>
      <c r="BC74" s="25">
        <v>6.8794778868726044E-5</v>
      </c>
      <c r="BD74" s="26">
        <v>4.5331894413765182E-5</v>
      </c>
      <c r="BE74" s="24">
        <v>9.3367994355163537E-3</v>
      </c>
      <c r="BF74" s="25">
        <v>1.5819674770289314E-2</v>
      </c>
      <c r="BG74" s="26">
        <v>4.7969959890281723E-2</v>
      </c>
      <c r="BH74" s="24">
        <v>0.490887992577621</v>
      </c>
      <c r="BI74" s="25">
        <v>0.76820051882716345</v>
      </c>
      <c r="BJ74" s="26">
        <v>0.49901742043678615</v>
      </c>
      <c r="BK74" s="24">
        <v>0.93803000000000003</v>
      </c>
      <c r="BL74" s="25">
        <v>0.80388000000000004</v>
      </c>
      <c r="BM74" s="26">
        <v>0.871</v>
      </c>
    </row>
    <row r="75" spans="1:65" x14ac:dyDescent="0.2">
      <c r="A75" s="22">
        <v>5703</v>
      </c>
      <c r="B75" s="23" t="s">
        <v>92</v>
      </c>
      <c r="C75" s="24">
        <v>0.21677529848011565</v>
      </c>
      <c r="D75" s="25">
        <v>0.19904601772607577</v>
      </c>
      <c r="E75" s="26">
        <v>0.20982074417811003</v>
      </c>
      <c r="F75" s="24">
        <v>0.74963059941991617</v>
      </c>
      <c r="G75" s="25">
        <v>0.64733629793370917</v>
      </c>
      <c r="H75" s="26">
        <v>1.2051398865938285</v>
      </c>
      <c r="I75" s="24">
        <v>0.10009168680569989</v>
      </c>
      <c r="J75" s="25">
        <v>-2.6390431504820802E-2</v>
      </c>
      <c r="K75" s="26">
        <v>0.14524002978987563</v>
      </c>
      <c r="L75" s="24">
        <v>0</v>
      </c>
      <c r="M75" s="25">
        <v>2.7423454094905545E-2</v>
      </c>
      <c r="N75" s="26">
        <v>2.388896536857138E-2</v>
      </c>
      <c r="O75" s="27">
        <v>0</v>
      </c>
      <c r="P75" s="28">
        <v>15</v>
      </c>
      <c r="Q75" s="29">
        <v>13</v>
      </c>
      <c r="R75" s="24">
        <v>0</v>
      </c>
      <c r="S75" s="25">
        <v>0</v>
      </c>
      <c r="T75" s="26">
        <v>0</v>
      </c>
      <c r="U75" s="27">
        <v>209.56934306569343</v>
      </c>
      <c r="V75" s="28">
        <v>209.56934306569343</v>
      </c>
      <c r="W75" s="29">
        <v>458.19354838709677</v>
      </c>
      <c r="X75" s="24">
        <v>0.57874717702196876</v>
      </c>
      <c r="Y75" s="25">
        <v>0.57718664045594337</v>
      </c>
      <c r="Z75" s="26">
        <v>0.68009145712281105</v>
      </c>
      <c r="AA75" s="24">
        <v>0.10918738501977768</v>
      </c>
      <c r="AB75" s="25">
        <v>0.13302418664586732</v>
      </c>
      <c r="AC75" s="26">
        <v>1.9981746214766141E-2</v>
      </c>
      <c r="AD75" s="27">
        <v>7443532</v>
      </c>
      <c r="AE75" s="28">
        <v>13053864</v>
      </c>
      <c r="AF75" s="29">
        <v>7554987</v>
      </c>
      <c r="AG75" s="27">
        <v>31488024</v>
      </c>
      <c r="AH75" s="28">
        <v>67635422</v>
      </c>
      <c r="AI75" s="29">
        <v>31031372</v>
      </c>
      <c r="AJ75" s="27">
        <v>3436903</v>
      </c>
      <c r="AK75" s="28">
        <v>-1730741</v>
      </c>
      <c r="AL75" s="29">
        <v>5229638</v>
      </c>
      <c r="AM75" s="30">
        <v>12578274</v>
      </c>
      <c r="AN75" s="30">
        <v>7548893</v>
      </c>
      <c r="AO75" s="30">
        <v>12276167</v>
      </c>
      <c r="AP75" s="27">
        <v>0</v>
      </c>
      <c r="AQ75" s="28">
        <v>430007</v>
      </c>
      <c r="AR75" s="29">
        <v>369796</v>
      </c>
      <c r="AS75" s="27">
        <v>0</v>
      </c>
      <c r="AT75" s="28">
        <v>0</v>
      </c>
      <c r="AU75" s="29">
        <v>0</v>
      </c>
      <c r="AV75" s="27">
        <v>118335.74999999895</v>
      </c>
      <c r="AW75" s="28">
        <v>470504.65999999986</v>
      </c>
      <c r="AX75" s="29">
        <v>378061.73000000056</v>
      </c>
      <c r="AY75" s="27">
        <v>27202084.309999999</v>
      </c>
      <c r="AZ75" s="28">
        <v>28596981.740000002</v>
      </c>
      <c r="BA75" s="29">
        <v>24862644.799999997</v>
      </c>
      <c r="BB75" s="24">
        <v>0</v>
      </c>
      <c r="BC75" s="25">
        <v>0</v>
      </c>
      <c r="BD75" s="26">
        <v>0</v>
      </c>
      <c r="BE75" s="24">
        <v>1.7526869586446104E-3</v>
      </c>
      <c r="BF75" s="25">
        <v>8.4344776735671458E-3</v>
      </c>
      <c r="BG75" s="26">
        <v>5.3596391277894329E-3</v>
      </c>
      <c r="BH75" s="24">
        <v>0.40289378668820364</v>
      </c>
      <c r="BI75" s="25">
        <v>0.51264232753281858</v>
      </c>
      <c r="BJ75" s="26">
        <v>0.35246837570787781</v>
      </c>
      <c r="BK75" s="24">
        <v>0.90754999999999997</v>
      </c>
      <c r="BL75" s="25">
        <v>0.77390000000000003</v>
      </c>
      <c r="BM75" s="26">
        <v>0.8407</v>
      </c>
    </row>
    <row r="76" spans="1:65" x14ac:dyDescent="0.2">
      <c r="A76" s="22">
        <v>5704</v>
      </c>
      <c r="B76" s="23" t="s">
        <v>93</v>
      </c>
      <c r="C76" s="24">
        <v>0.18657962436133543</v>
      </c>
      <c r="D76" s="25">
        <v>0.15681224700607665</v>
      </c>
      <c r="E76" s="26">
        <v>0.17868444744442549</v>
      </c>
      <c r="F76" s="24">
        <v>0.42364300412348738</v>
      </c>
      <c r="G76" s="25">
        <v>0.30933027424039095</v>
      </c>
      <c r="H76" s="26">
        <v>0.74840140202962735</v>
      </c>
      <c r="I76" s="24">
        <v>-4.0884675521971385E-2</v>
      </c>
      <c r="J76" s="25">
        <v>-0.10528736513799479</v>
      </c>
      <c r="K76" s="26">
        <v>0.11162503456702645</v>
      </c>
      <c r="L76" s="24">
        <v>3.2364091774896311E-2</v>
      </c>
      <c r="M76" s="25">
        <v>0</v>
      </c>
      <c r="N76" s="26">
        <v>0</v>
      </c>
      <c r="O76" s="27">
        <v>20</v>
      </c>
      <c r="P76" s="28">
        <v>0</v>
      </c>
      <c r="Q76" s="29">
        <v>0</v>
      </c>
      <c r="R76" s="24">
        <v>0</v>
      </c>
      <c r="S76" s="25">
        <v>0</v>
      </c>
      <c r="T76" s="26">
        <v>0</v>
      </c>
      <c r="U76" s="27">
        <v>175.72</v>
      </c>
      <c r="V76" s="28">
        <v>175.72</v>
      </c>
      <c r="W76" s="29">
        <v>166.80769230769232</v>
      </c>
      <c r="X76" s="24">
        <v>0.5311471803706781</v>
      </c>
      <c r="Y76" s="25">
        <v>0.49572246677102794</v>
      </c>
      <c r="Z76" s="26">
        <v>0.66501909710186813</v>
      </c>
      <c r="AA76" s="24">
        <v>0.22296054687420969</v>
      </c>
      <c r="AB76" s="25">
        <v>0.24814680093776828</v>
      </c>
      <c r="AC76" s="26">
        <v>3.1319527160539401E-2</v>
      </c>
      <c r="AD76" s="27">
        <v>2004849</v>
      </c>
      <c r="AE76" s="28">
        <v>3541028</v>
      </c>
      <c r="AF76" s="29">
        <v>2022456</v>
      </c>
      <c r="AG76" s="27">
        <v>10874018</v>
      </c>
      <c r="AH76" s="28">
        <v>25083382</v>
      </c>
      <c r="AI76" s="29">
        <v>9996543</v>
      </c>
      <c r="AJ76" s="27">
        <v>-439317</v>
      </c>
      <c r="AK76" s="28">
        <v>-2377528</v>
      </c>
      <c r="AL76" s="29">
        <v>1263438</v>
      </c>
      <c r="AM76" s="30">
        <v>3834808</v>
      </c>
      <c r="AN76" s="30">
        <v>1719714</v>
      </c>
      <c r="AO76" s="30">
        <v>3000114</v>
      </c>
      <c r="AP76" s="27">
        <v>172935</v>
      </c>
      <c r="AQ76" s="28">
        <v>0</v>
      </c>
      <c r="AR76" s="29">
        <v>0</v>
      </c>
      <c r="AS76" s="27">
        <v>0</v>
      </c>
      <c r="AT76" s="28">
        <v>0</v>
      </c>
      <c r="AU76" s="29">
        <v>0</v>
      </c>
      <c r="AV76" s="27">
        <v>313239.68000000017</v>
      </c>
      <c r="AW76" s="28">
        <v>142910.59000000096</v>
      </c>
      <c r="AX76" s="29">
        <v>241502.52000000005</v>
      </c>
      <c r="AY76" s="27">
        <v>10755516.189999999</v>
      </c>
      <c r="AZ76" s="28">
        <v>15380396.379999999</v>
      </c>
      <c r="BA76" s="29">
        <v>16435392.710000001</v>
      </c>
      <c r="BB76" s="24">
        <v>0</v>
      </c>
      <c r="BC76" s="25">
        <v>0</v>
      </c>
      <c r="BD76" s="26">
        <v>0</v>
      </c>
      <c r="BE76" s="24">
        <v>1.3473267811881271E-2</v>
      </c>
      <c r="BF76" s="25">
        <v>7.2932119364651112E-3</v>
      </c>
      <c r="BG76" s="26">
        <v>1.0645927294232905E-2</v>
      </c>
      <c r="BH76" s="24">
        <v>0.46262322220127028</v>
      </c>
      <c r="BI76" s="25">
        <v>0.78491377347319058</v>
      </c>
      <c r="BJ76" s="26">
        <v>0.72450588028160323</v>
      </c>
      <c r="BK76" s="24">
        <v>0.83899999999999997</v>
      </c>
      <c r="BL76" s="25">
        <v>0.85331999999999997</v>
      </c>
      <c r="BM76" s="26">
        <v>0.84619999999999995</v>
      </c>
    </row>
    <row r="77" spans="1:65" x14ac:dyDescent="0.2">
      <c r="A77" s="22">
        <v>5801</v>
      </c>
      <c r="B77" s="23" t="s">
        <v>94</v>
      </c>
      <c r="C77" s="24">
        <v>0.39812317896049859</v>
      </c>
      <c r="D77" s="25">
        <v>0.39223910853022798</v>
      </c>
      <c r="E77" s="26">
        <v>0.43180729711647664</v>
      </c>
      <c r="F77" s="24">
        <v>0.94769124597221133</v>
      </c>
      <c r="G77" s="25">
        <v>0.94897962880303655</v>
      </c>
      <c r="H77" s="26">
        <v>1.1926807640115895</v>
      </c>
      <c r="I77" s="24">
        <v>3.7426090402978326E-2</v>
      </c>
      <c r="J77" s="25">
        <v>-2.5061873277058177E-2</v>
      </c>
      <c r="K77" s="26">
        <v>0.11097971634712966</v>
      </c>
      <c r="L77" s="24">
        <v>0.20040792712487712</v>
      </c>
      <c r="M77" s="25">
        <v>0.27575494897454528</v>
      </c>
      <c r="N77" s="26">
        <v>0.25736803637638261</v>
      </c>
      <c r="O77" s="27">
        <v>211</v>
      </c>
      <c r="P77" s="28">
        <v>296</v>
      </c>
      <c r="Q77" s="29">
        <v>325</v>
      </c>
      <c r="R77" s="24">
        <v>1.6941162605698123E-3</v>
      </c>
      <c r="S77" s="25">
        <v>7.1331023094501917E-3</v>
      </c>
      <c r="T77" s="26">
        <v>2.3832699338954379E-3</v>
      </c>
      <c r="U77" s="27">
        <v>163.41</v>
      </c>
      <c r="V77" s="28">
        <v>160.20588235294119</v>
      </c>
      <c r="W77" s="29">
        <v>193.52941176470588</v>
      </c>
      <c r="X77" s="24">
        <v>0.52394122322112657</v>
      </c>
      <c r="Y77" s="25">
        <v>0.54756403441748058</v>
      </c>
      <c r="Z77" s="26">
        <v>0.57580547379688318</v>
      </c>
      <c r="AA77" s="24">
        <v>7.8099138269691351E-2</v>
      </c>
      <c r="AB77" s="25">
        <v>9.7265669733947291E-2</v>
      </c>
      <c r="AC77" s="26">
        <v>8.2110536365535974E-2</v>
      </c>
      <c r="AD77" s="27">
        <v>8461847</v>
      </c>
      <c r="AE77" s="28">
        <v>17288955</v>
      </c>
      <c r="AF77" s="29">
        <v>11347717</v>
      </c>
      <c r="AG77" s="27">
        <v>19944407</v>
      </c>
      <c r="AH77" s="28">
        <v>42971071</v>
      </c>
      <c r="AI77" s="29">
        <v>22885102</v>
      </c>
      <c r="AJ77" s="27">
        <v>795467</v>
      </c>
      <c r="AK77" s="28">
        <v>-1104667</v>
      </c>
      <c r="AL77" s="29">
        <v>2916501</v>
      </c>
      <c r="AM77" s="30">
        <v>2650582</v>
      </c>
      <c r="AN77" s="30">
        <v>2214079</v>
      </c>
      <c r="AO77" s="30">
        <v>5377912</v>
      </c>
      <c r="AP77" s="27">
        <v>3441835</v>
      </c>
      <c r="AQ77" s="28">
        <v>4836950</v>
      </c>
      <c r="AR77" s="29">
        <v>5338675</v>
      </c>
      <c r="AS77" s="27">
        <v>29095</v>
      </c>
      <c r="AT77" s="28">
        <v>125120</v>
      </c>
      <c r="AU77" s="29">
        <v>49437</v>
      </c>
      <c r="AV77" s="27">
        <v>429089.91999999958</v>
      </c>
      <c r="AW77" s="28">
        <v>1777862.5099999984</v>
      </c>
      <c r="AX77" s="29">
        <v>3592276.290000001</v>
      </c>
      <c r="AY77" s="27">
        <v>8648147.5600000005</v>
      </c>
      <c r="AZ77" s="28">
        <v>12869380.770000001</v>
      </c>
      <c r="BA77" s="29">
        <v>14229345.209999999</v>
      </c>
      <c r="BB77" s="24">
        <v>6.6354968223051583E-4</v>
      </c>
      <c r="BC77" s="25">
        <v>2.9117263565527607E-3</v>
      </c>
      <c r="BD77" s="26">
        <v>9.8254517060475757E-4</v>
      </c>
      <c r="BE77" s="24">
        <v>9.785959101712224E-3</v>
      </c>
      <c r="BF77" s="25">
        <v>4.9833366534788592E-2</v>
      </c>
      <c r="BG77" s="26">
        <v>7.1395386455842313E-2</v>
      </c>
      <c r="BH77" s="24">
        <v>0.19723236175702391</v>
      </c>
      <c r="BI77" s="25">
        <v>0.36072787708829662</v>
      </c>
      <c r="BJ77" s="26">
        <v>0.2828038598004215</v>
      </c>
      <c r="BK77" s="24">
        <v>0.85131000000000001</v>
      </c>
      <c r="BL77" s="25">
        <v>0.75285999999999997</v>
      </c>
      <c r="BM77" s="26">
        <v>0.80210000000000004</v>
      </c>
    </row>
    <row r="78" spans="1:65" x14ac:dyDescent="0.2">
      <c r="A78" s="22">
        <v>5802</v>
      </c>
      <c r="B78" s="23" t="s">
        <v>95</v>
      </c>
      <c r="C78" s="24">
        <v>0.26388765069022335</v>
      </c>
      <c r="D78" s="25">
        <v>0.22649581901282465</v>
      </c>
      <c r="E78" s="26">
        <v>0.27408848459879737</v>
      </c>
      <c r="F78" s="24">
        <v>0.53511735084511725</v>
      </c>
      <c r="G78" s="25">
        <v>0.42422458910974925</v>
      </c>
      <c r="H78" s="26">
        <v>0.96843798514136603</v>
      </c>
      <c r="I78" s="24">
        <v>-2.5080828245730952E-2</v>
      </c>
      <c r="J78" s="25">
        <v>-0.12388253259711457</v>
      </c>
      <c r="K78" s="26">
        <v>0.18638786136287933</v>
      </c>
      <c r="L78" s="24">
        <v>0</v>
      </c>
      <c r="M78" s="25">
        <v>7.9821699707834426E-2</v>
      </c>
      <c r="N78" s="26">
        <v>0</v>
      </c>
      <c r="O78" s="27">
        <v>0</v>
      </c>
      <c r="P78" s="28">
        <v>55</v>
      </c>
      <c r="Q78" s="29">
        <v>0</v>
      </c>
      <c r="R78" s="24">
        <v>5.9098652162218705E-3</v>
      </c>
      <c r="S78" s="25">
        <v>5.3852925086484262E-3</v>
      </c>
      <c r="T78" s="26">
        <v>5.2598118353524128E-3</v>
      </c>
      <c r="U78" s="27">
        <v>166.51737451737452</v>
      </c>
      <c r="V78" s="28">
        <v>166.51737451737452</v>
      </c>
      <c r="W78" s="29">
        <v>190.04484304932734</v>
      </c>
      <c r="X78" s="24">
        <v>0.53927341748505653</v>
      </c>
      <c r="Y78" s="25">
        <v>0.52953175976129385</v>
      </c>
      <c r="Z78" s="26">
        <v>0.72185537671824929</v>
      </c>
      <c r="AA78" s="24">
        <v>0.23148036018661569</v>
      </c>
      <c r="AB78" s="25">
        <v>0.22573296560594977</v>
      </c>
      <c r="AC78" s="26">
        <v>2.5411072152061457E-2</v>
      </c>
      <c r="AD78" s="27">
        <v>3549077</v>
      </c>
      <c r="AE78" s="28">
        <v>5932058</v>
      </c>
      <c r="AF78" s="29">
        <v>4002376</v>
      </c>
      <c r="AG78" s="27">
        <v>13286557</v>
      </c>
      <c r="AH78" s="28">
        <v>28423230</v>
      </c>
      <c r="AI78" s="29">
        <v>11279650</v>
      </c>
      <c r="AJ78" s="27">
        <v>-337317</v>
      </c>
      <c r="AK78" s="28">
        <v>-3244556</v>
      </c>
      <c r="AL78" s="29">
        <v>2721728</v>
      </c>
      <c r="AM78" s="30">
        <v>6312817</v>
      </c>
      <c r="AN78" s="30">
        <v>4197209</v>
      </c>
      <c r="AO78" s="30">
        <v>6250303</v>
      </c>
      <c r="AP78" s="27">
        <v>0</v>
      </c>
      <c r="AQ78" s="28">
        <v>597941</v>
      </c>
      <c r="AR78" s="29">
        <v>0</v>
      </c>
      <c r="AS78" s="27">
        <v>40341</v>
      </c>
      <c r="AT78" s="28">
        <v>40341</v>
      </c>
      <c r="AU78" s="29">
        <v>40341</v>
      </c>
      <c r="AV78" s="27">
        <v>60383.16000000108</v>
      </c>
      <c r="AW78" s="28">
        <v>210210.57999999932</v>
      </c>
      <c r="AX78" s="29">
        <v>414107.70999999956</v>
      </c>
      <c r="AY78" s="27">
        <v>9102067.7300000004</v>
      </c>
      <c r="AZ78" s="28">
        <v>7784473.5299999993</v>
      </c>
      <c r="BA78" s="29">
        <v>8687563.8100000005</v>
      </c>
      <c r="BB78" s="24">
        <v>1.3445994687797177E-3</v>
      </c>
      <c r="BC78" s="25">
        <v>1.4192968216490526E-3</v>
      </c>
      <c r="BD78" s="26">
        <v>1.3227998578336912E-3</v>
      </c>
      <c r="BE78" s="24">
        <v>2.0126215229974999E-3</v>
      </c>
      <c r="BF78" s="25">
        <v>9.1152424332985732E-3</v>
      </c>
      <c r="BG78" s="26">
        <v>1.3578781386575317E-2</v>
      </c>
      <c r="BH78" s="24">
        <v>0.30337957498711016</v>
      </c>
      <c r="BI78" s="25">
        <v>0.33755372085242219</v>
      </c>
      <c r="BJ78" s="26">
        <v>0.28486919443715131</v>
      </c>
      <c r="BK78" s="24">
        <v>0.74195</v>
      </c>
      <c r="BL78" s="25">
        <v>0.73523000000000005</v>
      </c>
      <c r="BM78" s="26">
        <v>0.73860000000000003</v>
      </c>
    </row>
    <row r="79" spans="1:65" x14ac:dyDescent="0.2">
      <c r="A79" s="22">
        <v>5803</v>
      </c>
      <c r="B79" s="23" t="s">
        <v>96</v>
      </c>
      <c r="C79" s="24">
        <v>0.20907897968955985</v>
      </c>
      <c r="D79" s="25">
        <v>0.21124970990992153</v>
      </c>
      <c r="E79" s="26">
        <v>0.26449909319356002</v>
      </c>
      <c r="F79" s="24">
        <v>0.68123336424712755</v>
      </c>
      <c r="G79" s="25">
        <v>0.68303670725957788</v>
      </c>
      <c r="H79" s="26">
        <v>0.99014310693562513</v>
      </c>
      <c r="I79" s="24">
        <v>1.8825739407807379E-2</v>
      </c>
      <c r="J79" s="25">
        <v>-6.8063128638070319E-2</v>
      </c>
      <c r="K79" s="26">
        <v>9.9915970617463185E-2</v>
      </c>
      <c r="L79" s="24">
        <v>0.51245025949004563</v>
      </c>
      <c r="M79" s="25">
        <v>0.53431307221436752</v>
      </c>
      <c r="N79" s="26">
        <v>0.38468720029766118</v>
      </c>
      <c r="O79" s="27">
        <v>262</v>
      </c>
      <c r="P79" s="28">
        <v>257</v>
      </c>
      <c r="Q79" s="29">
        <v>248</v>
      </c>
      <c r="R79" s="24">
        <v>4.015221564577439E-2</v>
      </c>
      <c r="S79" s="25">
        <v>0.13398603742274376</v>
      </c>
      <c r="T79" s="26">
        <v>2.3205896778097691E-2</v>
      </c>
      <c r="U79" s="27">
        <v>457.21428571428572</v>
      </c>
      <c r="V79" s="28">
        <v>463.23026315789474</v>
      </c>
      <c r="W79" s="29">
        <v>439.45569620253167</v>
      </c>
      <c r="X79" s="24">
        <v>0.60091060525392459</v>
      </c>
      <c r="Y79" s="25">
        <v>0.61143633892136229</v>
      </c>
      <c r="Z79" s="26">
        <v>0.61604800030462958</v>
      </c>
      <c r="AA79" s="24">
        <v>0.10586825939642044</v>
      </c>
      <c r="AB79" s="25">
        <v>9.2714881372521027E-2</v>
      </c>
      <c r="AC79" s="26">
        <v>7.5164088050548708E-2</v>
      </c>
      <c r="AD79" s="27">
        <v>14809296</v>
      </c>
      <c r="AE79" s="28">
        <v>28518958</v>
      </c>
      <c r="AF79" s="29">
        <v>22048678</v>
      </c>
      <c r="AG79" s="27">
        <v>68037824</v>
      </c>
      <c r="AH79" s="28">
        <v>144577632</v>
      </c>
      <c r="AI79" s="29">
        <v>76788346</v>
      </c>
      <c r="AJ79" s="27">
        <v>1333448</v>
      </c>
      <c r="AK79" s="28">
        <v>-9188602</v>
      </c>
      <c r="AL79" s="29">
        <v>8329008</v>
      </c>
      <c r="AM79" s="30">
        <v>23165872</v>
      </c>
      <c r="AN79" s="30">
        <v>12506974</v>
      </c>
      <c r="AO79" s="30">
        <v>19811628</v>
      </c>
      <c r="AP79" s="27">
        <v>18452373</v>
      </c>
      <c r="AQ79" s="28">
        <v>18130075</v>
      </c>
      <c r="AR79" s="29">
        <v>17190535</v>
      </c>
      <c r="AS79" s="27">
        <v>1445806</v>
      </c>
      <c r="AT79" s="28">
        <v>4546355</v>
      </c>
      <c r="AU79" s="29">
        <v>1037003</v>
      </c>
      <c r="AV79" s="27">
        <v>2376820.7599999984</v>
      </c>
      <c r="AW79" s="28">
        <v>13419108.93</v>
      </c>
      <c r="AX79" s="29">
        <v>6263301.0399999954</v>
      </c>
      <c r="AY79" s="27">
        <v>67616814.620000005</v>
      </c>
      <c r="AZ79" s="28">
        <v>96863025.929999992</v>
      </c>
      <c r="BA79" s="29">
        <v>157960394.99000001</v>
      </c>
      <c r="BB79" s="24">
        <v>9.3731763289809679E-3</v>
      </c>
      <c r="BC79" s="25">
        <v>3.144577025580278E-2</v>
      </c>
      <c r="BD79" s="26">
        <v>6.385320293327835E-3</v>
      </c>
      <c r="BE79" s="24">
        <v>1.5408955341077946E-2</v>
      </c>
      <c r="BF79" s="25">
        <v>0.11445988143352455</v>
      </c>
      <c r="BG79" s="26">
        <v>3.8566121056480364E-2</v>
      </c>
      <c r="BH79" s="24">
        <v>0.4383605589112774</v>
      </c>
      <c r="BI79" s="25">
        <v>0.82620466985360508</v>
      </c>
      <c r="BJ79" s="26">
        <v>0.97263722059794189</v>
      </c>
      <c r="BK79" s="24">
        <v>0.84087999999999996</v>
      </c>
      <c r="BL79" s="25">
        <v>0.66234000000000004</v>
      </c>
      <c r="BM79" s="26">
        <v>0.75160000000000005</v>
      </c>
    </row>
    <row r="80" spans="1:65" x14ac:dyDescent="0.2">
      <c r="A80" s="22">
        <v>5804</v>
      </c>
      <c r="B80" s="23" t="s">
        <v>97</v>
      </c>
      <c r="C80" s="24">
        <v>0.14293333137747871</v>
      </c>
      <c r="D80" s="25">
        <v>0.18307842450932049</v>
      </c>
      <c r="E80" s="26">
        <v>0.17459079081161452</v>
      </c>
      <c r="F80" s="24">
        <v>0.49247872952036614</v>
      </c>
      <c r="G80" s="25">
        <v>0.51002337001131626</v>
      </c>
      <c r="H80" s="26">
        <v>0.9443733307888067</v>
      </c>
      <c r="I80" s="24">
        <v>0.14819742675892014</v>
      </c>
      <c r="J80" s="25">
        <v>-4.9356807779153931E-2</v>
      </c>
      <c r="K80" s="26">
        <v>0.22821097511661514</v>
      </c>
      <c r="L80" s="24">
        <v>0</v>
      </c>
      <c r="M80" s="25">
        <v>0</v>
      </c>
      <c r="N80" s="26">
        <v>0</v>
      </c>
      <c r="O80" s="27">
        <v>0</v>
      </c>
      <c r="P80" s="28">
        <v>0</v>
      </c>
      <c r="Q80" s="29">
        <v>0</v>
      </c>
      <c r="R80" s="24">
        <v>0</v>
      </c>
      <c r="S80" s="25">
        <v>0</v>
      </c>
      <c r="T80" s="26">
        <v>0</v>
      </c>
      <c r="U80" s="27">
        <v>101.96449704142012</v>
      </c>
      <c r="V80" s="28">
        <v>105.71779141104294</v>
      </c>
      <c r="W80" s="29">
        <v>103.81212121212121</v>
      </c>
      <c r="X80" s="24">
        <v>0.60831112446479951</v>
      </c>
      <c r="Y80" s="25">
        <v>0.60983333936074047</v>
      </c>
      <c r="Z80" s="26">
        <v>0.73035349421879814</v>
      </c>
      <c r="AA80" s="24">
        <v>0.14847712081763381</v>
      </c>
      <c r="AB80" s="25">
        <v>0.1539723050256058</v>
      </c>
      <c r="AC80" s="26">
        <v>2.9281982401791369E-2</v>
      </c>
      <c r="AD80" s="27">
        <v>2728310</v>
      </c>
      <c r="AE80" s="28">
        <v>7309022</v>
      </c>
      <c r="AF80" s="29">
        <v>3721288</v>
      </c>
      <c r="AG80" s="27">
        <v>16078787</v>
      </c>
      <c r="AH80" s="28">
        <v>41781371</v>
      </c>
      <c r="AI80" s="29">
        <v>16058339</v>
      </c>
      <c r="AJ80" s="27">
        <v>2828791</v>
      </c>
      <c r="AK80" s="28">
        <v>-1970467</v>
      </c>
      <c r="AL80" s="29">
        <v>4864167</v>
      </c>
      <c r="AM80" s="30">
        <v>10906008</v>
      </c>
      <c r="AN80" s="30">
        <v>6117025</v>
      </c>
      <c r="AO80" s="30">
        <v>10982118</v>
      </c>
      <c r="AP80" s="27">
        <v>0</v>
      </c>
      <c r="AQ80" s="28">
        <v>0</v>
      </c>
      <c r="AR80" s="29">
        <v>0</v>
      </c>
      <c r="AS80" s="27">
        <v>0</v>
      </c>
      <c r="AT80" s="28">
        <v>0</v>
      </c>
      <c r="AU80" s="29">
        <v>0</v>
      </c>
      <c r="AV80" s="27">
        <v>334390.09999999951</v>
      </c>
      <c r="AW80" s="28">
        <v>792854.46000000229</v>
      </c>
      <c r="AX80" s="29">
        <v>412910.27</v>
      </c>
      <c r="AY80" s="27">
        <v>10674256.740000002</v>
      </c>
      <c r="AZ80" s="28">
        <v>13282338.939999999</v>
      </c>
      <c r="BA80" s="29">
        <v>17191452.759999998</v>
      </c>
      <c r="BB80" s="24">
        <v>0</v>
      </c>
      <c r="BC80" s="25">
        <v>0</v>
      </c>
      <c r="BD80" s="26">
        <v>0</v>
      </c>
      <c r="BE80" s="24">
        <v>7.4745188812182541E-3</v>
      </c>
      <c r="BF80" s="25">
        <v>2.3806031760253525E-2</v>
      </c>
      <c r="BG80" s="26">
        <v>8.4071232970984958E-3</v>
      </c>
      <c r="BH80" s="24">
        <v>0.23859837221885857</v>
      </c>
      <c r="BI80" s="25">
        <v>0.3988118861765515</v>
      </c>
      <c r="BJ80" s="26">
        <v>0.35002922792296787</v>
      </c>
      <c r="BK80" s="24">
        <v>0.80003999999999997</v>
      </c>
      <c r="BL80" s="25">
        <v>0.51561000000000001</v>
      </c>
      <c r="BM80" s="26">
        <v>0.65780000000000005</v>
      </c>
    </row>
    <row r="81" spans="1:65" x14ac:dyDescent="0.2">
      <c r="A81" s="22">
        <v>5805</v>
      </c>
      <c r="B81" s="23" t="s">
        <v>98</v>
      </c>
      <c r="C81" s="24">
        <v>0.30404868286737069</v>
      </c>
      <c r="D81" s="25">
        <v>0.27093564439466344</v>
      </c>
      <c r="E81" s="26">
        <v>0.31916824184757492</v>
      </c>
      <c r="F81" s="24">
        <v>0.53539843802336262</v>
      </c>
      <c r="G81" s="25">
        <v>0.48859307038820154</v>
      </c>
      <c r="H81" s="26">
        <v>1.0522641713644056</v>
      </c>
      <c r="I81" s="24">
        <v>-0.16584830356951333</v>
      </c>
      <c r="J81" s="25">
        <v>-0.19127053975348243</v>
      </c>
      <c r="K81" s="26">
        <v>0.16395063146900449</v>
      </c>
      <c r="L81" s="24">
        <v>0.95464522560312126</v>
      </c>
      <c r="M81" s="25">
        <v>1.4826588563835299</v>
      </c>
      <c r="N81" s="26">
        <v>1.1421212749062575</v>
      </c>
      <c r="O81" s="27">
        <v>950</v>
      </c>
      <c r="P81" s="28">
        <v>1057</v>
      </c>
      <c r="Q81" s="29">
        <v>1038</v>
      </c>
      <c r="R81" s="24">
        <v>3.1219941694126056E-2</v>
      </c>
      <c r="S81" s="25">
        <v>4.3199272548411882E-2</v>
      </c>
      <c r="T81" s="26">
        <v>3.1758237718112828E-2</v>
      </c>
      <c r="U81" s="27">
        <v>157.65853658536585</v>
      </c>
      <c r="V81" s="28">
        <v>165.74358974358975</v>
      </c>
      <c r="W81" s="29">
        <v>160.0625</v>
      </c>
      <c r="X81" s="24">
        <v>0.46929961025291239</v>
      </c>
      <c r="Y81" s="25">
        <v>0.50805792897497926</v>
      </c>
      <c r="Z81" s="26">
        <v>0.59545383723508161</v>
      </c>
      <c r="AA81" s="24">
        <v>0.33385414868708635</v>
      </c>
      <c r="AB81" s="25">
        <v>0.29052598395115176</v>
      </c>
      <c r="AC81" s="26">
        <v>0.14667242995420129</v>
      </c>
      <c r="AD81" s="27">
        <v>4819275</v>
      </c>
      <c r="AE81" s="28">
        <v>8256233</v>
      </c>
      <c r="AF81" s="29">
        <v>5911195</v>
      </c>
      <c r="AG81" s="27">
        <v>17757413</v>
      </c>
      <c r="AH81" s="28">
        <v>36561876</v>
      </c>
      <c r="AI81" s="29">
        <v>15236674</v>
      </c>
      <c r="AJ81" s="27">
        <v>-2628752</v>
      </c>
      <c r="AK81" s="28">
        <v>-5828595</v>
      </c>
      <c r="AL81" s="29">
        <v>3036468</v>
      </c>
      <c r="AM81" s="30">
        <v>7010260</v>
      </c>
      <c r="AN81" s="30">
        <v>5122501</v>
      </c>
      <c r="AO81" s="30">
        <v>7852262</v>
      </c>
      <c r="AP81" s="27">
        <v>12280118</v>
      </c>
      <c r="AQ81" s="28">
        <v>13667050</v>
      </c>
      <c r="AR81" s="29">
        <v>13295950</v>
      </c>
      <c r="AS81" s="27">
        <v>401599</v>
      </c>
      <c r="AT81" s="28">
        <v>398208</v>
      </c>
      <c r="AU81" s="29">
        <v>369712</v>
      </c>
      <c r="AV81" s="27">
        <v>1488278.0299999998</v>
      </c>
      <c r="AW81" s="28">
        <v>5353631.32</v>
      </c>
      <c r="AX81" s="29">
        <v>863355.28999999946</v>
      </c>
      <c r="AY81" s="27">
        <v>9818775.4299999997</v>
      </c>
      <c r="AZ81" s="28">
        <v>8869933.959999999</v>
      </c>
      <c r="BA81" s="29">
        <v>16240092.24</v>
      </c>
      <c r="BB81" s="24">
        <v>9.2854201685053633E-3</v>
      </c>
      <c r="BC81" s="25">
        <v>1.0891344853311138E-2</v>
      </c>
      <c r="BD81" s="26">
        <v>9.4284078731000451E-3</v>
      </c>
      <c r="BE81" s="24">
        <v>3.4410660475014697E-2</v>
      </c>
      <c r="BF81" s="25">
        <v>0.18163359490734082</v>
      </c>
      <c r="BG81" s="26">
        <v>2.2017315676847293E-2</v>
      </c>
      <c r="BH81" s="24">
        <v>0.22702112158582793</v>
      </c>
      <c r="BI81" s="25">
        <v>0.3009318153319353</v>
      </c>
      <c r="BJ81" s="26">
        <v>0.41415537914778783</v>
      </c>
      <c r="BK81" s="24">
        <v>0.82238</v>
      </c>
      <c r="BL81" s="25">
        <v>0.77014000000000005</v>
      </c>
      <c r="BM81" s="26">
        <v>0.79630000000000001</v>
      </c>
    </row>
    <row r="82" spans="1:65" x14ac:dyDescent="0.2">
      <c r="A82" s="22">
        <v>5806</v>
      </c>
      <c r="B82" s="23" t="s">
        <v>99</v>
      </c>
      <c r="C82" s="24">
        <v>8.961182051192837E-2</v>
      </c>
      <c r="D82" s="25">
        <v>0.11954115534998067</v>
      </c>
      <c r="E82" s="26">
        <v>0.13419446123115114</v>
      </c>
      <c r="F82" s="24">
        <v>0.30173053980684134</v>
      </c>
      <c r="G82" s="25">
        <v>0.38045740147068619</v>
      </c>
      <c r="H82" s="26">
        <v>0.85652847245720387</v>
      </c>
      <c r="I82" s="24">
        <v>-1.774023945660284E-2</v>
      </c>
      <c r="J82" s="25">
        <v>-3.7846744168234324E-2</v>
      </c>
      <c r="K82" s="26">
        <v>0.13428492851275409</v>
      </c>
      <c r="L82" s="24">
        <v>0.11353586110603343</v>
      </c>
      <c r="M82" s="25">
        <v>0.12435556031565982</v>
      </c>
      <c r="N82" s="26">
        <v>8.1792318634423891E-2</v>
      </c>
      <c r="O82" s="27">
        <v>92</v>
      </c>
      <c r="P82" s="28">
        <v>81</v>
      </c>
      <c r="Q82" s="29">
        <v>70</v>
      </c>
      <c r="R82" s="24">
        <v>0</v>
      </c>
      <c r="S82" s="25">
        <v>0</v>
      </c>
      <c r="T82" s="26">
        <v>0</v>
      </c>
      <c r="U82" s="27">
        <v>65.19587628865979</v>
      </c>
      <c r="V82" s="28">
        <v>65.19587628865979</v>
      </c>
      <c r="W82" s="29">
        <v>64.144329896907223</v>
      </c>
      <c r="X82" s="24">
        <v>0.60526799997524172</v>
      </c>
      <c r="Y82" s="25">
        <v>0.58231913572000005</v>
      </c>
      <c r="Z82" s="26">
        <v>0.78145354015357094</v>
      </c>
      <c r="AA82" s="24">
        <v>0.19147512289580382</v>
      </c>
      <c r="AB82" s="25">
        <v>0.19317091267938191</v>
      </c>
      <c r="AC82" s="26">
        <v>1.0050391773711972E-2</v>
      </c>
      <c r="AD82" s="27">
        <v>463596</v>
      </c>
      <c r="AE82" s="28">
        <v>1279810</v>
      </c>
      <c r="AF82" s="29">
        <v>741674</v>
      </c>
      <c r="AG82" s="27">
        <v>5331549</v>
      </c>
      <c r="AH82" s="28">
        <v>11272458</v>
      </c>
      <c r="AI82" s="29">
        <v>4792052</v>
      </c>
      <c r="AJ82" s="27">
        <v>-91777</v>
      </c>
      <c r="AK82" s="28">
        <v>-405188</v>
      </c>
      <c r="AL82" s="29">
        <v>742174</v>
      </c>
      <c r="AM82" s="30">
        <v>1676948</v>
      </c>
      <c r="AN82" s="30">
        <v>1330457</v>
      </c>
      <c r="AO82" s="30">
        <v>2040264</v>
      </c>
      <c r="AP82" s="27">
        <v>291920</v>
      </c>
      <c r="AQ82" s="28">
        <v>255440</v>
      </c>
      <c r="AR82" s="29">
        <v>218960</v>
      </c>
      <c r="AS82" s="27">
        <v>0</v>
      </c>
      <c r="AT82" s="28">
        <v>0</v>
      </c>
      <c r="AU82" s="29">
        <v>0</v>
      </c>
      <c r="AV82" s="27">
        <v>35605.370000000112</v>
      </c>
      <c r="AW82" s="28">
        <v>72655.160000000018</v>
      </c>
      <c r="AX82" s="29">
        <v>54818.159999999916</v>
      </c>
      <c r="AY82" s="27">
        <v>1525385.95</v>
      </c>
      <c r="AZ82" s="28">
        <v>678860.33999999985</v>
      </c>
      <c r="BA82" s="29">
        <v>4258992.9099999992</v>
      </c>
      <c r="BB82" s="24">
        <v>0</v>
      </c>
      <c r="BC82" s="25">
        <v>0</v>
      </c>
      <c r="BD82" s="26">
        <v>0</v>
      </c>
      <c r="BE82" s="24">
        <v>2.906996747185689E-3</v>
      </c>
      <c r="BF82" s="25">
        <v>7.4925917297768291E-3</v>
      </c>
      <c r="BG82" s="26">
        <v>4.3412515657579465E-3</v>
      </c>
      <c r="BH82" s="24">
        <v>0.12453997795424505</v>
      </c>
      <c r="BI82" s="25">
        <v>7.0007737498031575E-2</v>
      </c>
      <c r="BJ82" s="26">
        <v>0.33728530178848615</v>
      </c>
      <c r="BK82" s="24">
        <v>0.55227000000000004</v>
      </c>
      <c r="BL82" s="25">
        <v>0.64093</v>
      </c>
      <c r="BM82" s="26">
        <v>0.59660000000000002</v>
      </c>
    </row>
    <row r="83" spans="1:65" x14ac:dyDescent="0.2">
      <c r="A83" s="22">
        <v>5807</v>
      </c>
      <c r="B83" s="23" t="s">
        <v>100</v>
      </c>
      <c r="C83" s="24">
        <v>0.11508464433553084</v>
      </c>
      <c r="D83" s="25">
        <v>0.16098099730635462</v>
      </c>
      <c r="E83" s="26">
        <v>0.12429007895298416</v>
      </c>
      <c r="F83" s="24">
        <v>0.49235164679159571</v>
      </c>
      <c r="G83" s="25">
        <v>0.48507143947222159</v>
      </c>
      <c r="H83" s="26">
        <v>0.57330139272084457</v>
      </c>
      <c r="I83" s="24">
        <v>5.3307114087064338E-2</v>
      </c>
      <c r="J83" s="25">
        <v>-2.8648482750192873E-2</v>
      </c>
      <c r="K83" s="26">
        <v>0.11776055677480816</v>
      </c>
      <c r="L83" s="24">
        <v>9.3693515679784345E-2</v>
      </c>
      <c r="M83" s="25">
        <v>0.17651164155599355</v>
      </c>
      <c r="N83" s="26">
        <v>5.6142293284698892E-2</v>
      </c>
      <c r="O83" s="27">
        <v>46</v>
      </c>
      <c r="P83" s="28">
        <v>95</v>
      </c>
      <c r="Q83" s="29">
        <v>31</v>
      </c>
      <c r="R83" s="24">
        <v>0</v>
      </c>
      <c r="S83" s="25">
        <v>2.3319540742371327E-2</v>
      </c>
      <c r="T83" s="26">
        <v>2.2675233400817254E-2</v>
      </c>
      <c r="U83" s="27">
        <v>115.87378640776699</v>
      </c>
      <c r="V83" s="28">
        <v>115.87378640776699</v>
      </c>
      <c r="W83" s="29">
        <v>115.66019417475728</v>
      </c>
      <c r="X83" s="24">
        <v>0.72603591777618925</v>
      </c>
      <c r="Y83" s="25">
        <v>0.63822931424664064</v>
      </c>
      <c r="Z83" s="26">
        <v>0.75044480395452062</v>
      </c>
      <c r="AA83" s="24">
        <v>2.5208940474271493E-2</v>
      </c>
      <c r="AB83" s="25">
        <v>0.13926750099291677</v>
      </c>
      <c r="AC83" s="26">
        <v>1.5566226028317897E-2</v>
      </c>
      <c r="AD83" s="27">
        <v>1442740</v>
      </c>
      <c r="AE83" s="28">
        <v>4357697</v>
      </c>
      <c r="AF83" s="29">
        <v>1735068</v>
      </c>
      <c r="AG83" s="27">
        <v>11588468</v>
      </c>
      <c r="AH83" s="28">
        <v>26794794</v>
      </c>
      <c r="AI83" s="29">
        <v>12811262</v>
      </c>
      <c r="AJ83" s="27">
        <v>668276</v>
      </c>
      <c r="AK83" s="28">
        <v>-775504</v>
      </c>
      <c r="AL83" s="29">
        <v>1643917</v>
      </c>
      <c r="AM83" s="30">
        <v>2324147</v>
      </c>
      <c r="AN83" s="30">
        <v>1455062</v>
      </c>
      <c r="AO83" s="30">
        <v>2321311</v>
      </c>
      <c r="AP83" s="27">
        <v>543397</v>
      </c>
      <c r="AQ83" s="28">
        <v>1133822</v>
      </c>
      <c r="AR83" s="29">
        <v>370877</v>
      </c>
      <c r="AS83" s="27">
        <v>0</v>
      </c>
      <c r="AT83" s="28">
        <v>149793</v>
      </c>
      <c r="AU83" s="29">
        <v>149793</v>
      </c>
      <c r="AV83" s="27">
        <v>436006.24999999965</v>
      </c>
      <c r="AW83" s="28">
        <v>3650911.1400000006</v>
      </c>
      <c r="AX83" s="29">
        <v>320502.09000000032</v>
      </c>
      <c r="AY83" s="27">
        <v>6770230</v>
      </c>
      <c r="AZ83" s="28">
        <v>8105465.4100000001</v>
      </c>
      <c r="BA83" s="29">
        <v>16458822.4</v>
      </c>
      <c r="BB83" s="24">
        <v>0</v>
      </c>
      <c r="BC83" s="25">
        <v>5.5903769963672797E-3</v>
      </c>
      <c r="BD83" s="26">
        <v>5.5306275953258179E-3</v>
      </c>
      <c r="BE83" s="24">
        <v>1.794904068692792E-2</v>
      </c>
      <c r="BF83" s="25">
        <v>0.16292295355132491</v>
      </c>
      <c r="BG83" s="26">
        <v>1.1833514939373672E-2</v>
      </c>
      <c r="BH83" s="24">
        <v>0.27870961420819107</v>
      </c>
      <c r="BI83" s="25">
        <v>0.36170871156981937</v>
      </c>
      <c r="BJ83" s="26">
        <v>0.60768939371003128</v>
      </c>
      <c r="BK83" s="24">
        <v>0.84321999999999997</v>
      </c>
      <c r="BL83" s="25">
        <v>0.75097999999999998</v>
      </c>
      <c r="BM83" s="26">
        <v>0.79710000000000003</v>
      </c>
    </row>
    <row r="84" spans="1:65" x14ac:dyDescent="0.2">
      <c r="A84" s="22">
        <v>5808</v>
      </c>
      <c r="B84" s="23" t="s">
        <v>101</v>
      </c>
      <c r="C84" s="24">
        <v>0.27413542179497147</v>
      </c>
      <c r="D84" s="25">
        <v>0.20862802015773393</v>
      </c>
      <c r="E84" s="26">
        <v>0.31690215632995261</v>
      </c>
      <c r="F84" s="24">
        <v>0.54531202069745821</v>
      </c>
      <c r="G84" s="25">
        <v>0.28844967880260586</v>
      </c>
      <c r="H84" s="26">
        <v>1.0203290947141079</v>
      </c>
      <c r="I84" s="24">
        <v>-4.2770601749885555E-2</v>
      </c>
      <c r="J84" s="25">
        <v>-6.5466370501201146E-2</v>
      </c>
      <c r="K84" s="26">
        <v>0.13143056020742841</v>
      </c>
      <c r="L84" s="24">
        <v>0.17988090409254143</v>
      </c>
      <c r="M84" s="25">
        <v>0.17419560655892302</v>
      </c>
      <c r="N84" s="26">
        <v>4.0655258853970228E-2</v>
      </c>
      <c r="O84" s="27">
        <v>220</v>
      </c>
      <c r="P84" s="28">
        <v>185</v>
      </c>
      <c r="Q84" s="29">
        <v>52</v>
      </c>
      <c r="R84" s="24">
        <v>5.2604161136253109E-2</v>
      </c>
      <c r="S84" s="25">
        <v>9.3100546969857714E-2</v>
      </c>
      <c r="T84" s="26">
        <v>0.19620172377161096</v>
      </c>
      <c r="U84" s="27">
        <v>83.565217391304344</v>
      </c>
      <c r="V84" s="28">
        <v>83.565217391304344</v>
      </c>
      <c r="W84" s="29">
        <v>81.956521739130437</v>
      </c>
      <c r="X84" s="24">
        <v>0.558451040427698</v>
      </c>
      <c r="Y84" s="25">
        <v>0.37617895435675397</v>
      </c>
      <c r="Z84" s="26">
        <v>0.70082680355312232</v>
      </c>
      <c r="AA84" s="24">
        <v>0.16048834728691946</v>
      </c>
      <c r="AB84" s="25">
        <v>0.44277329333617133</v>
      </c>
      <c r="AC84" s="26">
        <v>1.7690591681571131E-2</v>
      </c>
      <c r="AD84" s="27">
        <v>1523478</v>
      </c>
      <c r="AE84" s="28">
        <v>3530888</v>
      </c>
      <c r="AF84" s="29">
        <v>2056007</v>
      </c>
      <c r="AG84" s="27">
        <v>5963461</v>
      </c>
      <c r="AH84" s="28">
        <v>19022683</v>
      </c>
      <c r="AI84" s="29">
        <v>5611853</v>
      </c>
      <c r="AJ84" s="27">
        <v>-237693</v>
      </c>
      <c r="AK84" s="28">
        <v>-1107974</v>
      </c>
      <c r="AL84" s="29">
        <v>852699</v>
      </c>
      <c r="AM84" s="30">
        <v>1256395</v>
      </c>
      <c r="AN84" s="30">
        <v>327603</v>
      </c>
      <c r="AO84" s="30">
        <v>637868</v>
      </c>
      <c r="AP84" s="27">
        <v>847025</v>
      </c>
      <c r="AQ84" s="28">
        <v>709305</v>
      </c>
      <c r="AR84" s="29">
        <v>197473</v>
      </c>
      <c r="AS84" s="27">
        <v>247703</v>
      </c>
      <c r="AT84" s="28">
        <v>379095</v>
      </c>
      <c r="AU84" s="29">
        <v>953002</v>
      </c>
      <c r="AV84" s="27">
        <v>1168438.8899999997</v>
      </c>
      <c r="AW84" s="28">
        <v>1257899.9100000004</v>
      </c>
      <c r="AX84" s="29">
        <v>1462604.0300000003</v>
      </c>
      <c r="AY84" s="27">
        <v>10248663.550000001</v>
      </c>
      <c r="AZ84" s="28">
        <v>6997989.8100000005</v>
      </c>
      <c r="BA84" s="29">
        <v>14793849.82</v>
      </c>
      <c r="BB84" s="24">
        <v>1.7571035566267823E-2</v>
      </c>
      <c r="BC84" s="25">
        <v>1.9928576846914813E-2</v>
      </c>
      <c r="BD84" s="26">
        <v>7.5911795935501389E-2</v>
      </c>
      <c r="BE84" s="24">
        <v>8.2884265807037019E-2</v>
      </c>
      <c r="BF84" s="25">
        <v>9.6978876119672847E-2</v>
      </c>
      <c r="BG84" s="26">
        <v>0.11650437109240272</v>
      </c>
      <c r="BH84" s="24">
        <v>0.72699818631087498</v>
      </c>
      <c r="BI84" s="25">
        <v>0.53951604692516653</v>
      </c>
      <c r="BJ84" s="26">
        <v>1.1784106524816256</v>
      </c>
      <c r="BK84" s="24">
        <v>0.81620999999999999</v>
      </c>
      <c r="BL84" s="25">
        <v>0.78019000000000005</v>
      </c>
      <c r="BM84" s="26">
        <v>0.79820000000000002</v>
      </c>
    </row>
    <row r="85" spans="1:65" x14ac:dyDescent="0.2">
      <c r="A85" s="22">
        <v>5901</v>
      </c>
      <c r="B85" s="23" t="s">
        <v>102</v>
      </c>
      <c r="C85" s="24">
        <v>0.12557773568253103</v>
      </c>
      <c r="D85" s="25">
        <v>0.10983864281081483</v>
      </c>
      <c r="E85" s="26">
        <v>0.12532283964232965</v>
      </c>
      <c r="F85" s="24">
        <v>0.62859929455469499</v>
      </c>
      <c r="G85" s="25">
        <v>0.27550317724274775</v>
      </c>
      <c r="H85" s="26">
        <v>0.6606208252230048</v>
      </c>
      <c r="I85" s="24">
        <v>0.17348434633462653</v>
      </c>
      <c r="J85" s="25">
        <v>-0.11733968863812189</v>
      </c>
      <c r="K85" s="26">
        <v>0.16861836379875841</v>
      </c>
      <c r="L85" s="24">
        <v>0</v>
      </c>
      <c r="M85" s="25">
        <v>0</v>
      </c>
      <c r="N85" s="26">
        <v>0</v>
      </c>
      <c r="O85" s="27">
        <v>0</v>
      </c>
      <c r="P85" s="28">
        <v>0</v>
      </c>
      <c r="Q85" s="29">
        <v>0</v>
      </c>
      <c r="R85" s="24">
        <v>0</v>
      </c>
      <c r="S85" s="25">
        <v>0</v>
      </c>
      <c r="T85" s="26">
        <v>0</v>
      </c>
      <c r="U85" s="27">
        <v>95.040322580645167</v>
      </c>
      <c r="V85" s="28">
        <v>95.040322580645167</v>
      </c>
      <c r="W85" s="29">
        <v>87.29710144927536</v>
      </c>
      <c r="X85" s="24">
        <v>0.66783329550490145</v>
      </c>
      <c r="Y85" s="25">
        <v>0.56082871949185342</v>
      </c>
      <c r="Z85" s="26">
        <v>0.73689403656288521</v>
      </c>
      <c r="AA85" s="24">
        <v>7.6280060093166027E-2</v>
      </c>
      <c r="AB85" s="25">
        <v>0.15664094665021472</v>
      </c>
      <c r="AC85" s="26">
        <v>4.7533565770049545E-2</v>
      </c>
      <c r="AD85" s="27">
        <v>1396659</v>
      </c>
      <c r="AE85" s="28">
        <v>2572077</v>
      </c>
      <c r="AF85" s="29">
        <v>1509619</v>
      </c>
      <c r="AG85" s="27">
        <v>9252300</v>
      </c>
      <c r="AH85" s="28">
        <v>26213695</v>
      </c>
      <c r="AI85" s="29">
        <v>9586552</v>
      </c>
      <c r="AJ85" s="27">
        <v>1929470</v>
      </c>
      <c r="AK85" s="28">
        <v>-2747728</v>
      </c>
      <c r="AL85" s="29">
        <v>2031150</v>
      </c>
      <c r="AM85" s="30">
        <v>8878282</v>
      </c>
      <c r="AN85" s="30">
        <v>4128456</v>
      </c>
      <c r="AO85" s="30">
        <v>6134718</v>
      </c>
      <c r="AP85" s="27">
        <v>0</v>
      </c>
      <c r="AQ85" s="28">
        <v>0</v>
      </c>
      <c r="AR85" s="29">
        <v>0</v>
      </c>
      <c r="AS85" s="27">
        <v>0</v>
      </c>
      <c r="AT85" s="28">
        <v>0</v>
      </c>
      <c r="AU85" s="29">
        <v>0</v>
      </c>
      <c r="AV85" s="27">
        <v>317764.92999999993</v>
      </c>
      <c r="AW85" s="28">
        <v>207648.30000000208</v>
      </c>
      <c r="AX85" s="29">
        <v>296274.11999999976</v>
      </c>
      <c r="AY85" s="27">
        <v>15963039.760000002</v>
      </c>
      <c r="AZ85" s="28">
        <v>11880262.67</v>
      </c>
      <c r="BA85" s="29">
        <v>14934042.169999998</v>
      </c>
      <c r="BB85" s="24">
        <v>0</v>
      </c>
      <c r="BC85" s="25">
        <v>0</v>
      </c>
      <c r="BD85" s="26">
        <v>0</v>
      </c>
      <c r="BE85" s="24">
        <v>1.1480043527823046E-2</v>
      </c>
      <c r="BF85" s="25">
        <v>1.0833901598254984E-2</v>
      </c>
      <c r="BG85" s="26">
        <v>1.0959293451115145E-2</v>
      </c>
      <c r="BH85" s="24">
        <v>0.57670426777797668</v>
      </c>
      <c r="BI85" s="25">
        <v>0.61984421123698452</v>
      </c>
      <c r="BJ85" s="26">
        <v>0.55241595368626373</v>
      </c>
      <c r="BK85" s="24">
        <v>0.87224999999999997</v>
      </c>
      <c r="BL85" s="25">
        <v>0.83645000000000003</v>
      </c>
      <c r="BM85" s="26">
        <v>0.85440000000000005</v>
      </c>
    </row>
    <row r="86" spans="1:65" x14ac:dyDescent="0.2">
      <c r="A86" s="22">
        <v>5902</v>
      </c>
      <c r="B86" s="23" t="s">
        <v>103</v>
      </c>
      <c r="C86" s="24">
        <v>0.15869043658082063</v>
      </c>
      <c r="D86" s="25">
        <v>0.11248457039626331</v>
      </c>
      <c r="E86" s="26">
        <v>0.14504118223028178</v>
      </c>
      <c r="F86" s="24">
        <v>0.62940123687150884</v>
      </c>
      <c r="G86" s="25">
        <v>0.2477056818872998</v>
      </c>
      <c r="H86" s="26">
        <v>0.45335119288637116</v>
      </c>
      <c r="I86" s="24">
        <v>0.2151314248371084</v>
      </c>
      <c r="J86" s="25">
        <v>6.6494325846650576E-2</v>
      </c>
      <c r="K86" s="26">
        <v>6.3396885001948775E-2</v>
      </c>
      <c r="L86" s="24">
        <v>0</v>
      </c>
      <c r="M86" s="25">
        <v>0</v>
      </c>
      <c r="N86" s="26">
        <v>0</v>
      </c>
      <c r="O86" s="27">
        <v>0</v>
      </c>
      <c r="P86" s="28">
        <v>0</v>
      </c>
      <c r="Q86" s="29">
        <v>0</v>
      </c>
      <c r="R86" s="24">
        <v>0</v>
      </c>
      <c r="S86" s="25">
        <v>0</v>
      </c>
      <c r="T86" s="26">
        <v>0</v>
      </c>
      <c r="U86" s="27">
        <v>105.20238095238095</v>
      </c>
      <c r="V86" s="28">
        <v>99.292134831460672</v>
      </c>
      <c r="W86" s="29">
        <v>102.29545454545455</v>
      </c>
      <c r="X86" s="24">
        <v>0.64912529826854115</v>
      </c>
      <c r="Y86" s="25">
        <v>0.47611570037532591</v>
      </c>
      <c r="Z86" s="26">
        <v>0.59134368040329399</v>
      </c>
      <c r="AA86" s="24">
        <v>0.1627165101222886</v>
      </c>
      <c r="AB86" s="25">
        <v>0.35161939374412315</v>
      </c>
      <c r="AC86" s="26">
        <v>0.22849099444033877</v>
      </c>
      <c r="AD86" s="27">
        <v>1701748</v>
      </c>
      <c r="AE86" s="28">
        <v>2919990</v>
      </c>
      <c r="AF86" s="29">
        <v>1417456</v>
      </c>
      <c r="AG86" s="27">
        <v>8359078</v>
      </c>
      <c r="AH86" s="28">
        <v>23960510</v>
      </c>
      <c r="AI86" s="29">
        <v>8978065</v>
      </c>
      <c r="AJ86" s="27">
        <v>2307004</v>
      </c>
      <c r="AK86" s="28">
        <v>1726128</v>
      </c>
      <c r="AL86" s="29">
        <v>619564</v>
      </c>
      <c r="AM86" s="30">
        <v>6711165</v>
      </c>
      <c r="AN86" s="30">
        <v>6130289</v>
      </c>
      <c r="AO86" s="30">
        <v>6713684</v>
      </c>
      <c r="AP86" s="27">
        <v>0</v>
      </c>
      <c r="AQ86" s="28">
        <v>0</v>
      </c>
      <c r="AR86" s="29">
        <v>0</v>
      </c>
      <c r="AS86" s="27">
        <v>0</v>
      </c>
      <c r="AT86" s="28">
        <v>0</v>
      </c>
      <c r="AU86" s="29">
        <v>0</v>
      </c>
      <c r="AV86" s="27">
        <v>502408.41999999993</v>
      </c>
      <c r="AW86" s="28">
        <v>1775018.16</v>
      </c>
      <c r="AX86" s="29">
        <v>1587833.2700000003</v>
      </c>
      <c r="AY86" s="27">
        <v>10934033.460000001</v>
      </c>
      <c r="AZ86" s="28">
        <v>8937725.0700000022</v>
      </c>
      <c r="BA86" s="29">
        <v>7325078.5600000005</v>
      </c>
      <c r="BB86" s="24">
        <v>0</v>
      </c>
      <c r="BC86" s="25">
        <v>0</v>
      </c>
      <c r="BD86" s="26">
        <v>0</v>
      </c>
      <c r="BE86" s="24">
        <v>2.4826566313147686E-2</v>
      </c>
      <c r="BF86" s="25">
        <v>0.10617006619740575</v>
      </c>
      <c r="BG86" s="26">
        <v>6.4119477872116276E-2</v>
      </c>
      <c r="BH86" s="24">
        <v>0.54030644383879101</v>
      </c>
      <c r="BI86" s="25">
        <v>0.53459670651263269</v>
      </c>
      <c r="BJ86" s="26">
        <v>0.29579945294850341</v>
      </c>
      <c r="BK86" s="24">
        <v>0.89949999999999997</v>
      </c>
      <c r="BL86" s="25">
        <v>0.78812000000000004</v>
      </c>
      <c r="BM86" s="26">
        <v>0.84379999999999999</v>
      </c>
    </row>
    <row r="87" spans="1:65" x14ac:dyDescent="0.2">
      <c r="A87" s="22">
        <v>5903</v>
      </c>
      <c r="B87" s="23" t="s">
        <v>104</v>
      </c>
      <c r="C87" s="24">
        <v>9.4969132828094771E-2</v>
      </c>
      <c r="D87" s="25">
        <v>8.8846045846136312E-2</v>
      </c>
      <c r="E87" s="26">
        <v>0.10561809757429291</v>
      </c>
      <c r="F87" s="24">
        <v>0.27842216908935125</v>
      </c>
      <c r="G87" s="25">
        <v>0.21003228819848632</v>
      </c>
      <c r="H87" s="26">
        <v>0.58135508792428059</v>
      </c>
      <c r="I87" s="24">
        <v>-7.7334638318225207E-2</v>
      </c>
      <c r="J87" s="25">
        <v>-0.18904220377773234</v>
      </c>
      <c r="K87" s="26">
        <v>0.11123083795924783</v>
      </c>
      <c r="L87" s="24">
        <v>0.21904209265911392</v>
      </c>
      <c r="M87" s="25">
        <v>0.43565489002079305</v>
      </c>
      <c r="N87" s="26">
        <v>0.40205057016250778</v>
      </c>
      <c r="O87" s="27">
        <v>34</v>
      </c>
      <c r="P87" s="28">
        <v>137</v>
      </c>
      <c r="Q87" s="29">
        <v>127</v>
      </c>
      <c r="R87" s="24">
        <v>0.19952780080439655</v>
      </c>
      <c r="S87" s="25">
        <v>0.11841345193979265</v>
      </c>
      <c r="T87" s="26">
        <v>0.34861589106688612</v>
      </c>
      <c r="U87" s="27">
        <v>123.1</v>
      </c>
      <c r="V87" s="28">
        <v>123.1</v>
      </c>
      <c r="W87" s="29">
        <v>201.82075471698113</v>
      </c>
      <c r="X87" s="24">
        <v>0.57787370514926839</v>
      </c>
      <c r="Y87" s="25">
        <v>0.52161135730005759</v>
      </c>
      <c r="Z87" s="26">
        <v>0.73515426098917758</v>
      </c>
      <c r="AA87" s="24">
        <v>0.15077060115109273</v>
      </c>
      <c r="AB87" s="25">
        <v>0.1562798339848657</v>
      </c>
      <c r="AC87" s="26">
        <v>8.4585166952733146E-2</v>
      </c>
      <c r="AD87" s="27">
        <v>1628976</v>
      </c>
      <c r="AE87" s="28">
        <v>3314324</v>
      </c>
      <c r="AF87" s="29">
        <v>2093755</v>
      </c>
      <c r="AG87" s="27">
        <v>18662962</v>
      </c>
      <c r="AH87" s="28">
        <v>44580032</v>
      </c>
      <c r="AI87" s="29">
        <v>17007119</v>
      </c>
      <c r="AJ87" s="27">
        <v>-1326497</v>
      </c>
      <c r="AK87" s="28">
        <v>-7052054</v>
      </c>
      <c r="AL87" s="29">
        <v>2205021</v>
      </c>
      <c r="AM87" s="30">
        <v>5352494</v>
      </c>
      <c r="AN87" s="30">
        <v>1759822</v>
      </c>
      <c r="AO87" s="30">
        <v>3863761</v>
      </c>
      <c r="AP87" s="27">
        <v>713442</v>
      </c>
      <c r="AQ87" s="28">
        <v>2862873</v>
      </c>
      <c r="AR87" s="29">
        <v>2713773</v>
      </c>
      <c r="AS87" s="27">
        <v>649882</v>
      </c>
      <c r="AT87" s="28">
        <v>778145</v>
      </c>
      <c r="AU87" s="29">
        <v>2353098</v>
      </c>
      <c r="AV87" s="27">
        <v>2307708.34</v>
      </c>
      <c r="AW87" s="28">
        <v>2537417.9600000018</v>
      </c>
      <c r="AX87" s="29">
        <v>4088836.25</v>
      </c>
      <c r="AY87" s="27">
        <v>14489927.66</v>
      </c>
      <c r="AZ87" s="28">
        <v>13108667.82</v>
      </c>
      <c r="BA87" s="29">
        <v>9364540.1600000001</v>
      </c>
      <c r="BB87" s="24">
        <v>2.2535666653755431E-2</v>
      </c>
      <c r="BC87" s="25">
        <v>1.7455012145347944E-2</v>
      </c>
      <c r="BD87" s="26">
        <v>6.6562373927826088E-2</v>
      </c>
      <c r="BE87" s="24">
        <v>8.0023367141006052E-2</v>
      </c>
      <c r="BF87" s="25">
        <v>7.4489398223334502E-2</v>
      </c>
      <c r="BG87" s="26">
        <v>0.1156614163125166</v>
      </c>
      <c r="BH87" s="24">
        <v>0.50246072299708322</v>
      </c>
      <c r="BI87" s="25">
        <v>0.38482299440388196</v>
      </c>
      <c r="BJ87" s="26">
        <v>0.26489590479957242</v>
      </c>
      <c r="BK87" s="24">
        <v>0.80908999999999998</v>
      </c>
      <c r="BL87" s="25">
        <v>0.77639000000000002</v>
      </c>
      <c r="BM87" s="26">
        <v>0.79269999999999996</v>
      </c>
    </row>
    <row r="88" spans="1:65" x14ac:dyDescent="0.2">
      <c r="A88" s="22">
        <v>5904</v>
      </c>
      <c r="B88" s="23" t="s">
        <v>105</v>
      </c>
      <c r="C88" s="24">
        <v>0.29444270655818011</v>
      </c>
      <c r="D88" s="25">
        <v>0.34914844629347808</v>
      </c>
      <c r="E88" s="26">
        <v>0.30530249319100872</v>
      </c>
      <c r="F88" s="24">
        <v>1.4076418195098199</v>
      </c>
      <c r="G88" s="25">
        <v>0.89433230019728871</v>
      </c>
      <c r="H88" s="26">
        <v>1.5428527782796606</v>
      </c>
      <c r="I88" s="24">
        <v>0.32219537092455591</v>
      </c>
      <c r="J88" s="25">
        <v>7.741823486225724E-2</v>
      </c>
      <c r="K88" s="26">
        <v>0.32075207957844165</v>
      </c>
      <c r="L88" s="24">
        <v>0</v>
      </c>
      <c r="M88" s="25">
        <v>0</v>
      </c>
      <c r="N88" s="26">
        <v>0</v>
      </c>
      <c r="O88" s="27">
        <v>0</v>
      </c>
      <c r="P88" s="28">
        <v>0</v>
      </c>
      <c r="Q88" s="29">
        <v>0</v>
      </c>
      <c r="R88" s="24">
        <v>0</v>
      </c>
      <c r="S88" s="25">
        <v>0</v>
      </c>
      <c r="T88" s="26">
        <v>0</v>
      </c>
      <c r="U88" s="27">
        <v>222.58227848101265</v>
      </c>
      <c r="V88" s="28">
        <v>214.4390243902439</v>
      </c>
      <c r="W88" s="29">
        <v>227.84810126582278</v>
      </c>
      <c r="X88" s="24">
        <v>0.66698992504914612</v>
      </c>
      <c r="Y88" s="25">
        <v>0.54400529975095724</v>
      </c>
      <c r="Z88" s="26">
        <v>0.67975886456370771</v>
      </c>
      <c r="AA88" s="24">
        <v>5.9754738361293178E-2</v>
      </c>
      <c r="AB88" s="25">
        <v>0.14472303709355167</v>
      </c>
      <c r="AC88" s="26">
        <v>3.7247530888837151E-2</v>
      </c>
      <c r="AD88" s="27">
        <v>6937985</v>
      </c>
      <c r="AE88" s="28">
        <v>18195924</v>
      </c>
      <c r="AF88" s="29">
        <v>7847571</v>
      </c>
      <c r="AG88" s="27">
        <v>15479877</v>
      </c>
      <c r="AH88" s="28">
        <v>47821115</v>
      </c>
      <c r="AI88" s="29">
        <v>17261171</v>
      </c>
      <c r="AJ88" s="27">
        <v>7591924</v>
      </c>
      <c r="AK88" s="28">
        <v>4034663</v>
      </c>
      <c r="AL88" s="29">
        <v>8244691</v>
      </c>
      <c r="AM88" s="30">
        <v>17344676</v>
      </c>
      <c r="AN88" s="30">
        <v>13835926</v>
      </c>
      <c r="AO88" s="30">
        <v>22131982</v>
      </c>
      <c r="AP88" s="27">
        <v>0</v>
      </c>
      <c r="AQ88" s="28">
        <v>0</v>
      </c>
      <c r="AR88" s="29">
        <v>0</v>
      </c>
      <c r="AS88" s="27">
        <v>0</v>
      </c>
      <c r="AT88" s="28">
        <v>0</v>
      </c>
      <c r="AU88" s="29">
        <v>0</v>
      </c>
      <c r="AV88" s="27">
        <v>23746.139999999898</v>
      </c>
      <c r="AW88" s="28">
        <v>520486.38999999897</v>
      </c>
      <c r="AX88" s="29">
        <v>33410.819999999832</v>
      </c>
      <c r="AY88" s="27">
        <v>9064489.5700000003</v>
      </c>
      <c r="AZ88" s="28">
        <v>13936254.52</v>
      </c>
      <c r="BA88" s="29">
        <v>21104003.890000001</v>
      </c>
      <c r="BB88" s="24">
        <v>0</v>
      </c>
      <c r="BC88" s="25">
        <v>0</v>
      </c>
      <c r="BD88" s="26">
        <v>0</v>
      </c>
      <c r="BE88" s="24">
        <v>4.2027461012264169E-4</v>
      </c>
      <c r="BF88" s="25">
        <v>1.1939248989444005E-2</v>
      </c>
      <c r="BG88" s="26">
        <v>5.4756550011636636E-4</v>
      </c>
      <c r="BH88" s="24">
        <v>0.16042922428624268</v>
      </c>
      <c r="BI88" s="25">
        <v>0.31967870032979107</v>
      </c>
      <c r="BJ88" s="26">
        <v>0.34587072225361876</v>
      </c>
      <c r="BK88" s="24">
        <v>0.95226</v>
      </c>
      <c r="BL88" s="25">
        <v>0.78849000000000002</v>
      </c>
      <c r="BM88" s="26">
        <v>0.87039999999999995</v>
      </c>
    </row>
    <row r="89" spans="1:65" x14ac:dyDescent="0.2">
      <c r="A89" s="22">
        <v>5905</v>
      </c>
      <c r="B89" s="23" t="s">
        <v>106</v>
      </c>
      <c r="C89" s="24">
        <v>0.26947018375133786</v>
      </c>
      <c r="D89" s="25">
        <v>0.20829163224393255</v>
      </c>
      <c r="E89" s="26">
        <v>0.2416782196115512</v>
      </c>
      <c r="F89" s="24">
        <v>0.87100590093212849</v>
      </c>
      <c r="G89" s="25">
        <v>0.53992138522897004</v>
      </c>
      <c r="H89" s="26">
        <v>0.98865079823638047</v>
      </c>
      <c r="I89" s="24">
        <v>-0.16367009947094302</v>
      </c>
      <c r="J89" s="25">
        <v>-1.7952777255892585E-3</v>
      </c>
      <c r="K89" s="26">
        <v>-1.4422962002950627E-2</v>
      </c>
      <c r="L89" s="24">
        <v>0.25820041022039941</v>
      </c>
      <c r="M89" s="25">
        <v>0.33823030958230699</v>
      </c>
      <c r="N89" s="26">
        <v>0.34161602146739978</v>
      </c>
      <c r="O89" s="27">
        <v>137</v>
      </c>
      <c r="P89" s="28">
        <v>198</v>
      </c>
      <c r="Q89" s="29">
        <v>191</v>
      </c>
      <c r="R89" s="24">
        <v>0.18492754910901532</v>
      </c>
      <c r="S89" s="25">
        <v>4.9892797683610164E-2</v>
      </c>
      <c r="T89" s="26">
        <v>0.10686054894113886</v>
      </c>
      <c r="U89" s="27">
        <v>315.5609756097561</v>
      </c>
      <c r="V89" s="28">
        <v>317.10784313725492</v>
      </c>
      <c r="W89" s="29">
        <v>324.80295566502463</v>
      </c>
      <c r="X89" s="24">
        <v>0.57214426516600214</v>
      </c>
      <c r="Y89" s="25">
        <v>0.52676576625603433</v>
      </c>
      <c r="Z89" s="26">
        <v>0.59542796022352584</v>
      </c>
      <c r="AA89" s="24">
        <v>3.6092375085907208E-2</v>
      </c>
      <c r="AB89" s="25">
        <v>0.11747020968535685</v>
      </c>
      <c r="AC89" s="26">
        <v>2.5280894811783989E-2</v>
      </c>
      <c r="AD89" s="27">
        <v>17340907</v>
      </c>
      <c r="AE89" s="28">
        <v>31532215</v>
      </c>
      <c r="AF89" s="29">
        <v>16854415</v>
      </c>
      <c r="AG89" s="27">
        <v>65826840</v>
      </c>
      <c r="AH89" s="28">
        <v>161099423</v>
      </c>
      <c r="AI89" s="29">
        <v>69799349</v>
      </c>
      <c r="AJ89" s="27">
        <v>-10532475</v>
      </c>
      <c r="AK89" s="28">
        <v>-271778</v>
      </c>
      <c r="AL89" s="29">
        <v>-1005844</v>
      </c>
      <c r="AM89" s="30">
        <v>11942296</v>
      </c>
      <c r="AN89" s="30">
        <v>21089992</v>
      </c>
      <c r="AO89" s="30">
        <v>19857532</v>
      </c>
      <c r="AP89" s="27">
        <v>8880595</v>
      </c>
      <c r="AQ89" s="28">
        <v>12789846</v>
      </c>
      <c r="AR89" s="29">
        <v>12579103</v>
      </c>
      <c r="AS89" s="27">
        <v>6360434</v>
      </c>
      <c r="AT89" s="28">
        <v>1886647</v>
      </c>
      <c r="AU89" s="29">
        <v>3934856</v>
      </c>
      <c r="AV89" s="27">
        <v>29184878.34</v>
      </c>
      <c r="AW89" s="28">
        <v>38948754.649999991</v>
      </c>
      <c r="AX89" s="29">
        <v>43912124.029999994</v>
      </c>
      <c r="AY89" s="27">
        <v>101214609.74000001</v>
      </c>
      <c r="AZ89" s="28">
        <v>94588016.00999999</v>
      </c>
      <c r="BA89" s="29">
        <v>92901927.770000011</v>
      </c>
      <c r="BB89" s="24">
        <v>4.4121237275412041E-2</v>
      </c>
      <c r="BC89" s="25">
        <v>1.1711072360575742E-2</v>
      </c>
      <c r="BD89" s="26">
        <v>2.55099535572193E-2</v>
      </c>
      <c r="BE89" s="24">
        <v>0.20245048405394561</v>
      </c>
      <c r="BF89" s="25">
        <v>0.33188500151879513</v>
      </c>
      <c r="BG89" s="26">
        <v>0.28468544836307946</v>
      </c>
      <c r="BH89" s="24">
        <v>0.70210834859331472</v>
      </c>
      <c r="BI89" s="25">
        <v>0.80599095193762949</v>
      </c>
      <c r="BJ89" s="26">
        <v>0.60228985832997251</v>
      </c>
      <c r="BK89" s="24">
        <v>0.85094999999999998</v>
      </c>
      <c r="BL89" s="25">
        <v>0.75509000000000004</v>
      </c>
      <c r="BM89" s="26">
        <v>0.80300000000000005</v>
      </c>
    </row>
    <row r="90" spans="1:65" x14ac:dyDescent="0.2">
      <c r="A90" s="22">
        <v>5906</v>
      </c>
      <c r="B90" s="23" t="s">
        <v>107</v>
      </c>
      <c r="C90" s="24">
        <v>0.20465594149559418</v>
      </c>
      <c r="D90" s="25">
        <v>0.18722498567705093</v>
      </c>
      <c r="E90" s="26">
        <v>0.20875420971459654</v>
      </c>
      <c r="F90" s="24">
        <v>0.75079307693590236</v>
      </c>
      <c r="G90" s="25">
        <v>0.55925927382401153</v>
      </c>
      <c r="H90" s="26">
        <v>1.3199050072806351</v>
      </c>
      <c r="I90" s="24">
        <v>0.19501737078228035</v>
      </c>
      <c r="J90" s="25">
        <v>-3.2350132875145921E-3</v>
      </c>
      <c r="K90" s="26">
        <v>0.27954980762313814</v>
      </c>
      <c r="L90" s="24">
        <v>1.2871564080587634E-2</v>
      </c>
      <c r="M90" s="25">
        <v>4.1070695342094454E-2</v>
      </c>
      <c r="N90" s="26">
        <v>0</v>
      </c>
      <c r="O90" s="27">
        <v>4</v>
      </c>
      <c r="P90" s="28">
        <v>22</v>
      </c>
      <c r="Q90" s="29">
        <v>0</v>
      </c>
      <c r="R90" s="24">
        <v>0</v>
      </c>
      <c r="S90" s="25">
        <v>0</v>
      </c>
      <c r="T90" s="26">
        <v>0</v>
      </c>
      <c r="U90" s="27">
        <v>135.78329571106096</v>
      </c>
      <c r="V90" s="28">
        <v>140.87119437939111</v>
      </c>
      <c r="W90" s="29">
        <v>142.10574712643677</v>
      </c>
      <c r="X90" s="24">
        <v>0.59264572637777169</v>
      </c>
      <c r="Y90" s="25">
        <v>0.55477956073280599</v>
      </c>
      <c r="Z90" s="26">
        <v>0.70818109060409506</v>
      </c>
      <c r="AA90" s="24">
        <v>0.14643069279602539</v>
      </c>
      <c r="AB90" s="25">
        <v>0.18988395569416741</v>
      </c>
      <c r="AC90" s="26">
        <v>4.5673776935819622E-2</v>
      </c>
      <c r="AD90" s="27">
        <v>3557401</v>
      </c>
      <c r="AE90" s="28">
        <v>6115258</v>
      </c>
      <c r="AF90" s="29">
        <v>3659335</v>
      </c>
      <c r="AG90" s="27">
        <v>13586250</v>
      </c>
      <c r="AH90" s="28">
        <v>32016823</v>
      </c>
      <c r="AI90" s="29">
        <v>13045779</v>
      </c>
      <c r="AJ90" s="27">
        <v>3389860</v>
      </c>
      <c r="AK90" s="28">
        <v>-105664</v>
      </c>
      <c r="AL90" s="29">
        <v>4900339</v>
      </c>
      <c r="AM90" s="30">
        <v>7456401</v>
      </c>
      <c r="AN90" s="30">
        <v>4359663</v>
      </c>
      <c r="AO90" s="30">
        <v>8971947</v>
      </c>
      <c r="AP90" s="27">
        <v>64652</v>
      </c>
      <c r="AQ90" s="28">
        <v>333480</v>
      </c>
      <c r="AR90" s="29">
        <v>0</v>
      </c>
      <c r="AS90" s="27">
        <v>0</v>
      </c>
      <c r="AT90" s="28">
        <v>0</v>
      </c>
      <c r="AU90" s="29">
        <v>0</v>
      </c>
      <c r="AV90" s="27">
        <v>1732961.8400000003</v>
      </c>
      <c r="AW90" s="28">
        <v>3427154.5800000015</v>
      </c>
      <c r="AX90" s="29">
        <v>3985215.78</v>
      </c>
      <c r="AY90" s="27">
        <v>12490344.91</v>
      </c>
      <c r="AZ90" s="28">
        <v>12953993.98</v>
      </c>
      <c r="BA90" s="29">
        <v>21997474.300000001</v>
      </c>
      <c r="BB90" s="24">
        <v>0</v>
      </c>
      <c r="BC90" s="25">
        <v>0</v>
      </c>
      <c r="BD90" s="26">
        <v>0</v>
      </c>
      <c r="BE90" s="24">
        <v>5.6967226851253758E-2</v>
      </c>
      <c r="BF90" s="25">
        <v>0.13184648267955065</v>
      </c>
      <c r="BG90" s="26">
        <v>0.12279506302450449</v>
      </c>
      <c r="BH90" s="24">
        <v>0.41059202546454954</v>
      </c>
      <c r="BI90" s="25">
        <v>0.49835468551146378</v>
      </c>
      <c r="BJ90" s="26">
        <v>0.67780049868426906</v>
      </c>
      <c r="BK90" s="24">
        <v>0.89873000000000003</v>
      </c>
      <c r="BL90" s="25">
        <v>0.76198999999999995</v>
      </c>
      <c r="BM90" s="26">
        <v>0.83040000000000003</v>
      </c>
    </row>
    <row r="91" spans="1:65" x14ac:dyDescent="0.2">
      <c r="A91" s="22">
        <v>5907</v>
      </c>
      <c r="B91" s="23" t="s">
        <v>108</v>
      </c>
      <c r="C91" s="24">
        <v>8.8836596474135471E-2</v>
      </c>
      <c r="D91" s="25">
        <v>9.1592851192108291E-2</v>
      </c>
      <c r="E91" s="26">
        <v>0.1112532369019842</v>
      </c>
      <c r="F91" s="24">
        <v>0.33491936401064532</v>
      </c>
      <c r="G91" s="25">
        <v>0.21114954525882751</v>
      </c>
      <c r="H91" s="26">
        <v>0.51931948924652249</v>
      </c>
      <c r="I91" s="24">
        <v>3.9109301510927931E-2</v>
      </c>
      <c r="J91" s="25">
        <v>-9.9570185267148781E-2</v>
      </c>
      <c r="K91" s="26">
        <v>7.6276647497103861E-2</v>
      </c>
      <c r="L91" s="24">
        <v>0</v>
      </c>
      <c r="M91" s="25">
        <v>0</v>
      </c>
      <c r="N91" s="26">
        <v>0</v>
      </c>
      <c r="O91" s="27">
        <v>0</v>
      </c>
      <c r="P91" s="28">
        <v>0</v>
      </c>
      <c r="Q91" s="29">
        <v>0</v>
      </c>
      <c r="R91" s="24">
        <v>0</v>
      </c>
      <c r="S91" s="25">
        <v>0</v>
      </c>
      <c r="T91" s="26">
        <v>0</v>
      </c>
      <c r="U91" s="27">
        <v>140.01818181818183</v>
      </c>
      <c r="V91" s="28">
        <v>135.10526315789474</v>
      </c>
      <c r="W91" s="29">
        <v>136.55357142857142</v>
      </c>
      <c r="X91" s="24">
        <v>0.65531513216137205</v>
      </c>
      <c r="Y91" s="25">
        <v>0.55979438277511728</v>
      </c>
      <c r="Z91" s="26">
        <v>0.70923706936403352</v>
      </c>
      <c r="AA91" s="24">
        <v>0.11103196116829361</v>
      </c>
      <c r="AB91" s="25">
        <v>0.27451565157682195</v>
      </c>
      <c r="AC91" s="26">
        <v>8.4557390798829568E-2</v>
      </c>
      <c r="AD91" s="27">
        <v>736203</v>
      </c>
      <c r="AE91" s="28">
        <v>1740375</v>
      </c>
      <c r="AF91" s="29">
        <v>1149643</v>
      </c>
      <c r="AG91" s="27">
        <v>7910443</v>
      </c>
      <c r="AH91" s="28">
        <v>20832885</v>
      </c>
      <c r="AI91" s="29">
        <v>9507247</v>
      </c>
      <c r="AJ91" s="27">
        <v>324105</v>
      </c>
      <c r="AK91" s="28">
        <v>-1891954</v>
      </c>
      <c r="AL91" s="29">
        <v>788210</v>
      </c>
      <c r="AM91" s="30">
        <v>3680921</v>
      </c>
      <c r="AN91" s="30">
        <v>1461666</v>
      </c>
      <c r="AO91" s="30">
        <v>2237128</v>
      </c>
      <c r="AP91" s="27">
        <v>0</v>
      </c>
      <c r="AQ91" s="28">
        <v>0</v>
      </c>
      <c r="AR91" s="29">
        <v>0</v>
      </c>
      <c r="AS91" s="27">
        <v>0</v>
      </c>
      <c r="AT91" s="28">
        <v>0</v>
      </c>
      <c r="AU91" s="29">
        <v>0</v>
      </c>
      <c r="AV91" s="27">
        <v>829417.37</v>
      </c>
      <c r="AW91" s="28">
        <v>1172479.1900000002</v>
      </c>
      <c r="AX91" s="29">
        <v>559268.37000000011</v>
      </c>
      <c r="AY91" s="27">
        <v>973858.99</v>
      </c>
      <c r="AZ91" s="28">
        <v>3087827.5999999996</v>
      </c>
      <c r="BA91" s="29">
        <v>2948926.16</v>
      </c>
      <c r="BB91" s="24">
        <v>0</v>
      </c>
      <c r="BC91" s="25">
        <v>0</v>
      </c>
      <c r="BD91" s="26">
        <v>0</v>
      </c>
      <c r="BE91" s="24">
        <v>4.3683459762893423E-2</v>
      </c>
      <c r="BF91" s="25">
        <v>7.4864312171525019E-2</v>
      </c>
      <c r="BG91" s="26">
        <v>2.8675163294371434E-2</v>
      </c>
      <c r="BH91" s="24">
        <v>5.1290859756647038E-2</v>
      </c>
      <c r="BI91" s="25">
        <v>0.19716178449039323</v>
      </c>
      <c r="BJ91" s="26">
        <v>0.15119921618496623</v>
      </c>
      <c r="BK91" s="24">
        <v>0.82418999999999998</v>
      </c>
      <c r="BL91" s="25">
        <v>0.79290000000000005</v>
      </c>
      <c r="BM91" s="26">
        <v>0.8085</v>
      </c>
    </row>
    <row r="92" spans="1:65" x14ac:dyDescent="0.2">
      <c r="A92" s="22">
        <v>6001</v>
      </c>
      <c r="B92" s="23" t="s">
        <v>109</v>
      </c>
      <c r="C92" s="24">
        <v>0.19522365984178749</v>
      </c>
      <c r="D92" s="25">
        <v>0.19295708818236232</v>
      </c>
      <c r="E92" s="26">
        <v>0.25301057380546893</v>
      </c>
      <c r="F92" s="24">
        <v>0.43623550366885444</v>
      </c>
      <c r="G92" s="25">
        <v>0.46704376576140411</v>
      </c>
      <c r="H92" s="26">
        <v>1.0378982593505248</v>
      </c>
      <c r="I92" s="24">
        <v>-0.10995190388989054</v>
      </c>
      <c r="J92" s="25">
        <v>6.9395212867772536E-3</v>
      </c>
      <c r="K92" s="26">
        <v>2.7161144400944592E-2</v>
      </c>
      <c r="L92" s="24">
        <v>5.5942136872918137E-2</v>
      </c>
      <c r="M92" s="25">
        <v>0.32811476212542945</v>
      </c>
      <c r="N92" s="26">
        <v>0.27579651455751236</v>
      </c>
      <c r="O92" s="27">
        <v>41</v>
      </c>
      <c r="P92" s="28">
        <v>199</v>
      </c>
      <c r="Q92" s="29">
        <v>196</v>
      </c>
      <c r="R92" s="24">
        <v>0.17631262407052253</v>
      </c>
      <c r="S92" s="25">
        <v>0.14997284202640887</v>
      </c>
      <c r="T92" s="26">
        <v>8.4906378351320866E-2</v>
      </c>
      <c r="U92" s="27">
        <v>141.67391304347825</v>
      </c>
      <c r="V92" s="28">
        <v>141.67391304347825</v>
      </c>
      <c r="W92" s="29">
        <v>137.84782608695653</v>
      </c>
      <c r="X92" s="24">
        <v>0.56641390146927684</v>
      </c>
      <c r="Y92" s="25">
        <v>0.5727965115864232</v>
      </c>
      <c r="Z92" s="26">
        <v>0.58562137781382906</v>
      </c>
      <c r="AA92" s="24">
        <v>0.16611580144318575</v>
      </c>
      <c r="AB92" s="25">
        <v>0.1524175883937961</v>
      </c>
      <c r="AC92" s="26">
        <v>0.12684252482823721</v>
      </c>
      <c r="AD92" s="27">
        <v>1464580</v>
      </c>
      <c r="AE92" s="28">
        <v>3048404</v>
      </c>
      <c r="AF92" s="29">
        <v>2309416</v>
      </c>
      <c r="AG92" s="27">
        <v>8217376</v>
      </c>
      <c r="AH92" s="28">
        <v>16677839</v>
      </c>
      <c r="AI92" s="29">
        <v>8584077</v>
      </c>
      <c r="AJ92" s="27">
        <v>-824866</v>
      </c>
      <c r="AK92" s="28">
        <v>109633</v>
      </c>
      <c r="AL92" s="29">
        <v>247920</v>
      </c>
      <c r="AM92" s="30">
        <v>2211053</v>
      </c>
      <c r="AN92" s="30">
        <v>2927126</v>
      </c>
      <c r="AO92" s="30">
        <v>3137626</v>
      </c>
      <c r="AP92" s="27">
        <v>266025</v>
      </c>
      <c r="AQ92" s="28">
        <v>1299992</v>
      </c>
      <c r="AR92" s="29">
        <v>1242992</v>
      </c>
      <c r="AS92" s="27">
        <v>838430</v>
      </c>
      <c r="AT92" s="28">
        <v>594193</v>
      </c>
      <c r="AU92" s="29">
        <v>382666</v>
      </c>
      <c r="AV92" s="27">
        <v>1018693.5800000001</v>
      </c>
      <c r="AW92" s="28">
        <v>758065.62999999989</v>
      </c>
      <c r="AX92" s="29">
        <v>429618.19999999984</v>
      </c>
      <c r="AY92" s="27">
        <v>5792549.1099999994</v>
      </c>
      <c r="AZ92" s="28">
        <v>4528434.25</v>
      </c>
      <c r="BA92" s="29">
        <v>3404150.79</v>
      </c>
      <c r="BB92" s="24">
        <v>4.7813153975030498E-2</v>
      </c>
      <c r="BC92" s="25">
        <v>3.5627697329372231E-2</v>
      </c>
      <c r="BD92" s="26">
        <v>2.151605700400604E-2</v>
      </c>
      <c r="BE92" s="24">
        <v>5.8093046520180637E-2</v>
      </c>
      <c r="BF92" s="25">
        <v>5.4663770122259571E-2</v>
      </c>
      <c r="BG92" s="26">
        <v>2.4156025571016149E-2</v>
      </c>
      <c r="BH92" s="24">
        <v>0.33033174207072247</v>
      </c>
      <c r="BI92" s="25">
        <v>0.32654334804199864</v>
      </c>
      <c r="BJ92" s="26">
        <v>0.19140425971440422</v>
      </c>
      <c r="BK92" s="24">
        <v>0.66456000000000004</v>
      </c>
      <c r="BL92" s="25">
        <v>0.73885999999999996</v>
      </c>
      <c r="BM92" s="26">
        <v>0.70169999999999999</v>
      </c>
    </row>
    <row r="93" spans="1:65" x14ac:dyDescent="0.2">
      <c r="A93" s="22">
        <v>6002</v>
      </c>
      <c r="B93" s="23" t="s">
        <v>110</v>
      </c>
      <c r="C93" s="24">
        <v>0.16335458558963997</v>
      </c>
      <c r="D93" s="25">
        <v>0.11345810291708371</v>
      </c>
      <c r="E93" s="26">
        <v>0.15479078746010494</v>
      </c>
      <c r="F93" s="24">
        <v>0.57021451734727568</v>
      </c>
      <c r="G93" s="25">
        <v>0.44662058662293902</v>
      </c>
      <c r="H93" s="26">
        <v>0.40915553904579743</v>
      </c>
      <c r="I93" s="24">
        <v>0.10854760508292008</v>
      </c>
      <c r="J93" s="25">
        <v>0.16873406423511125</v>
      </c>
      <c r="K93" s="26">
        <v>-3.1141329470954115E-2</v>
      </c>
      <c r="L93" s="24">
        <v>0</v>
      </c>
      <c r="M93" s="25">
        <v>0</v>
      </c>
      <c r="N93" s="26">
        <v>0</v>
      </c>
      <c r="O93" s="27">
        <v>0</v>
      </c>
      <c r="P93" s="28">
        <v>0</v>
      </c>
      <c r="Q93" s="29">
        <v>0</v>
      </c>
      <c r="R93" s="24">
        <v>0</v>
      </c>
      <c r="S93" s="25">
        <v>0</v>
      </c>
      <c r="T93" s="26">
        <v>0</v>
      </c>
      <c r="U93" s="27">
        <v>103.72727272727273</v>
      </c>
      <c r="V93" s="28">
        <v>103.72727272727273</v>
      </c>
      <c r="W93" s="29">
        <v>84.84615384615384</v>
      </c>
      <c r="X93" s="24">
        <v>0.76722685720740191</v>
      </c>
      <c r="Y93" s="25">
        <v>0.71177351844072501</v>
      </c>
      <c r="Z93" s="26">
        <v>0.52822888924727907</v>
      </c>
      <c r="AA93" s="24">
        <v>1.619469664216746E-2</v>
      </c>
      <c r="AB93" s="25">
        <v>9.8189627102745397E-2</v>
      </c>
      <c r="AC93" s="26">
        <v>0.31080647949984236</v>
      </c>
      <c r="AD93" s="27">
        <v>378225</v>
      </c>
      <c r="AE93" s="28">
        <v>649318</v>
      </c>
      <c r="AF93" s="29">
        <v>517682</v>
      </c>
      <c r="AG93" s="27">
        <v>2053944</v>
      </c>
      <c r="AH93" s="28">
        <v>4741896</v>
      </c>
      <c r="AI93" s="29">
        <v>3441315</v>
      </c>
      <c r="AJ93" s="27">
        <v>251327</v>
      </c>
      <c r="AK93" s="28">
        <v>965661</v>
      </c>
      <c r="AL93" s="29">
        <v>-104149</v>
      </c>
      <c r="AM93" s="30">
        <v>1202843</v>
      </c>
      <c r="AN93" s="30">
        <v>1606517</v>
      </c>
      <c r="AO93" s="30">
        <v>1522878</v>
      </c>
      <c r="AP93" s="27">
        <v>0</v>
      </c>
      <c r="AQ93" s="28">
        <v>0</v>
      </c>
      <c r="AR93" s="29">
        <v>0</v>
      </c>
      <c r="AS93" s="27">
        <v>0</v>
      </c>
      <c r="AT93" s="28">
        <v>0</v>
      </c>
      <c r="AU93" s="29">
        <v>0</v>
      </c>
      <c r="AV93" s="27">
        <v>150758.99999999985</v>
      </c>
      <c r="AW93" s="28">
        <v>272626.92999999993</v>
      </c>
      <c r="AX93" s="29">
        <v>181704.12999999998</v>
      </c>
      <c r="AY93" s="27">
        <v>26811.82</v>
      </c>
      <c r="AZ93" s="28">
        <v>44846.999999999985</v>
      </c>
      <c r="BA93" s="29">
        <v>163670.21999999997</v>
      </c>
      <c r="BB93" s="24">
        <v>0</v>
      </c>
      <c r="BC93" s="25">
        <v>0</v>
      </c>
      <c r="BD93" s="26">
        <v>0</v>
      </c>
      <c r="BE93" s="24">
        <v>2.7456999805672479E-2</v>
      </c>
      <c r="BF93" s="25">
        <v>6.6829875445437406E-2</v>
      </c>
      <c r="BG93" s="26">
        <v>2.4588986901282937E-2</v>
      </c>
      <c r="BH93" s="24">
        <v>4.8831057285450702E-3</v>
      </c>
      <c r="BI93" s="25">
        <v>1.0993482647152764E-2</v>
      </c>
      <c r="BJ93" s="26">
        <v>2.2148560386107331E-2</v>
      </c>
      <c r="BK93" s="24">
        <v>0.63219000000000003</v>
      </c>
      <c r="BL93" s="25">
        <v>0.69301000000000001</v>
      </c>
      <c r="BM93" s="26">
        <v>0.66259999999999997</v>
      </c>
    </row>
    <row r="94" spans="1:65" x14ac:dyDescent="0.2">
      <c r="A94" s="22">
        <v>6003</v>
      </c>
      <c r="B94" s="23" t="s">
        <v>111</v>
      </c>
      <c r="C94" s="24">
        <v>0.21083094868953214</v>
      </c>
      <c r="D94" s="25">
        <v>0.18437892028873692</v>
      </c>
      <c r="E94" s="26">
        <v>0.20320423352592398</v>
      </c>
      <c r="F94" s="24">
        <v>0.92995434665505827</v>
      </c>
      <c r="G94" s="25">
        <v>0.73572188881113942</v>
      </c>
      <c r="H94" s="26">
        <v>0.79785327627451486</v>
      </c>
      <c r="I94" s="24">
        <v>0.21032809622236001</v>
      </c>
      <c r="J94" s="25">
        <v>9.6340957369130051E-2</v>
      </c>
      <c r="K94" s="26">
        <v>4.6221758927296963E-2</v>
      </c>
      <c r="L94" s="24">
        <v>0.40015300032299289</v>
      </c>
      <c r="M94" s="25">
        <v>0.33194297476150064</v>
      </c>
      <c r="N94" s="26">
        <v>0.250689461506999</v>
      </c>
      <c r="O94" s="27">
        <v>157</v>
      </c>
      <c r="P94" s="28">
        <v>142</v>
      </c>
      <c r="Q94" s="29">
        <v>114</v>
      </c>
      <c r="R94" s="24">
        <v>0.23574421772528753</v>
      </c>
      <c r="S94" s="25">
        <v>0.14553281846938362</v>
      </c>
      <c r="T94" s="26">
        <v>0.11274911634891856</v>
      </c>
      <c r="U94" s="27">
        <v>259.32142857142856</v>
      </c>
      <c r="V94" s="28">
        <v>259.32142857142856</v>
      </c>
      <c r="W94" s="29">
        <v>338.96226415094338</v>
      </c>
      <c r="X94" s="24">
        <v>0.72754282738755904</v>
      </c>
      <c r="Y94" s="25">
        <v>0.67497113276329479</v>
      </c>
      <c r="Z94" s="26">
        <v>0.6824416872233996</v>
      </c>
      <c r="AA94" s="24">
        <v>3.4888685124966769E-2</v>
      </c>
      <c r="AB94" s="25">
        <v>8.0975289634103151E-2</v>
      </c>
      <c r="AC94" s="26">
        <v>9.6639474200107683E-2</v>
      </c>
      <c r="AD94" s="27">
        <v>6460112</v>
      </c>
      <c r="AE94" s="28">
        <v>12265792</v>
      </c>
      <c r="AF94" s="29">
        <v>8037613</v>
      </c>
      <c r="AG94" s="27">
        <v>30096921</v>
      </c>
      <c r="AH94" s="28">
        <v>70939419</v>
      </c>
      <c r="AI94" s="29">
        <v>37247326</v>
      </c>
      <c r="AJ94" s="27">
        <v>6444704</v>
      </c>
      <c r="AK94" s="28">
        <v>6409074</v>
      </c>
      <c r="AL94" s="29">
        <v>1828272</v>
      </c>
      <c r="AM94" s="30">
        <v>4488908</v>
      </c>
      <c r="AN94" s="30">
        <v>4193683</v>
      </c>
      <c r="AO94" s="30">
        <v>5188857</v>
      </c>
      <c r="AP94" s="27">
        <v>5698899</v>
      </c>
      <c r="AQ94" s="28">
        <v>5172200</v>
      </c>
      <c r="AR94" s="29">
        <v>4106519</v>
      </c>
      <c r="AS94" s="27">
        <v>3357422</v>
      </c>
      <c r="AT94" s="28">
        <v>2267633</v>
      </c>
      <c r="AU94" s="29">
        <v>1846932</v>
      </c>
      <c r="AV94" s="27">
        <v>6075427.7800000012</v>
      </c>
      <c r="AW94" s="28">
        <v>5858816.8699999992</v>
      </c>
      <c r="AX94" s="29">
        <v>5246013.8099999987</v>
      </c>
      <c r="AY94" s="27">
        <v>24676101.190000001</v>
      </c>
      <c r="AZ94" s="28">
        <v>33674659.399999999</v>
      </c>
      <c r="BA94" s="29">
        <v>34668521.229999997</v>
      </c>
      <c r="BB94" s="24">
        <v>5.7907959235920056E-2</v>
      </c>
      <c r="BC94" s="25">
        <v>3.196576786173002E-2</v>
      </c>
      <c r="BD94" s="26">
        <v>2.8479050312214819E-2</v>
      </c>
      <c r="BE94" s="24">
        <v>0.10478743042281143</v>
      </c>
      <c r="BF94" s="25">
        <v>0.10625978898348079</v>
      </c>
      <c r="BG94" s="26">
        <v>8.0891711894949953E-2</v>
      </c>
      <c r="BH94" s="24">
        <v>0.42560710622970793</v>
      </c>
      <c r="BI94" s="25">
        <v>0.61074825879215244</v>
      </c>
      <c r="BJ94" s="26">
        <v>0.53457656284002741</v>
      </c>
      <c r="BK94" s="24">
        <v>0.85477000000000003</v>
      </c>
      <c r="BL94" s="25">
        <v>0.7157</v>
      </c>
      <c r="BM94" s="26">
        <v>0.78520000000000001</v>
      </c>
    </row>
    <row r="95" spans="1:65" x14ac:dyDescent="0.2">
      <c r="A95" s="22">
        <v>6004</v>
      </c>
      <c r="B95" s="23" t="s">
        <v>112</v>
      </c>
      <c r="C95" s="24">
        <v>0.11567065739363501</v>
      </c>
      <c r="D95" s="25">
        <v>0.11154891036326156</v>
      </c>
      <c r="E95" s="26">
        <v>9.8059815325553537E-2</v>
      </c>
      <c r="F95" s="24">
        <v>0.3264674980585629</v>
      </c>
      <c r="G95" s="25">
        <v>0.26103285436828783</v>
      </c>
      <c r="H95" s="26">
        <v>0.33361062006708236</v>
      </c>
      <c r="I95" s="24">
        <v>-0.10339563370481929</v>
      </c>
      <c r="J95" s="25">
        <v>-7.910084009784292E-2</v>
      </c>
      <c r="K95" s="26">
        <v>0.17744740165646622</v>
      </c>
      <c r="L95" s="24">
        <v>0.43234734678202724</v>
      </c>
      <c r="M95" s="25">
        <v>0.30782869647839789</v>
      </c>
      <c r="N95" s="26">
        <v>0.24706109688683997</v>
      </c>
      <c r="O95" s="27">
        <v>235</v>
      </c>
      <c r="P95" s="28">
        <v>176</v>
      </c>
      <c r="Q95" s="29">
        <v>183</v>
      </c>
      <c r="R95" s="24">
        <v>8.191474461788692E-2</v>
      </c>
      <c r="S95" s="25">
        <v>5.5544663854888154E-2</v>
      </c>
      <c r="T95" s="26">
        <v>3.5599478264470227E-2</v>
      </c>
      <c r="U95" s="27">
        <v>135.83333333333334</v>
      </c>
      <c r="V95" s="28">
        <v>135.83333333333334</v>
      </c>
      <c r="W95" s="29">
        <v>130.76666666666668</v>
      </c>
      <c r="X95" s="24">
        <v>0.609628045623408</v>
      </c>
      <c r="Y95" s="25">
        <v>0.51668505932963638</v>
      </c>
      <c r="Z95" s="26">
        <v>0.62224394655497772</v>
      </c>
      <c r="AA95" s="24">
        <v>0.10119803126366944</v>
      </c>
      <c r="AB95" s="25">
        <v>0.28543172695109276</v>
      </c>
      <c r="AC95" s="26">
        <v>0.20912312374813438</v>
      </c>
      <c r="AD95" s="27">
        <v>643203</v>
      </c>
      <c r="AE95" s="28">
        <v>1447630</v>
      </c>
      <c r="AF95" s="29">
        <v>750349</v>
      </c>
      <c r="AG95" s="27">
        <v>5626147</v>
      </c>
      <c r="AH95" s="28">
        <v>13629529</v>
      </c>
      <c r="AI95" s="29">
        <v>5900194</v>
      </c>
      <c r="AJ95" s="27">
        <v>-574946</v>
      </c>
      <c r="AK95" s="28">
        <v>-1026534</v>
      </c>
      <c r="AL95" s="29">
        <v>1357819</v>
      </c>
      <c r="AM95" s="30">
        <v>948686</v>
      </c>
      <c r="AN95" s="30">
        <v>647871</v>
      </c>
      <c r="AO95" s="30">
        <v>2029536</v>
      </c>
      <c r="AP95" s="27">
        <v>956936</v>
      </c>
      <c r="AQ95" s="28">
        <v>715988</v>
      </c>
      <c r="AR95" s="29">
        <v>715988</v>
      </c>
      <c r="AS95" s="27">
        <v>181306</v>
      </c>
      <c r="AT95" s="28">
        <v>129193</v>
      </c>
      <c r="AU95" s="29">
        <v>103168</v>
      </c>
      <c r="AV95" s="27">
        <v>227478.16999999993</v>
      </c>
      <c r="AW95" s="28">
        <v>465738.83000000013</v>
      </c>
      <c r="AX95" s="29">
        <v>447628.14000000013</v>
      </c>
      <c r="AY95" s="27">
        <v>2751637.91</v>
      </c>
      <c r="AZ95" s="28">
        <v>8209506.6599999992</v>
      </c>
      <c r="BA95" s="29">
        <v>7715363.3000000007</v>
      </c>
      <c r="BB95" s="24">
        <v>1.9277567045276327E-2</v>
      </c>
      <c r="BC95" s="25">
        <v>9.4789042233227577E-3</v>
      </c>
      <c r="BD95" s="26">
        <v>8.0505688843421318E-3</v>
      </c>
      <c r="BE95" s="24">
        <v>2.4186875632972792E-2</v>
      </c>
      <c r="BF95" s="25">
        <v>4.8997660049185057E-2</v>
      </c>
      <c r="BG95" s="26">
        <v>3.4930028454946735E-2</v>
      </c>
      <c r="BH95" s="24">
        <v>0.29257103622797387</v>
      </c>
      <c r="BI95" s="25">
        <v>0.86367421092675589</v>
      </c>
      <c r="BJ95" s="26">
        <v>0.60205745690887902</v>
      </c>
      <c r="BK95" s="24">
        <v>0.77129000000000003</v>
      </c>
      <c r="BL95" s="25">
        <v>0.72704000000000002</v>
      </c>
      <c r="BM95" s="26">
        <v>0.74919999999999998</v>
      </c>
    </row>
    <row r="96" spans="1:65" x14ac:dyDescent="0.2">
      <c r="A96" s="22">
        <v>6005</v>
      </c>
      <c r="B96" s="23" t="s">
        <v>113</v>
      </c>
      <c r="C96" s="24">
        <v>0.19924732292012703</v>
      </c>
      <c r="D96" s="25">
        <v>0.20608482446298373</v>
      </c>
      <c r="E96" s="26">
        <v>0.19305730145392852</v>
      </c>
      <c r="F96" s="24">
        <v>0.7052699515234867</v>
      </c>
      <c r="G96" s="25">
        <v>0.70896061979000258</v>
      </c>
      <c r="H96" s="26">
        <v>1.0160568065885622</v>
      </c>
      <c r="I96" s="24">
        <v>5.4040214473452343E-2</v>
      </c>
      <c r="J96" s="25">
        <v>-1.1626788430201769E-2</v>
      </c>
      <c r="K96" s="26">
        <v>0.15965272999973917</v>
      </c>
      <c r="L96" s="24">
        <v>0.47755429761840212</v>
      </c>
      <c r="M96" s="25">
        <v>0.47005819575411101</v>
      </c>
      <c r="N96" s="26">
        <v>0.40588016297621399</v>
      </c>
      <c r="O96" s="27">
        <v>243</v>
      </c>
      <c r="P96" s="28">
        <v>266</v>
      </c>
      <c r="Q96" s="29">
        <v>244</v>
      </c>
      <c r="R96" s="24">
        <v>0</v>
      </c>
      <c r="S96" s="25">
        <v>0</v>
      </c>
      <c r="T96" s="26">
        <v>0</v>
      </c>
      <c r="U96" s="27">
        <v>134.86324786324786</v>
      </c>
      <c r="V96" s="28">
        <v>133.72033898305085</v>
      </c>
      <c r="W96" s="29">
        <v>131.24929971988794</v>
      </c>
      <c r="X96" s="24">
        <v>0.67388131078794677</v>
      </c>
      <c r="Y96" s="25">
        <v>0.68201066905451802</v>
      </c>
      <c r="Z96" s="26">
        <v>0.76115944835308547</v>
      </c>
      <c r="AA96" s="24">
        <v>9.9008582507148835E-2</v>
      </c>
      <c r="AB96" s="25">
        <v>8.953953482606046E-2</v>
      </c>
      <c r="AC96" s="26">
        <v>2.032299313505416E-2</v>
      </c>
      <c r="AD96" s="27">
        <v>11082904</v>
      </c>
      <c r="AE96" s="28">
        <v>22287025</v>
      </c>
      <c r="AF96" s="29">
        <v>12005966</v>
      </c>
      <c r="AG96" s="27">
        <v>51259031</v>
      </c>
      <c r="AH96" s="28">
        <v>109784611</v>
      </c>
      <c r="AI96" s="29">
        <v>52283588</v>
      </c>
      <c r="AJ96" s="27">
        <v>3005925</v>
      </c>
      <c r="AK96" s="28">
        <v>-1257378</v>
      </c>
      <c r="AL96" s="29">
        <v>9928582</v>
      </c>
      <c r="AM96" s="30">
        <v>14246534</v>
      </c>
      <c r="AN96" s="30">
        <v>11157805</v>
      </c>
      <c r="AO96" s="30">
        <v>19792036</v>
      </c>
      <c r="AP96" s="27">
        <v>11494018</v>
      </c>
      <c r="AQ96" s="28">
        <v>12578205</v>
      </c>
      <c r="AR96" s="29">
        <v>11418901</v>
      </c>
      <c r="AS96" s="27">
        <v>0</v>
      </c>
      <c r="AT96" s="28">
        <v>0</v>
      </c>
      <c r="AU96" s="29">
        <v>0</v>
      </c>
      <c r="AV96" s="27">
        <v>620124.28999999934</v>
      </c>
      <c r="AW96" s="28">
        <v>2180202.2199999918</v>
      </c>
      <c r="AX96" s="29">
        <v>1984833.2400000033</v>
      </c>
      <c r="AY96" s="27">
        <v>26825094.370000001</v>
      </c>
      <c r="AZ96" s="28">
        <v>63988667.970000014</v>
      </c>
      <c r="BA96" s="29">
        <v>74212647.219999999</v>
      </c>
      <c r="BB96" s="24">
        <v>0</v>
      </c>
      <c r="BC96" s="25">
        <v>0</v>
      </c>
      <c r="BD96" s="26">
        <v>0</v>
      </c>
      <c r="BE96" s="24">
        <v>5.4524091859710104E-3</v>
      </c>
      <c r="BF96" s="25">
        <v>2.5966260165249815E-2</v>
      </c>
      <c r="BG96" s="26">
        <v>1.6612871510605282E-2</v>
      </c>
      <c r="BH96" s="24">
        <v>0.23585818732810385</v>
      </c>
      <c r="BI96" s="25">
        <v>0.76210655364657609</v>
      </c>
      <c r="BJ96" s="26">
        <v>0.62115302579663378</v>
      </c>
      <c r="BK96" s="24">
        <v>0.81752999999999998</v>
      </c>
      <c r="BL96" s="25">
        <v>0.63592000000000004</v>
      </c>
      <c r="BM96" s="26">
        <v>0.72670000000000001</v>
      </c>
    </row>
    <row r="97" spans="1:65" x14ac:dyDescent="0.2">
      <c r="A97" s="22">
        <v>6006</v>
      </c>
      <c r="B97" s="23" t="s">
        <v>114</v>
      </c>
      <c r="C97" s="24">
        <v>0.13037516370533395</v>
      </c>
      <c r="D97" s="25">
        <v>0.12356218345939288</v>
      </c>
      <c r="E97" s="26">
        <v>0.15451869481155039</v>
      </c>
      <c r="F97" s="24">
        <v>0.41871195257132471</v>
      </c>
      <c r="G97" s="25">
        <v>0.31095492270595304</v>
      </c>
      <c r="H97" s="26">
        <v>0.59927535444619484</v>
      </c>
      <c r="I97" s="24">
        <v>0.17341213193559529</v>
      </c>
      <c r="J97" s="25">
        <v>-2.3217957593193887E-2</v>
      </c>
      <c r="K97" s="26">
        <v>0.17761849777047206</v>
      </c>
      <c r="L97" s="24">
        <v>0</v>
      </c>
      <c r="M97" s="25">
        <v>0</v>
      </c>
      <c r="N97" s="26">
        <v>0</v>
      </c>
      <c r="O97" s="27">
        <v>0</v>
      </c>
      <c r="P97" s="28">
        <v>0</v>
      </c>
      <c r="Q97" s="29">
        <v>0</v>
      </c>
      <c r="R97" s="24">
        <v>0</v>
      </c>
      <c r="S97" s="25">
        <v>0</v>
      </c>
      <c r="T97" s="26">
        <v>0</v>
      </c>
      <c r="U97" s="27">
        <v>61</v>
      </c>
      <c r="V97" s="28">
        <v>52.029411764705884</v>
      </c>
      <c r="W97" s="29">
        <v>49.676470588235297</v>
      </c>
      <c r="X97" s="24">
        <v>0.63559855912317109</v>
      </c>
      <c r="Y97" s="25">
        <v>0.60918952497924561</v>
      </c>
      <c r="Z97" s="26">
        <v>0.70555004411086875</v>
      </c>
      <c r="AA97" s="24">
        <v>0.12938617995762766</v>
      </c>
      <c r="AB97" s="25">
        <v>0.13561177259959287</v>
      </c>
      <c r="AC97" s="26">
        <v>4.7969266299643844E-3</v>
      </c>
      <c r="AD97" s="27">
        <v>442401</v>
      </c>
      <c r="AE97" s="28">
        <v>841574</v>
      </c>
      <c r="AF97" s="29">
        <v>551603</v>
      </c>
      <c r="AG97" s="27">
        <v>2763595</v>
      </c>
      <c r="AH97" s="28">
        <v>7034640</v>
      </c>
      <c r="AI97" s="29">
        <v>2876842</v>
      </c>
      <c r="AJ97" s="27">
        <v>588438</v>
      </c>
      <c r="AK97" s="28">
        <v>-158136</v>
      </c>
      <c r="AL97" s="29">
        <v>634065</v>
      </c>
      <c r="AM97" s="30">
        <v>2107768</v>
      </c>
      <c r="AN97" s="30">
        <v>1272571</v>
      </c>
      <c r="AO97" s="30">
        <v>1915468</v>
      </c>
      <c r="AP97" s="27">
        <v>0</v>
      </c>
      <c r="AQ97" s="28">
        <v>0</v>
      </c>
      <c r="AR97" s="29">
        <v>0</v>
      </c>
      <c r="AS97" s="27">
        <v>0</v>
      </c>
      <c r="AT97" s="28">
        <v>0</v>
      </c>
      <c r="AU97" s="29">
        <v>0</v>
      </c>
      <c r="AV97" s="27">
        <v>15886.800000000016</v>
      </c>
      <c r="AW97" s="28">
        <v>21231.490000000493</v>
      </c>
      <c r="AX97" s="29">
        <v>7590.3900000000513</v>
      </c>
      <c r="AY97" s="27">
        <v>428642.31000000006</v>
      </c>
      <c r="AZ97" s="28">
        <v>574129.76000000024</v>
      </c>
      <c r="BA97" s="29">
        <v>728906.79</v>
      </c>
      <c r="BB97" s="24">
        <v>0</v>
      </c>
      <c r="BC97" s="25">
        <v>0</v>
      </c>
      <c r="BD97" s="26">
        <v>0</v>
      </c>
      <c r="BE97" s="24">
        <v>2.1712304719024612E-3</v>
      </c>
      <c r="BF97" s="25">
        <v>3.8339989540762307E-3</v>
      </c>
      <c r="BG97" s="26">
        <v>8.9840858469924872E-4</v>
      </c>
      <c r="BH97" s="24">
        <v>5.8582045787613626E-2</v>
      </c>
      <c r="BI97" s="25">
        <v>0.10367679797056105</v>
      </c>
      <c r="BJ97" s="26">
        <v>8.6274370300019915E-2</v>
      </c>
      <c r="BK97" s="24">
        <v>0.76002999999999998</v>
      </c>
      <c r="BL97" s="25">
        <v>0.75856999999999997</v>
      </c>
      <c r="BM97" s="26">
        <v>0.75929999999999997</v>
      </c>
    </row>
    <row r="98" spans="1:65" x14ac:dyDescent="0.2">
      <c r="A98" s="22">
        <v>6007</v>
      </c>
      <c r="B98" s="23" t="s">
        <v>115</v>
      </c>
      <c r="C98" s="24">
        <v>0.18361908941565797</v>
      </c>
      <c r="D98" s="25">
        <v>0.17882925652848941</v>
      </c>
      <c r="E98" s="26">
        <v>0.17543632792379932</v>
      </c>
      <c r="F98" s="24">
        <v>0.644062331632409</v>
      </c>
      <c r="G98" s="25">
        <v>0.5727028486309802</v>
      </c>
      <c r="H98" s="26">
        <v>0.60738405576314491</v>
      </c>
      <c r="I98" s="24">
        <v>3.8342515879181811E-2</v>
      </c>
      <c r="J98" s="25">
        <v>8.4611406086734977E-3</v>
      </c>
      <c r="K98" s="26">
        <v>2.0957130099850878E-2</v>
      </c>
      <c r="L98" s="24">
        <v>0.25417240537303143</v>
      </c>
      <c r="M98" s="25">
        <v>0.21720582962822965</v>
      </c>
      <c r="N98" s="26">
        <v>0.12528875220011779</v>
      </c>
      <c r="O98" s="27">
        <v>170</v>
      </c>
      <c r="P98" s="28">
        <v>149</v>
      </c>
      <c r="Q98" s="29">
        <v>129</v>
      </c>
      <c r="R98" s="24">
        <v>0.10033704819103371</v>
      </c>
      <c r="S98" s="25">
        <v>0.19603572220167612</v>
      </c>
      <c r="T98" s="26">
        <v>0.11130262248948951</v>
      </c>
      <c r="U98" s="27">
        <v>66.51428571428572</v>
      </c>
      <c r="V98" s="28">
        <v>66.51428571428572</v>
      </c>
      <c r="W98" s="29">
        <v>61.729729729729726</v>
      </c>
      <c r="X98" s="24">
        <v>0.58368408721855536</v>
      </c>
      <c r="Y98" s="25">
        <v>0.58630257653888007</v>
      </c>
      <c r="Z98" s="26">
        <v>0.58054689827166583</v>
      </c>
      <c r="AA98" s="24">
        <v>4.9564957465200635E-2</v>
      </c>
      <c r="AB98" s="25">
        <v>0.10189520191988781</v>
      </c>
      <c r="AC98" s="26">
        <v>3.1868662210766313E-2</v>
      </c>
      <c r="AD98" s="27">
        <v>619226</v>
      </c>
      <c r="AE98" s="28">
        <v>1143423</v>
      </c>
      <c r="AF98" s="29">
        <v>649873</v>
      </c>
      <c r="AG98" s="27">
        <v>3094525</v>
      </c>
      <c r="AH98" s="28">
        <v>6343704</v>
      </c>
      <c r="AI98" s="29">
        <v>3561869</v>
      </c>
      <c r="AJ98" s="27">
        <v>129304</v>
      </c>
      <c r="AK98" s="28">
        <v>54100</v>
      </c>
      <c r="AL98" s="29">
        <v>77632</v>
      </c>
      <c r="AM98" s="30">
        <v>246070</v>
      </c>
      <c r="AN98" s="30">
        <v>86714</v>
      </c>
      <c r="AO98" s="30">
        <v>299202</v>
      </c>
      <c r="AP98" s="27">
        <v>396588</v>
      </c>
      <c r="AQ98" s="28">
        <v>345927</v>
      </c>
      <c r="AR98" s="29">
        <v>295267</v>
      </c>
      <c r="AS98" s="27">
        <v>156557</v>
      </c>
      <c r="AT98" s="28">
        <v>312211</v>
      </c>
      <c r="AU98" s="29">
        <v>262306</v>
      </c>
      <c r="AV98" s="27">
        <v>257244.29000000004</v>
      </c>
      <c r="AW98" s="28">
        <v>336387.47000000038</v>
      </c>
      <c r="AX98" s="29">
        <v>250579.28000000003</v>
      </c>
      <c r="AY98" s="27">
        <v>1496651.5</v>
      </c>
      <c r="AZ98" s="28">
        <v>512526.17999999993</v>
      </c>
      <c r="BA98" s="29">
        <v>1043009.4299999999</v>
      </c>
      <c r="BB98" s="24">
        <v>2.5319086276569095E-2</v>
      </c>
      <c r="BC98" s="25">
        <v>4.9215883969365534E-2</v>
      </c>
      <c r="BD98" s="26">
        <v>3.6695330244822064E-2</v>
      </c>
      <c r="BE98" s="24">
        <v>4.1602677444411693E-2</v>
      </c>
      <c r="BF98" s="25">
        <v>5.9212981926517964E-2</v>
      </c>
      <c r="BG98" s="26">
        <v>3.505481930306488E-2</v>
      </c>
      <c r="BH98" s="24">
        <v>0.24204505997468367</v>
      </c>
      <c r="BI98" s="25">
        <v>9.0217996030610925E-2</v>
      </c>
      <c r="BJ98" s="26">
        <v>0.14591193294211194</v>
      </c>
      <c r="BK98" s="24">
        <v>0.85458000000000001</v>
      </c>
      <c r="BL98" s="25">
        <v>0.74665000000000004</v>
      </c>
      <c r="BM98" s="26">
        <v>0.80059999999999998</v>
      </c>
    </row>
    <row r="99" spans="1:65" x14ac:dyDescent="0.2">
      <c r="A99" s="22">
        <v>6008</v>
      </c>
      <c r="B99" s="23" t="s">
        <v>116</v>
      </c>
      <c r="C99" s="24">
        <v>0.34446835830922384</v>
      </c>
      <c r="D99" s="25">
        <v>0.31385256399685579</v>
      </c>
      <c r="E99" s="26">
        <v>0.33304572615736511</v>
      </c>
      <c r="F99" s="24">
        <v>0.86059591787714407</v>
      </c>
      <c r="G99" s="25">
        <v>0.68496478572554509</v>
      </c>
      <c r="H99" s="26">
        <v>0.83262347154137994</v>
      </c>
      <c r="I99" s="24">
        <v>0.15566432277509162</v>
      </c>
      <c r="J99" s="25">
        <v>6.5805933846879213E-3</v>
      </c>
      <c r="K99" s="26">
        <v>0.11298123447767153</v>
      </c>
      <c r="L99" s="24">
        <v>0</v>
      </c>
      <c r="M99" s="25">
        <v>0</v>
      </c>
      <c r="N99" s="26">
        <v>3.857240326858144E-2</v>
      </c>
      <c r="O99" s="27">
        <v>0</v>
      </c>
      <c r="P99" s="28">
        <v>0</v>
      </c>
      <c r="Q99" s="29">
        <v>42</v>
      </c>
      <c r="R99" s="24">
        <v>7.4288198869514373E-3</v>
      </c>
      <c r="S99" s="25">
        <v>5.1861730483108229E-2</v>
      </c>
      <c r="T99" s="26">
        <v>1.5936880358106642E-2</v>
      </c>
      <c r="U99" s="27">
        <v>149.60919540229884</v>
      </c>
      <c r="V99" s="28">
        <v>149.60919540229884</v>
      </c>
      <c r="W99" s="29">
        <v>146.66666666666666</v>
      </c>
      <c r="X99" s="24">
        <v>0.57575463492080359</v>
      </c>
      <c r="Y99" s="25">
        <v>0.57165879400676178</v>
      </c>
      <c r="Z99" s="26">
        <v>0.58967985336003381</v>
      </c>
      <c r="AA99" s="24">
        <v>1.9851979419589234E-2</v>
      </c>
      <c r="AB99" s="25">
        <v>0.1159827516961635</v>
      </c>
      <c r="AC99" s="26">
        <v>4.3295764155384109E-2</v>
      </c>
      <c r="AD99" s="27">
        <v>2851940</v>
      </c>
      <c r="AE99" s="28">
        <v>5310021</v>
      </c>
      <c r="AF99" s="29">
        <v>2952870</v>
      </c>
      <c r="AG99" s="27">
        <v>6965653</v>
      </c>
      <c r="AH99" s="28">
        <v>16771968</v>
      </c>
      <c r="AI99" s="29">
        <v>8021824</v>
      </c>
      <c r="AJ99" s="27">
        <v>1288784</v>
      </c>
      <c r="AK99" s="28">
        <v>111336</v>
      </c>
      <c r="AL99" s="29">
        <v>1001721</v>
      </c>
      <c r="AM99" s="30">
        <v>1682250</v>
      </c>
      <c r="AN99" s="30">
        <v>511385</v>
      </c>
      <c r="AO99" s="30">
        <v>1818995</v>
      </c>
      <c r="AP99" s="27">
        <v>0</v>
      </c>
      <c r="AQ99" s="28">
        <v>0</v>
      </c>
      <c r="AR99" s="29">
        <v>265144</v>
      </c>
      <c r="AS99" s="27">
        <v>49548</v>
      </c>
      <c r="AT99" s="28">
        <v>313749</v>
      </c>
      <c r="AU99" s="29">
        <v>109549</v>
      </c>
      <c r="AV99" s="27">
        <v>921238.98999999976</v>
      </c>
      <c r="AW99" s="28">
        <v>1854880.4599999995</v>
      </c>
      <c r="AX99" s="29">
        <v>1683028.0400000003</v>
      </c>
      <c r="AY99" s="27">
        <v>5701445.6699999999</v>
      </c>
      <c r="AZ99" s="28">
        <v>5798444.2599999998</v>
      </c>
      <c r="BA99" s="29">
        <v>5752903.1499999994</v>
      </c>
      <c r="BB99" s="24">
        <v>3.5221660169412004E-3</v>
      </c>
      <c r="BC99" s="25">
        <v>1.8706749261625112E-2</v>
      </c>
      <c r="BD99" s="26">
        <v>7.2691872629405485E-3</v>
      </c>
      <c r="BE99" s="24">
        <v>6.5487136999661619E-2</v>
      </c>
      <c r="BF99" s="25">
        <v>0.13839037075192517</v>
      </c>
      <c r="BG99" s="26">
        <v>0.11167829913134578</v>
      </c>
      <c r="BH99" s="24">
        <v>0.40529260891076441</v>
      </c>
      <c r="BI99" s="25">
        <v>0.43261486021895584</v>
      </c>
      <c r="BJ99" s="26">
        <v>0.38173721624944595</v>
      </c>
      <c r="BK99" s="24">
        <v>0.71364000000000005</v>
      </c>
      <c r="BL99" s="25">
        <v>0.74987000000000004</v>
      </c>
      <c r="BM99" s="26">
        <v>0.73180000000000001</v>
      </c>
    </row>
    <row r="100" spans="1:65" x14ac:dyDescent="0.2">
      <c r="A100" s="22">
        <v>6009</v>
      </c>
      <c r="B100" s="23" t="s">
        <v>117</v>
      </c>
      <c r="C100" s="24">
        <v>1.8922665697200119E-2</v>
      </c>
      <c r="D100" s="25">
        <v>3.0155537926156998E-2</v>
      </c>
      <c r="E100" s="26">
        <v>3.7362581389098412E-2</v>
      </c>
      <c r="F100" s="24">
        <v>4.4576720429760804E-2</v>
      </c>
      <c r="G100" s="25">
        <v>5.0510826108834374E-2</v>
      </c>
      <c r="H100" s="26">
        <v>0.17634120953737636</v>
      </c>
      <c r="I100" s="24">
        <v>7.381597145037817E-3</v>
      </c>
      <c r="J100" s="25">
        <v>-0.21812285565169356</v>
      </c>
      <c r="K100" s="26">
        <v>0.25309950494620298</v>
      </c>
      <c r="L100" s="24">
        <v>0</v>
      </c>
      <c r="M100" s="25">
        <v>0</v>
      </c>
      <c r="N100" s="26">
        <v>0</v>
      </c>
      <c r="O100" s="27">
        <v>0</v>
      </c>
      <c r="P100" s="28">
        <v>0</v>
      </c>
      <c r="Q100" s="29">
        <v>0</v>
      </c>
      <c r="R100" s="24">
        <v>0</v>
      </c>
      <c r="S100" s="25">
        <v>0</v>
      </c>
      <c r="T100" s="26">
        <v>0</v>
      </c>
      <c r="U100" s="27">
        <v>17.806451612903224</v>
      </c>
      <c r="V100" s="28">
        <v>17.806451612903224</v>
      </c>
      <c r="W100" s="29">
        <v>16.838709677419356</v>
      </c>
      <c r="X100" s="24">
        <v>0.57446154287783635</v>
      </c>
      <c r="Y100" s="25">
        <v>0.52051125696195566</v>
      </c>
      <c r="Z100" s="26">
        <v>0.77525339825286665</v>
      </c>
      <c r="AA100" s="24">
        <v>8.956583375288163E-2</v>
      </c>
      <c r="AB100" s="25">
        <v>0.20876808733768529</v>
      </c>
      <c r="AC100" s="26">
        <v>0</v>
      </c>
      <c r="AD100" s="27">
        <v>34561</v>
      </c>
      <c r="AE100" s="28">
        <v>100883</v>
      </c>
      <c r="AF100" s="29">
        <v>68951</v>
      </c>
      <c r="AG100" s="27">
        <v>1811472</v>
      </c>
      <c r="AH100" s="28">
        <v>4073568</v>
      </c>
      <c r="AI100" s="29">
        <v>1376884</v>
      </c>
      <c r="AJ100" s="27">
        <v>13482</v>
      </c>
      <c r="AK100" s="28">
        <v>-729713</v>
      </c>
      <c r="AL100" s="29">
        <v>467084</v>
      </c>
      <c r="AM100" s="30">
        <v>2263965</v>
      </c>
      <c r="AN100" s="30">
        <v>1530853</v>
      </c>
      <c r="AO100" s="30">
        <v>1987979</v>
      </c>
      <c r="AP100" s="27">
        <v>0</v>
      </c>
      <c r="AQ100" s="28">
        <v>0</v>
      </c>
      <c r="AR100" s="29">
        <v>0</v>
      </c>
      <c r="AS100" s="27">
        <v>0</v>
      </c>
      <c r="AT100" s="28">
        <v>0</v>
      </c>
      <c r="AU100" s="29">
        <v>0</v>
      </c>
      <c r="AV100" s="27">
        <v>2109.6700000000128</v>
      </c>
      <c r="AW100" s="28">
        <v>18137.339999999997</v>
      </c>
      <c r="AX100" s="29">
        <v>2143.109999999986</v>
      </c>
      <c r="AY100" s="27">
        <v>4996.7999999999993</v>
      </c>
      <c r="AZ100" s="28">
        <v>62224.800000000003</v>
      </c>
      <c r="BA100" s="29">
        <v>29364</v>
      </c>
      <c r="BB100" s="24">
        <v>0</v>
      </c>
      <c r="BC100" s="25">
        <v>0</v>
      </c>
      <c r="BD100" s="26">
        <v>0</v>
      </c>
      <c r="BE100" s="24">
        <v>3.6120583546538255E-4</v>
      </c>
      <c r="BF100" s="25">
        <v>6.004636232534671E-3</v>
      </c>
      <c r="BG100" s="26">
        <v>3.4887974327154687E-4</v>
      </c>
      <c r="BH100" s="24">
        <v>8.5552400074580975E-4</v>
      </c>
      <c r="BI100" s="25">
        <v>2.060044574575012E-2</v>
      </c>
      <c r="BJ100" s="26">
        <v>4.7802048338283004E-3</v>
      </c>
      <c r="BK100" s="24">
        <v>0.50702000000000003</v>
      </c>
      <c r="BL100" s="25">
        <v>0.60665999999999998</v>
      </c>
      <c r="BM100" s="26">
        <v>0.55679999999999996</v>
      </c>
    </row>
    <row r="101" spans="1:65" x14ac:dyDescent="0.2">
      <c r="A101" s="22">
        <v>6101</v>
      </c>
      <c r="B101" s="23" t="s">
        <v>118</v>
      </c>
      <c r="C101" s="24">
        <v>0.22869298103746444</v>
      </c>
      <c r="D101" s="25">
        <v>0.12453873132670583</v>
      </c>
      <c r="E101" s="26">
        <v>0.13957930186748385</v>
      </c>
      <c r="F101" s="24">
        <v>0.64031769464356647</v>
      </c>
      <c r="G101" s="25">
        <v>0.14360732397183978</v>
      </c>
      <c r="H101" s="26">
        <v>0.30172079548528985</v>
      </c>
      <c r="I101" s="24">
        <v>4.9400518212285187E-2</v>
      </c>
      <c r="J101" s="25">
        <v>-0.24902703482762925</v>
      </c>
      <c r="K101" s="26">
        <v>0.16085767616728588</v>
      </c>
      <c r="L101" s="24">
        <v>0</v>
      </c>
      <c r="M101" s="25">
        <v>0</v>
      </c>
      <c r="N101" s="26">
        <v>0</v>
      </c>
      <c r="O101" s="27">
        <v>0</v>
      </c>
      <c r="P101" s="28">
        <v>0</v>
      </c>
      <c r="Q101" s="29">
        <v>0</v>
      </c>
      <c r="R101" s="24">
        <v>0</v>
      </c>
      <c r="S101" s="25">
        <v>0</v>
      </c>
      <c r="T101" s="26">
        <v>0</v>
      </c>
      <c r="U101" s="27">
        <v>59.222222222222221</v>
      </c>
      <c r="V101" s="28">
        <v>59.222222222222221</v>
      </c>
      <c r="W101" s="29">
        <v>59.204545454545453</v>
      </c>
      <c r="X101" s="24">
        <v>0.60683507861643815</v>
      </c>
      <c r="Y101" s="25">
        <v>0.29685597240495987</v>
      </c>
      <c r="Z101" s="26">
        <v>0.45256292562904721</v>
      </c>
      <c r="AA101" s="24">
        <v>0.15070130020144185</v>
      </c>
      <c r="AB101" s="25">
        <v>0.57172539711408155</v>
      </c>
      <c r="AC101" s="26">
        <v>0.38620543303331789</v>
      </c>
      <c r="AD101" s="27">
        <v>875297</v>
      </c>
      <c r="AE101" s="28">
        <v>1536118</v>
      </c>
      <c r="AF101" s="29">
        <v>916702</v>
      </c>
      <c r="AG101" s="27">
        <v>3843789</v>
      </c>
      <c r="AH101" s="28">
        <v>16192765</v>
      </c>
      <c r="AI101" s="29">
        <v>5739593</v>
      </c>
      <c r="AJ101" s="27">
        <v>189075</v>
      </c>
      <c r="AK101" s="28">
        <v>-3071614</v>
      </c>
      <c r="AL101" s="29">
        <v>1056450</v>
      </c>
      <c r="AM101" s="30">
        <v>8337400</v>
      </c>
      <c r="AN101" s="30">
        <v>5105768</v>
      </c>
      <c r="AO101" s="30">
        <v>6074190</v>
      </c>
      <c r="AP101" s="27">
        <v>0</v>
      </c>
      <c r="AQ101" s="28">
        <v>0</v>
      </c>
      <c r="AR101" s="29">
        <v>0</v>
      </c>
      <c r="AS101" s="27">
        <v>0</v>
      </c>
      <c r="AT101" s="28">
        <v>0</v>
      </c>
      <c r="AU101" s="29">
        <v>0</v>
      </c>
      <c r="AV101" s="27">
        <v>93260.040000000037</v>
      </c>
      <c r="AW101" s="28">
        <v>726544.43999999948</v>
      </c>
      <c r="AX101" s="29">
        <v>792296.07999999961</v>
      </c>
      <c r="AY101" s="27">
        <v>11912280.460000001</v>
      </c>
      <c r="AZ101" s="28">
        <v>11805772.15</v>
      </c>
      <c r="BA101" s="29">
        <v>13376425.02</v>
      </c>
      <c r="BB101" s="24">
        <v>0</v>
      </c>
      <c r="BC101" s="25">
        <v>0</v>
      </c>
      <c r="BD101" s="26">
        <v>0</v>
      </c>
      <c r="BE101" s="24">
        <v>3.9909685866058872E-3</v>
      </c>
      <c r="BF101" s="25">
        <v>7.0894792708109056E-2</v>
      </c>
      <c r="BG101" s="26">
        <v>5.251798781467943E-2</v>
      </c>
      <c r="BH101" s="24">
        <v>0.50977393008515881</v>
      </c>
      <c r="BI101" s="25">
        <v>1.1519842741256372</v>
      </c>
      <c r="BJ101" s="26">
        <v>0.88666717397406958</v>
      </c>
      <c r="BK101" s="24">
        <v>0.82216999999999996</v>
      </c>
      <c r="BL101" s="25">
        <v>0.81803999999999999</v>
      </c>
      <c r="BM101" s="26">
        <v>0.82010000000000005</v>
      </c>
    </row>
    <row r="102" spans="1:65" x14ac:dyDescent="0.2">
      <c r="A102" s="22">
        <v>6102</v>
      </c>
      <c r="B102" s="23" t="s">
        <v>119</v>
      </c>
      <c r="C102" s="24">
        <v>0.17100445132572092</v>
      </c>
      <c r="D102" s="25">
        <v>0.20575753820474349</v>
      </c>
      <c r="E102" s="26">
        <v>9.4066177596442938E-2</v>
      </c>
      <c r="F102" s="24">
        <v>0.39382778664261975</v>
      </c>
      <c r="G102" s="25">
        <v>0.46986298576542013</v>
      </c>
      <c r="H102" s="26">
        <v>0.15370625117140949</v>
      </c>
      <c r="I102" s="24">
        <v>0.13263850549540099</v>
      </c>
      <c r="J102" s="25">
        <v>2.3689369360108251E-3</v>
      </c>
      <c r="K102" s="26">
        <v>0.11760928739269014</v>
      </c>
      <c r="L102" s="24">
        <v>0</v>
      </c>
      <c r="M102" s="25">
        <v>0</v>
      </c>
      <c r="N102" s="26">
        <v>0</v>
      </c>
      <c r="O102" s="27">
        <v>0</v>
      </c>
      <c r="P102" s="28">
        <v>0</v>
      </c>
      <c r="Q102" s="29">
        <v>0</v>
      </c>
      <c r="R102" s="24">
        <v>0</v>
      </c>
      <c r="S102" s="25">
        <v>0</v>
      </c>
      <c r="T102" s="26">
        <v>0</v>
      </c>
      <c r="U102" s="27">
        <v>110.96875</v>
      </c>
      <c r="V102" s="28">
        <v>110.96875</v>
      </c>
      <c r="W102" s="29">
        <v>120.31034482758621</v>
      </c>
      <c r="X102" s="24">
        <v>0.62698073689065814</v>
      </c>
      <c r="Y102" s="25">
        <v>0.63518739652794454</v>
      </c>
      <c r="Z102" s="26">
        <v>0.3745147698581141</v>
      </c>
      <c r="AA102" s="24">
        <v>0.17884400704262005</v>
      </c>
      <c r="AB102" s="25">
        <v>0.16483618180686627</v>
      </c>
      <c r="AC102" s="26">
        <v>0.50396935309363877</v>
      </c>
      <c r="AD102" s="27">
        <v>839401</v>
      </c>
      <c r="AE102" s="28">
        <v>1889476</v>
      </c>
      <c r="AF102" s="29">
        <v>869298</v>
      </c>
      <c r="AG102" s="27">
        <v>4457432</v>
      </c>
      <c r="AH102" s="28">
        <v>9271223</v>
      </c>
      <c r="AI102" s="29">
        <v>8238874</v>
      </c>
      <c r="AJ102" s="27">
        <v>651076</v>
      </c>
      <c r="AK102" s="28">
        <v>21754</v>
      </c>
      <c r="AL102" s="29">
        <v>1086868</v>
      </c>
      <c r="AM102" s="30">
        <v>2370487</v>
      </c>
      <c r="AN102" s="30">
        <v>1684141</v>
      </c>
      <c r="AO102" s="30">
        <v>2777121</v>
      </c>
      <c r="AP102" s="27">
        <v>0</v>
      </c>
      <c r="AQ102" s="28">
        <v>0</v>
      </c>
      <c r="AR102" s="29">
        <v>0</v>
      </c>
      <c r="AS102" s="27">
        <v>0</v>
      </c>
      <c r="AT102" s="28">
        <v>0</v>
      </c>
      <c r="AU102" s="29">
        <v>0</v>
      </c>
      <c r="AV102" s="27">
        <v>131202.69999999995</v>
      </c>
      <c r="AW102" s="28">
        <v>5465621.7400000002</v>
      </c>
      <c r="AX102" s="29">
        <v>171571.83999999985</v>
      </c>
      <c r="AY102" s="27">
        <v>1798555.71</v>
      </c>
      <c r="AZ102" s="28">
        <v>6929951.2800000003</v>
      </c>
      <c r="BA102" s="29">
        <v>6075967.0800000001</v>
      </c>
      <c r="BB102" s="24">
        <v>0</v>
      </c>
      <c r="BC102" s="25">
        <v>0</v>
      </c>
      <c r="BD102" s="26">
        <v>0</v>
      </c>
      <c r="BE102" s="24">
        <v>1.3536242802183948E-2</v>
      </c>
      <c r="BF102" s="25">
        <v>0.67725900779025672</v>
      </c>
      <c r="BG102" s="26">
        <v>1.1813628292857776E-2</v>
      </c>
      <c r="BH102" s="24">
        <v>0.18555781842762648</v>
      </c>
      <c r="BI102" s="25">
        <v>0.85870778315654528</v>
      </c>
      <c r="BJ102" s="26">
        <v>0.41836245739837319</v>
      </c>
      <c r="BK102" s="24">
        <v>0.68237999999999999</v>
      </c>
      <c r="BL102" s="25">
        <v>0.61463999999999996</v>
      </c>
      <c r="BM102" s="26">
        <v>0.64849999999999997</v>
      </c>
    </row>
    <row r="103" spans="1:65" x14ac:dyDescent="0.2">
      <c r="A103" s="22">
        <v>6103</v>
      </c>
      <c r="B103" s="23" t="s">
        <v>120</v>
      </c>
      <c r="C103" s="24">
        <v>0.17603610175993467</v>
      </c>
      <c r="D103" s="25">
        <v>0.17684435779915128</v>
      </c>
      <c r="E103" s="26">
        <v>0.18390059858550503</v>
      </c>
      <c r="F103" s="24">
        <v>0.71688462830380839</v>
      </c>
      <c r="G103" s="25">
        <v>0.81137237328645162</v>
      </c>
      <c r="H103" s="26">
        <v>1.0569817260623213</v>
      </c>
      <c r="I103" s="24">
        <v>0.13926549864873866</v>
      </c>
      <c r="J103" s="25">
        <v>8.0340233256426391E-3</v>
      </c>
      <c r="K103" s="26">
        <v>0.16063103468381673</v>
      </c>
      <c r="L103" s="24">
        <v>0.17183666534781161</v>
      </c>
      <c r="M103" s="25">
        <v>0.13288444430121032</v>
      </c>
      <c r="N103" s="26">
        <v>0.12586595335363768</v>
      </c>
      <c r="O103" s="27">
        <v>81</v>
      </c>
      <c r="P103" s="28">
        <v>67</v>
      </c>
      <c r="Q103" s="29">
        <v>61</v>
      </c>
      <c r="R103" s="24">
        <v>0</v>
      </c>
      <c r="S103" s="25">
        <v>7.9688974034666057E-2</v>
      </c>
      <c r="T103" s="26">
        <v>2.3166120789793878E-4</v>
      </c>
      <c r="U103" s="27">
        <v>204.28254847645428</v>
      </c>
      <c r="V103" s="28">
        <v>204.28254847645428</v>
      </c>
      <c r="W103" s="29">
        <v>201.57340720221606</v>
      </c>
      <c r="X103" s="24">
        <v>0.58759762443691577</v>
      </c>
      <c r="Y103" s="25">
        <v>0.65501055019744003</v>
      </c>
      <c r="Z103" s="26">
        <v>0.65225538656118065</v>
      </c>
      <c r="AA103" s="24">
        <v>0.10997633560891899</v>
      </c>
      <c r="AB103" s="25">
        <v>6.5664687286830378E-2</v>
      </c>
      <c r="AC103" s="26">
        <v>2.4689804074623612E-2</v>
      </c>
      <c r="AD103" s="27">
        <v>8014021</v>
      </c>
      <c r="AE103" s="28">
        <v>14428798</v>
      </c>
      <c r="AF103" s="29">
        <v>8566301</v>
      </c>
      <c r="AG103" s="27">
        <v>37965904</v>
      </c>
      <c r="AH103" s="28">
        <v>80489015</v>
      </c>
      <c r="AI103" s="29">
        <v>38563611</v>
      </c>
      <c r="AJ103" s="27">
        <v>6340044</v>
      </c>
      <c r="AK103" s="28">
        <v>655499</v>
      </c>
      <c r="AL103" s="29">
        <v>7482378</v>
      </c>
      <c r="AM103" s="30">
        <v>13906239</v>
      </c>
      <c r="AN103" s="30">
        <v>7741568</v>
      </c>
      <c r="AO103" s="30">
        <v>16472123</v>
      </c>
      <c r="AP103" s="27">
        <v>2968493</v>
      </c>
      <c r="AQ103" s="28">
        <v>2482228</v>
      </c>
      <c r="AR103" s="29">
        <v>2210222</v>
      </c>
      <c r="AS103" s="27">
        <v>0</v>
      </c>
      <c r="AT103" s="28">
        <v>1488558</v>
      </c>
      <c r="AU103" s="29">
        <v>4068</v>
      </c>
      <c r="AV103" s="27">
        <v>93126.830000001006</v>
      </c>
      <c r="AW103" s="28">
        <v>1589867.1899999985</v>
      </c>
      <c r="AX103" s="29">
        <v>126063.63000000082</v>
      </c>
      <c r="AY103" s="27">
        <v>46415522.379999995</v>
      </c>
      <c r="AZ103" s="28">
        <v>39264685.599999994</v>
      </c>
      <c r="BA103" s="29">
        <v>56344761.090000004</v>
      </c>
      <c r="BB103" s="24">
        <v>0</v>
      </c>
      <c r="BC103" s="25">
        <v>1.849392740114909E-2</v>
      </c>
      <c r="BD103" s="26">
        <v>4.5854405027428275E-5</v>
      </c>
      <c r="BE103" s="24">
        <v>1.1415304177035564E-3</v>
      </c>
      <c r="BF103" s="25">
        <v>2.4295038749545094E-2</v>
      </c>
      <c r="BG103" s="26">
        <v>1.4209864182025307E-3</v>
      </c>
      <c r="BH103" s="24">
        <v>0.56895237012115196</v>
      </c>
      <c r="BI103" s="25">
        <v>0.60001053178580666</v>
      </c>
      <c r="BJ103" s="26">
        <v>0.63511688697014279</v>
      </c>
      <c r="BK103" s="24">
        <v>0.76822000000000001</v>
      </c>
      <c r="BL103" s="25">
        <v>0.76988000000000001</v>
      </c>
      <c r="BM103" s="26">
        <v>0.76910000000000001</v>
      </c>
    </row>
    <row r="104" spans="1:65" x14ac:dyDescent="0.2">
      <c r="A104" s="22">
        <v>6104</v>
      </c>
      <c r="B104" s="23" t="s">
        <v>121</v>
      </c>
      <c r="C104" s="24">
        <v>0.1495001574170258</v>
      </c>
      <c r="D104" s="25">
        <v>0.12316538663435835</v>
      </c>
      <c r="E104" s="26">
        <v>0.12798339459889443</v>
      </c>
      <c r="F104" s="24">
        <v>0.89858076764187578</v>
      </c>
      <c r="G104" s="25">
        <v>0.54357743066662545</v>
      </c>
      <c r="H104" s="26">
        <v>0.78812375306194027</v>
      </c>
      <c r="I104" s="24">
        <v>0.11313749408916077</v>
      </c>
      <c r="J104" s="25">
        <v>-1.7840199178180933E-2</v>
      </c>
      <c r="K104" s="26">
        <v>0.13089658368109178</v>
      </c>
      <c r="L104" s="24">
        <v>0</v>
      </c>
      <c r="M104" s="25">
        <v>0</v>
      </c>
      <c r="N104" s="26">
        <v>0</v>
      </c>
      <c r="O104" s="27">
        <v>0</v>
      </c>
      <c r="P104" s="28">
        <v>0</v>
      </c>
      <c r="Q104" s="29">
        <v>0</v>
      </c>
      <c r="R104" s="24">
        <v>0</v>
      </c>
      <c r="S104" s="25">
        <v>0</v>
      </c>
      <c r="T104" s="26">
        <v>0</v>
      </c>
      <c r="U104" s="27">
        <v>427.27777777777777</v>
      </c>
      <c r="V104" s="28">
        <v>415.72972972972974</v>
      </c>
      <c r="W104" s="29">
        <v>412.18918918918916</v>
      </c>
      <c r="X104" s="24">
        <v>0.69437933899368809</v>
      </c>
      <c r="Y104" s="25">
        <v>0.63224195544825113</v>
      </c>
      <c r="Z104" s="26">
        <v>0.71116334753372601</v>
      </c>
      <c r="AA104" s="24">
        <v>4.2493219602430077E-2</v>
      </c>
      <c r="AB104" s="25">
        <v>9.1963690822451372E-2</v>
      </c>
      <c r="AC104" s="26">
        <v>3.0975373954598439E-2</v>
      </c>
      <c r="AD104" s="27">
        <v>2790716</v>
      </c>
      <c r="AE104" s="28">
        <v>4695193</v>
      </c>
      <c r="AF104" s="29">
        <v>2636032</v>
      </c>
      <c r="AG104" s="27">
        <v>16494608</v>
      </c>
      <c r="AH104" s="28">
        <v>38410344</v>
      </c>
      <c r="AI104" s="29">
        <v>18054665</v>
      </c>
      <c r="AJ104" s="27">
        <v>2111935</v>
      </c>
      <c r="AK104" s="28">
        <v>-680087</v>
      </c>
      <c r="AL104" s="29">
        <v>2696034</v>
      </c>
      <c r="AM104" s="30">
        <v>9395337</v>
      </c>
      <c r="AN104" s="30">
        <v>6513407</v>
      </c>
      <c r="AO104" s="30">
        <v>9373648</v>
      </c>
      <c r="AP104" s="27">
        <v>0</v>
      </c>
      <c r="AQ104" s="28">
        <v>0</v>
      </c>
      <c r="AR104" s="29">
        <v>0</v>
      </c>
      <c r="AS104" s="27">
        <v>0</v>
      </c>
      <c r="AT104" s="28">
        <v>0</v>
      </c>
      <c r="AU104" s="29">
        <v>0</v>
      </c>
      <c r="AV104" s="27">
        <v>67477.09</v>
      </c>
      <c r="AW104" s="28">
        <v>215159.39000000089</v>
      </c>
      <c r="AX104" s="29">
        <v>102271.93000000011</v>
      </c>
      <c r="AY104" s="27">
        <v>13518208.810000001</v>
      </c>
      <c r="AZ104" s="28">
        <v>37651315.460000001</v>
      </c>
      <c r="BA104" s="29">
        <v>37027414.100000001</v>
      </c>
      <c r="BB104" s="24">
        <v>0</v>
      </c>
      <c r="BC104" s="25">
        <v>0</v>
      </c>
      <c r="BD104" s="26">
        <v>0</v>
      </c>
      <c r="BE104" s="24">
        <v>1.8504967267721929E-3</v>
      </c>
      <c r="BF104" s="25">
        <v>7.1263652281145801E-3</v>
      </c>
      <c r="BG104" s="26">
        <v>2.6663098618545443E-3</v>
      </c>
      <c r="BH104" s="24">
        <v>0.3707243622202443</v>
      </c>
      <c r="BI104" s="25">
        <v>1.2470616564162773</v>
      </c>
      <c r="BJ104" s="26">
        <v>0.96533388363553818</v>
      </c>
      <c r="BK104" s="24">
        <v>0.76356000000000002</v>
      </c>
      <c r="BL104" s="25">
        <v>0.62434000000000001</v>
      </c>
      <c r="BM104" s="26">
        <v>0.69399999999999995</v>
      </c>
    </row>
    <row r="105" spans="1:65" x14ac:dyDescent="0.2">
      <c r="A105" s="22">
        <v>6105</v>
      </c>
      <c r="B105" s="23" t="s">
        <v>122</v>
      </c>
      <c r="C105" s="24">
        <v>0.16117508807240769</v>
      </c>
      <c r="D105" s="25">
        <v>0.15802803801433418</v>
      </c>
      <c r="E105" s="26">
        <v>0.17461889350845169</v>
      </c>
      <c r="F105" s="24">
        <v>0.73970469802382088</v>
      </c>
      <c r="G105" s="25">
        <v>0.60597013950972678</v>
      </c>
      <c r="H105" s="26">
        <v>1.0025308793678234</v>
      </c>
      <c r="I105" s="24">
        <v>0.1606904725618396</v>
      </c>
      <c r="J105" s="25">
        <v>-4.2714869432069993E-2</v>
      </c>
      <c r="K105" s="26">
        <v>0.20420634886980904</v>
      </c>
      <c r="L105" s="24">
        <v>9.9247901684865081E-2</v>
      </c>
      <c r="M105" s="25">
        <v>9.7529968602452263E-2</v>
      </c>
      <c r="N105" s="26">
        <v>6.2981802497519335E-2</v>
      </c>
      <c r="O105" s="27">
        <v>56</v>
      </c>
      <c r="P105" s="28">
        <v>47</v>
      </c>
      <c r="Q105" s="29">
        <v>38</v>
      </c>
      <c r="R105" s="24">
        <v>0</v>
      </c>
      <c r="S105" s="25">
        <v>0</v>
      </c>
      <c r="T105" s="26">
        <v>0</v>
      </c>
      <c r="U105" s="27">
        <v>213.71604938271605</v>
      </c>
      <c r="V105" s="28">
        <v>212.40490797546013</v>
      </c>
      <c r="W105" s="29">
        <v>214.77500000000001</v>
      </c>
      <c r="X105" s="24">
        <v>0.66815800803236358</v>
      </c>
      <c r="Y105" s="25">
        <v>0.65904299347069029</v>
      </c>
      <c r="Z105" s="26">
        <v>0.70888044222570423</v>
      </c>
      <c r="AA105" s="24">
        <v>5.0436072215656644E-2</v>
      </c>
      <c r="AB105" s="25">
        <v>9.044251975024005E-2</v>
      </c>
      <c r="AC105" s="26">
        <v>2.3622198421604373E-2</v>
      </c>
      <c r="AD105" s="27">
        <v>3199120</v>
      </c>
      <c r="AE105" s="28">
        <v>6126083</v>
      </c>
      <c r="AF105" s="29">
        <v>3912077</v>
      </c>
      <c r="AG105" s="27">
        <v>16398660</v>
      </c>
      <c r="AH105" s="28">
        <v>40166727</v>
      </c>
      <c r="AI105" s="29">
        <v>17604585</v>
      </c>
      <c r="AJ105" s="27">
        <v>3189501</v>
      </c>
      <c r="AK105" s="28">
        <v>-1655876</v>
      </c>
      <c r="AL105" s="29">
        <v>4574940</v>
      </c>
      <c r="AM105" s="30">
        <v>7409521</v>
      </c>
      <c r="AN105" s="30">
        <v>2414325</v>
      </c>
      <c r="AO105" s="30">
        <v>7416101</v>
      </c>
      <c r="AP105" s="27">
        <v>968042</v>
      </c>
      <c r="AQ105" s="28">
        <v>807605</v>
      </c>
      <c r="AR105" s="29">
        <v>647168</v>
      </c>
      <c r="AS105" s="27">
        <v>0</v>
      </c>
      <c r="AT105" s="28">
        <v>0</v>
      </c>
      <c r="AU105" s="29">
        <v>0</v>
      </c>
      <c r="AV105" s="27">
        <v>31972.640000000603</v>
      </c>
      <c r="AW105" s="28">
        <v>775225.80999999912</v>
      </c>
      <c r="AX105" s="29">
        <v>54663.260000000708</v>
      </c>
      <c r="AY105" s="27">
        <v>9668742.6400000006</v>
      </c>
      <c r="AZ105" s="28">
        <v>11254991.670000002</v>
      </c>
      <c r="BA105" s="29">
        <v>13839643.690000001</v>
      </c>
      <c r="BB105" s="24">
        <v>0</v>
      </c>
      <c r="BC105" s="25">
        <v>0</v>
      </c>
      <c r="BD105" s="26">
        <v>0</v>
      </c>
      <c r="BE105" s="24">
        <v>8.1388898753011207E-4</v>
      </c>
      <c r="BF105" s="25">
        <v>2.400113122308532E-2</v>
      </c>
      <c r="BG105" s="26">
        <v>1.3002658297507558E-3</v>
      </c>
      <c r="BH105" s="24">
        <v>0.24612553601950526</v>
      </c>
      <c r="BI105" s="25">
        <v>0.34845657678296665</v>
      </c>
      <c r="BJ105" s="26">
        <v>0.3292012914347302</v>
      </c>
      <c r="BK105" s="24">
        <v>0.76993999999999996</v>
      </c>
      <c r="BL105" s="25">
        <v>0.76585000000000003</v>
      </c>
      <c r="BM105" s="26">
        <v>0.76790000000000003</v>
      </c>
    </row>
    <row r="106" spans="1:65" x14ac:dyDescent="0.2">
      <c r="A106" s="22">
        <v>6106</v>
      </c>
      <c r="B106" s="23" t="s">
        <v>123</v>
      </c>
      <c r="C106" s="24">
        <v>0.22662455040747825</v>
      </c>
      <c r="D106" s="25">
        <v>0.20390088402356155</v>
      </c>
      <c r="E106" s="26">
        <v>0.22525233432807459</v>
      </c>
      <c r="F106" s="24">
        <v>1.1215241946778467</v>
      </c>
      <c r="G106" s="25">
        <v>0.69669201176437079</v>
      </c>
      <c r="H106" s="26">
        <v>1.1035728080677161</v>
      </c>
      <c r="I106" s="24">
        <v>0.25458019246583219</v>
      </c>
      <c r="J106" s="25">
        <v>9.2903891514371558E-3</v>
      </c>
      <c r="K106" s="26">
        <v>0.18200090466767105</v>
      </c>
      <c r="L106" s="24">
        <v>0</v>
      </c>
      <c r="M106" s="25">
        <v>0</v>
      </c>
      <c r="N106" s="26">
        <v>0</v>
      </c>
      <c r="O106" s="27">
        <v>0</v>
      </c>
      <c r="P106" s="28">
        <v>0</v>
      </c>
      <c r="Q106" s="29">
        <v>0</v>
      </c>
      <c r="R106" s="24">
        <v>0</v>
      </c>
      <c r="S106" s="25">
        <v>2.3831211718299116E-2</v>
      </c>
      <c r="T106" s="26">
        <v>9.3298590462956965E-2</v>
      </c>
      <c r="U106" s="27">
        <v>239.21296296296296</v>
      </c>
      <c r="V106" s="28">
        <v>234.86363636363637</v>
      </c>
      <c r="W106" s="29">
        <v>232.65753424657535</v>
      </c>
      <c r="X106" s="24">
        <v>0.67557147351591085</v>
      </c>
      <c r="Y106" s="25">
        <v>0.61961170689131251</v>
      </c>
      <c r="Z106" s="26">
        <v>0.67888282839952097</v>
      </c>
      <c r="AA106" s="24">
        <v>6.2792261697134949E-2</v>
      </c>
      <c r="AB106" s="25">
        <v>0.11334833002416025</v>
      </c>
      <c r="AC106" s="26">
        <v>6.4512726224848715E-2</v>
      </c>
      <c r="AD106" s="27">
        <v>6438316</v>
      </c>
      <c r="AE106" s="28">
        <v>10835221</v>
      </c>
      <c r="AF106" s="29">
        <v>6951276</v>
      </c>
      <c r="AG106" s="27">
        <v>21636217</v>
      </c>
      <c r="AH106" s="28">
        <v>53037923</v>
      </c>
      <c r="AI106" s="29">
        <v>24704459</v>
      </c>
      <c r="AJ106" s="27">
        <v>7232525</v>
      </c>
      <c r="AK106" s="28">
        <v>493688</v>
      </c>
      <c r="AL106" s="29">
        <v>5616539</v>
      </c>
      <c r="AM106" s="30">
        <v>16564869</v>
      </c>
      <c r="AN106" s="30">
        <v>9888591</v>
      </c>
      <c r="AO106" s="30">
        <v>15522690</v>
      </c>
      <c r="AP106" s="27">
        <v>0</v>
      </c>
      <c r="AQ106" s="28">
        <v>0</v>
      </c>
      <c r="AR106" s="29">
        <v>0</v>
      </c>
      <c r="AS106" s="27">
        <v>0</v>
      </c>
      <c r="AT106" s="28">
        <v>320883</v>
      </c>
      <c r="AU106" s="29">
        <v>1267689</v>
      </c>
      <c r="AV106" s="27">
        <v>1200345.8400000001</v>
      </c>
      <c r="AW106" s="28">
        <v>817886.71999999834</v>
      </c>
      <c r="AX106" s="29">
        <v>3078165.11</v>
      </c>
      <c r="AY106" s="27">
        <v>12062697.279999999</v>
      </c>
      <c r="AZ106" s="28">
        <v>14887917.43</v>
      </c>
      <c r="BA106" s="29">
        <v>21442243.469999999</v>
      </c>
      <c r="BB106" s="24">
        <v>0</v>
      </c>
      <c r="BC106" s="25">
        <v>6.0500672320822216E-3</v>
      </c>
      <c r="BD106" s="26">
        <v>2.0196715195708936E-2</v>
      </c>
      <c r="BE106" s="24">
        <v>2.0989349033459292E-2</v>
      </c>
      <c r="BF106" s="25">
        <v>1.930216957407117E-2</v>
      </c>
      <c r="BG106" s="26">
        <v>4.9041069262285991E-2</v>
      </c>
      <c r="BH106" s="24">
        <v>0.21092934640809852</v>
      </c>
      <c r="BI106" s="25">
        <v>0.35135563374672524</v>
      </c>
      <c r="BJ106" s="26">
        <v>0.34161603084087633</v>
      </c>
      <c r="BK106" s="24">
        <v>0.84496000000000004</v>
      </c>
      <c r="BL106" s="25">
        <v>0.81501000000000001</v>
      </c>
      <c r="BM106" s="26">
        <v>0.83</v>
      </c>
    </row>
    <row r="107" spans="1:65" x14ac:dyDescent="0.2">
      <c r="A107" s="22">
        <v>6107</v>
      </c>
      <c r="B107" s="23" t="s">
        <v>124</v>
      </c>
      <c r="C107" s="24">
        <v>0.10215717766883729</v>
      </c>
      <c r="D107" s="25">
        <v>8.859275334245767E-2</v>
      </c>
      <c r="E107" s="26">
        <v>0.12685761971904971</v>
      </c>
      <c r="F107" s="24">
        <v>0.26829155843764502</v>
      </c>
      <c r="G107" s="25">
        <v>0.16267373593847614</v>
      </c>
      <c r="H107" s="26">
        <v>0.36873745449982598</v>
      </c>
      <c r="I107" s="24">
        <v>5.8162722756406944E-2</v>
      </c>
      <c r="J107" s="25">
        <v>7.4165652079684966E-2</v>
      </c>
      <c r="K107" s="26">
        <v>-0.13027262859464012</v>
      </c>
      <c r="L107" s="24">
        <v>0</v>
      </c>
      <c r="M107" s="25">
        <v>8.2218212851683264E-2</v>
      </c>
      <c r="N107" s="26">
        <v>0</v>
      </c>
      <c r="O107" s="27">
        <v>0</v>
      </c>
      <c r="P107" s="28">
        <v>55</v>
      </c>
      <c r="Q107" s="29">
        <v>0</v>
      </c>
      <c r="R107" s="24">
        <v>0</v>
      </c>
      <c r="S107" s="25">
        <v>0</v>
      </c>
      <c r="T107" s="26">
        <v>0</v>
      </c>
      <c r="U107" s="27">
        <v>260.25641025641028</v>
      </c>
      <c r="V107" s="28">
        <v>115.34090909090909</v>
      </c>
      <c r="W107" s="29">
        <v>113.38636363636364</v>
      </c>
      <c r="X107" s="24">
        <v>0.56674089103570913</v>
      </c>
      <c r="Y107" s="25">
        <v>0.38968360526645496</v>
      </c>
      <c r="Z107" s="26">
        <v>0.59554011834060616</v>
      </c>
      <c r="AA107" s="24">
        <v>0.244797424524792</v>
      </c>
      <c r="AB107" s="25">
        <v>0.43909962694870353</v>
      </c>
      <c r="AC107" s="26">
        <v>0.24097047038371505</v>
      </c>
      <c r="AD107" s="27">
        <v>890347</v>
      </c>
      <c r="AE107" s="28">
        <v>2339859</v>
      </c>
      <c r="AF107" s="29">
        <v>975631</v>
      </c>
      <c r="AG107" s="27">
        <v>8273114</v>
      </c>
      <c r="AH107" s="28">
        <v>24990397</v>
      </c>
      <c r="AI107" s="29">
        <v>9507472</v>
      </c>
      <c r="AJ107" s="27">
        <v>506915</v>
      </c>
      <c r="AK107" s="28">
        <v>1958819</v>
      </c>
      <c r="AL107" s="29">
        <v>-1001895</v>
      </c>
      <c r="AM107" s="30">
        <v>6175724</v>
      </c>
      <c r="AN107" s="30">
        <v>7910998</v>
      </c>
      <c r="AO107" s="30">
        <v>6633193</v>
      </c>
      <c r="AP107" s="27">
        <v>0</v>
      </c>
      <c r="AQ107" s="28">
        <v>279481</v>
      </c>
      <c r="AR107" s="29">
        <v>0</v>
      </c>
      <c r="AS107" s="27">
        <v>0</v>
      </c>
      <c r="AT107" s="28">
        <v>0</v>
      </c>
      <c r="AU107" s="29">
        <v>0</v>
      </c>
      <c r="AV107" s="27">
        <v>31359.370000000112</v>
      </c>
      <c r="AW107" s="28">
        <v>267153.20000000048</v>
      </c>
      <c r="AX107" s="29">
        <v>3537458.52</v>
      </c>
      <c r="AY107" s="27">
        <v>7591434.3100000005</v>
      </c>
      <c r="AZ107" s="28">
        <v>19460063.890000001</v>
      </c>
      <c r="BA107" s="29">
        <v>21395724.969999999</v>
      </c>
      <c r="BB107" s="24">
        <v>0</v>
      </c>
      <c r="BC107" s="25">
        <v>0</v>
      </c>
      <c r="BD107" s="26">
        <v>0</v>
      </c>
      <c r="BE107" s="24">
        <v>1.4871295504126469E-3</v>
      </c>
      <c r="BF107" s="25">
        <v>1.6063710987266347E-2</v>
      </c>
      <c r="BG107" s="26">
        <v>0.14737599003455826</v>
      </c>
      <c r="BH107" s="24">
        <v>0.3600023307999301</v>
      </c>
      <c r="BI107" s="25">
        <v>1.1701182771634311</v>
      </c>
      <c r="BJ107" s="26">
        <v>0.89137897508431252</v>
      </c>
      <c r="BK107" s="24">
        <v>0.70462999999999998</v>
      </c>
      <c r="BL107" s="25">
        <v>0.61975999999999998</v>
      </c>
      <c r="BM107" s="26">
        <v>0.66220000000000001</v>
      </c>
    </row>
    <row r="108" spans="1:65" x14ac:dyDescent="0.2">
      <c r="A108" s="22">
        <v>6108</v>
      </c>
      <c r="B108" s="23" t="s">
        <v>125</v>
      </c>
      <c r="C108" s="24">
        <v>0.14694861972507622</v>
      </c>
      <c r="D108" s="25">
        <v>9.8289528271682317E-2</v>
      </c>
      <c r="E108" s="26">
        <v>0.14411270345987084</v>
      </c>
      <c r="F108" s="24">
        <v>0.92093344034364666</v>
      </c>
      <c r="G108" s="25">
        <v>0.35359567183049895</v>
      </c>
      <c r="H108" s="26">
        <v>1.0313526696308744</v>
      </c>
      <c r="I108" s="24">
        <v>0.233883665035968</v>
      </c>
      <c r="J108" s="25">
        <v>6.1610577248274026E-2</v>
      </c>
      <c r="K108" s="26">
        <v>0.29153529864082262</v>
      </c>
      <c r="L108" s="24">
        <v>0</v>
      </c>
      <c r="M108" s="25">
        <v>0</v>
      </c>
      <c r="N108" s="26">
        <v>0</v>
      </c>
      <c r="O108" s="27">
        <v>0</v>
      </c>
      <c r="P108" s="28">
        <v>0</v>
      </c>
      <c r="Q108" s="29">
        <v>0</v>
      </c>
      <c r="R108" s="24">
        <v>0</v>
      </c>
      <c r="S108" s="25">
        <v>0</v>
      </c>
      <c r="T108" s="26">
        <v>0</v>
      </c>
      <c r="U108" s="27">
        <v>112.91836734693878</v>
      </c>
      <c r="V108" s="28">
        <v>112.91836734693878</v>
      </c>
      <c r="W108" s="29">
        <v>111.16326530612245</v>
      </c>
      <c r="X108" s="24">
        <v>0.68529881354252886</v>
      </c>
      <c r="Y108" s="25">
        <v>0.55362678147444389</v>
      </c>
      <c r="Z108" s="26">
        <v>0.66865803655597422</v>
      </c>
      <c r="AA108" s="24">
        <v>3.6433654242618067E-2</v>
      </c>
      <c r="AB108" s="25">
        <v>0.2065776013408992</v>
      </c>
      <c r="AC108" s="26">
        <v>8.1019702512113267E-2</v>
      </c>
      <c r="AD108" s="27">
        <v>1052230</v>
      </c>
      <c r="AE108" s="28">
        <v>1743727</v>
      </c>
      <c r="AF108" s="29">
        <v>1286433</v>
      </c>
      <c r="AG108" s="27">
        <v>5561177</v>
      </c>
      <c r="AH108" s="28">
        <v>16872260</v>
      </c>
      <c r="AI108" s="29">
        <v>6340359</v>
      </c>
      <c r="AJ108" s="27">
        <v>1674731</v>
      </c>
      <c r="AK108" s="28">
        <v>1093016</v>
      </c>
      <c r="AL108" s="29">
        <v>2602412</v>
      </c>
      <c r="AM108" s="30">
        <v>8586220</v>
      </c>
      <c r="AN108" s="30">
        <v>7910183</v>
      </c>
      <c r="AO108" s="30">
        <v>10594687</v>
      </c>
      <c r="AP108" s="27">
        <v>0</v>
      </c>
      <c r="AQ108" s="28">
        <v>0</v>
      </c>
      <c r="AR108" s="29">
        <v>0</v>
      </c>
      <c r="AS108" s="27">
        <v>0</v>
      </c>
      <c r="AT108" s="28">
        <v>0</v>
      </c>
      <c r="AU108" s="29">
        <v>0</v>
      </c>
      <c r="AV108" s="27">
        <v>212811.94000000006</v>
      </c>
      <c r="AW108" s="28">
        <v>148359.79999999958</v>
      </c>
      <c r="AX108" s="29">
        <v>465391.7799999998</v>
      </c>
      <c r="AY108" s="27">
        <v>5976550.2000000002</v>
      </c>
      <c r="AZ108" s="28">
        <v>21307548.790000003</v>
      </c>
      <c r="BA108" s="29">
        <v>21389907.159999996</v>
      </c>
      <c r="BB108" s="24">
        <v>0</v>
      </c>
      <c r="BC108" s="25">
        <v>0</v>
      </c>
      <c r="BD108" s="26">
        <v>0</v>
      </c>
      <c r="BE108" s="24">
        <v>1.0336035883459771E-2</v>
      </c>
      <c r="BF108" s="25">
        <v>1.111442236839697E-2</v>
      </c>
      <c r="BG108" s="26">
        <v>2.0333882657880262E-2</v>
      </c>
      <c r="BH108" s="24">
        <v>0.29027430193295856</v>
      </c>
      <c r="BI108" s="25">
        <v>1.5962619044194348</v>
      </c>
      <c r="BJ108" s="26">
        <v>0.93456713449986795</v>
      </c>
      <c r="BK108" s="24">
        <v>0.80528</v>
      </c>
      <c r="BL108" s="25">
        <v>0.68032000000000004</v>
      </c>
      <c r="BM108" s="26">
        <v>0.74280000000000002</v>
      </c>
    </row>
    <row r="109" spans="1:65" x14ac:dyDescent="0.2">
      <c r="A109" s="22">
        <v>6201</v>
      </c>
      <c r="B109" s="23" t="s">
        <v>126</v>
      </c>
      <c r="C109" s="24">
        <v>9.9377979029742769E-2</v>
      </c>
      <c r="D109" s="25">
        <v>0.10126279402511752</v>
      </c>
      <c r="E109" s="26">
        <v>0.10189408905743229</v>
      </c>
      <c r="F109" s="24">
        <v>0.38989090289159667</v>
      </c>
      <c r="G109" s="25">
        <v>0.36763538924014111</v>
      </c>
      <c r="H109" s="26">
        <v>0.5909804727271587</v>
      </c>
      <c r="I109" s="24">
        <v>0.31244461072837937</v>
      </c>
      <c r="J109" s="25">
        <v>7.7194379139081934E-2</v>
      </c>
      <c r="K109" s="26">
        <v>9.329060965791941E-2</v>
      </c>
      <c r="L109" s="24">
        <v>7.9108005644633814E-2</v>
      </c>
      <c r="M109" s="25">
        <v>6.2979626916449913E-2</v>
      </c>
      <c r="N109" s="26">
        <v>0.26476039739158436</v>
      </c>
      <c r="O109" s="27">
        <v>33</v>
      </c>
      <c r="P109" s="28">
        <v>27</v>
      </c>
      <c r="Q109" s="29">
        <v>125</v>
      </c>
      <c r="R109" s="24">
        <v>1.6947669671456448E-2</v>
      </c>
      <c r="S109" s="25">
        <v>1.0291829914726896E-2</v>
      </c>
      <c r="T109" s="26">
        <v>9.0678521690892664E-3</v>
      </c>
      <c r="U109" s="27">
        <v>184.64</v>
      </c>
      <c r="V109" s="28">
        <v>184.64</v>
      </c>
      <c r="W109" s="29">
        <v>177.15584415584416</v>
      </c>
      <c r="X109" s="24">
        <v>0.62193220259970883</v>
      </c>
      <c r="Y109" s="25">
        <v>0.63784939440483746</v>
      </c>
      <c r="Z109" s="26">
        <v>0.71526516462673928</v>
      </c>
      <c r="AA109" s="24">
        <v>0.16991528381581011</v>
      </c>
      <c r="AB109" s="25">
        <v>0.15904346384849255</v>
      </c>
      <c r="AC109" s="26">
        <v>7.3134845697531162E-2</v>
      </c>
      <c r="AD109" s="27">
        <v>1806733</v>
      </c>
      <c r="AE109" s="28">
        <v>3688716</v>
      </c>
      <c r="AF109" s="29">
        <v>2073926</v>
      </c>
      <c r="AG109" s="27">
        <v>16603321</v>
      </c>
      <c r="AH109" s="28">
        <v>37757402</v>
      </c>
      <c r="AI109" s="29">
        <v>16969722</v>
      </c>
      <c r="AJ109" s="27">
        <v>5680373</v>
      </c>
      <c r="AK109" s="28">
        <v>2811972</v>
      </c>
      <c r="AL109" s="29">
        <v>1898813</v>
      </c>
      <c r="AM109" s="30">
        <v>9233265</v>
      </c>
      <c r="AN109" s="30">
        <v>6189336</v>
      </c>
      <c r="AO109" s="30">
        <v>9450710</v>
      </c>
      <c r="AP109" s="27">
        <v>453909</v>
      </c>
      <c r="AQ109" s="28">
        <v>367273</v>
      </c>
      <c r="AR109" s="29">
        <v>1706255</v>
      </c>
      <c r="AS109" s="27">
        <v>97243</v>
      </c>
      <c r="AT109" s="28">
        <v>60018</v>
      </c>
      <c r="AU109" s="29">
        <v>58438</v>
      </c>
      <c r="AV109" s="27">
        <v>349727.95999999961</v>
      </c>
      <c r="AW109" s="28">
        <v>454873.53000000148</v>
      </c>
      <c r="AX109" s="29">
        <v>366680.88</v>
      </c>
      <c r="AY109" s="27">
        <v>5738843.2199999988</v>
      </c>
      <c r="AZ109" s="28">
        <v>11130600.41</v>
      </c>
      <c r="BA109" s="29">
        <v>13289526.190000001</v>
      </c>
      <c r="BB109" s="24">
        <v>2.4310285673543636E-3</v>
      </c>
      <c r="BC109" s="25">
        <v>1.5895691128324984E-3</v>
      </c>
      <c r="BD109" s="26">
        <v>1.3873355479866209E-3</v>
      </c>
      <c r="BE109" s="24">
        <v>8.7430320080886352E-3</v>
      </c>
      <c r="BF109" s="25">
        <v>1.5593351436248773E-2</v>
      </c>
      <c r="BG109" s="26">
        <v>8.7051134465761393E-3</v>
      </c>
      <c r="BH109" s="24">
        <v>0.14346834025470109</v>
      </c>
      <c r="BI109" s="25">
        <v>0.38156400063460305</v>
      </c>
      <c r="BJ109" s="26">
        <v>0.31549731509097168</v>
      </c>
      <c r="BK109" s="24">
        <v>0.74983</v>
      </c>
      <c r="BL109" s="25">
        <v>0.62065000000000003</v>
      </c>
      <c r="BM109" s="26">
        <v>0.68520000000000003</v>
      </c>
    </row>
    <row r="110" spans="1:65" x14ac:dyDescent="0.2">
      <c r="A110" s="22">
        <v>6202</v>
      </c>
      <c r="B110" s="23" t="s">
        <v>127</v>
      </c>
      <c r="C110" s="24">
        <v>0.11296535949489209</v>
      </c>
      <c r="D110" s="25">
        <v>0.12876458508865035</v>
      </c>
      <c r="E110" s="26">
        <v>9.6512263706058782E-2</v>
      </c>
      <c r="F110" s="24">
        <v>0.33988304858874241</v>
      </c>
      <c r="G110" s="25">
        <v>0.40431854220308333</v>
      </c>
      <c r="H110" s="26">
        <v>0.70004311684835319</v>
      </c>
      <c r="I110" s="24">
        <v>3.1591371894995513E-3</v>
      </c>
      <c r="J110" s="25">
        <v>-3.5179023269493674E-2</v>
      </c>
      <c r="K110" s="26">
        <v>0.19332034373085458</v>
      </c>
      <c r="L110" s="24">
        <v>0</v>
      </c>
      <c r="M110" s="25">
        <v>0</v>
      </c>
      <c r="N110" s="26">
        <v>0</v>
      </c>
      <c r="O110" s="27">
        <v>0</v>
      </c>
      <c r="P110" s="28">
        <v>0</v>
      </c>
      <c r="Q110" s="29">
        <v>0</v>
      </c>
      <c r="R110" s="24">
        <v>0</v>
      </c>
      <c r="S110" s="25">
        <v>0</v>
      </c>
      <c r="T110" s="26">
        <v>0</v>
      </c>
      <c r="U110" s="27">
        <v>171.65909090909091</v>
      </c>
      <c r="V110" s="28">
        <v>175.65116279069767</v>
      </c>
      <c r="W110" s="29">
        <v>180.19512195121951</v>
      </c>
      <c r="X110" s="24">
        <v>0.60602489247604563</v>
      </c>
      <c r="Y110" s="25">
        <v>0.64358634165517681</v>
      </c>
      <c r="Z110" s="26">
        <v>0.77460170055056699</v>
      </c>
      <c r="AA110" s="24">
        <v>0.2107832499629772</v>
      </c>
      <c r="AB110" s="25">
        <v>0.16706989596973035</v>
      </c>
      <c r="AC110" s="26">
        <v>1.3462267314365105E-2</v>
      </c>
      <c r="AD110" s="27">
        <v>893421</v>
      </c>
      <c r="AE110" s="28">
        <v>1941665</v>
      </c>
      <c r="AF110" s="29">
        <v>826410</v>
      </c>
      <c r="AG110" s="27">
        <v>7603422</v>
      </c>
      <c r="AH110" s="28">
        <v>15568065</v>
      </c>
      <c r="AI110" s="29">
        <v>6868011</v>
      </c>
      <c r="AJ110" s="27">
        <v>24985</v>
      </c>
      <c r="AK110" s="28">
        <v>-530471</v>
      </c>
      <c r="AL110" s="29">
        <v>1655353</v>
      </c>
      <c r="AM110" s="30">
        <v>4925890</v>
      </c>
      <c r="AN110" s="30">
        <v>4372463</v>
      </c>
      <c r="AO110" s="30">
        <v>6039070</v>
      </c>
      <c r="AP110" s="27">
        <v>0</v>
      </c>
      <c r="AQ110" s="28">
        <v>0</v>
      </c>
      <c r="AR110" s="29">
        <v>0</v>
      </c>
      <c r="AS110" s="27">
        <v>0</v>
      </c>
      <c r="AT110" s="28">
        <v>0</v>
      </c>
      <c r="AU110" s="29">
        <v>0</v>
      </c>
      <c r="AV110" s="27">
        <v>449854.6100000001</v>
      </c>
      <c r="AW110" s="28">
        <v>295011.78000000073</v>
      </c>
      <c r="AX110" s="29">
        <v>508183.42999999988</v>
      </c>
      <c r="AY110" s="27">
        <v>6139059.209999999</v>
      </c>
      <c r="AZ110" s="28">
        <v>5053801.91</v>
      </c>
      <c r="BA110" s="29">
        <v>6881733.4399999995</v>
      </c>
      <c r="BB110" s="24">
        <v>0</v>
      </c>
      <c r="BC110" s="25">
        <v>0</v>
      </c>
      <c r="BD110" s="26">
        <v>0</v>
      </c>
      <c r="BE110" s="24">
        <v>2.6850021857012882E-2</v>
      </c>
      <c r="BF110" s="25">
        <v>2.2111635314993956E-2</v>
      </c>
      <c r="BG110" s="26">
        <v>2.8517710288775637E-2</v>
      </c>
      <c r="BH110" s="24">
        <v>0.36641588261148683</v>
      </c>
      <c r="BI110" s="25">
        <v>0.37879105976086658</v>
      </c>
      <c r="BJ110" s="26">
        <v>0.38618197473793936</v>
      </c>
      <c r="BK110" s="24">
        <v>0.65029999999999999</v>
      </c>
      <c r="BL110" s="25">
        <v>0.58133000000000001</v>
      </c>
      <c r="BM110" s="26">
        <v>0.61580000000000001</v>
      </c>
    </row>
    <row r="111" spans="1:65" x14ac:dyDescent="0.2">
      <c r="A111" s="22">
        <v>6203</v>
      </c>
      <c r="B111" s="23" t="s">
        <v>128</v>
      </c>
      <c r="C111" s="24">
        <v>8.661159631479147E-2</v>
      </c>
      <c r="D111" s="25">
        <v>7.3912739355237692E-2</v>
      </c>
      <c r="E111" s="26">
        <v>8.2126256665199418E-2</v>
      </c>
      <c r="F111" s="24">
        <v>0.54002638546386661</v>
      </c>
      <c r="G111" s="25">
        <v>0.16953762709452225</v>
      </c>
      <c r="H111" s="26">
        <v>0.44384919892836122</v>
      </c>
      <c r="I111" s="24">
        <v>9.3814821642049087E-2</v>
      </c>
      <c r="J111" s="25">
        <v>-1.8922257737810668E-2</v>
      </c>
      <c r="K111" s="26">
        <v>5.5785800127153035E-2</v>
      </c>
      <c r="L111" s="24">
        <v>5.2062261522621287E-3</v>
      </c>
      <c r="M111" s="25">
        <v>3.149818072840023E-2</v>
      </c>
      <c r="N111" s="26">
        <v>2.6576935876644815E-2</v>
      </c>
      <c r="O111" s="27">
        <v>2</v>
      </c>
      <c r="P111" s="28">
        <v>15</v>
      </c>
      <c r="Q111" s="29">
        <v>13</v>
      </c>
      <c r="R111" s="24">
        <v>0</v>
      </c>
      <c r="S111" s="25">
        <v>0</v>
      </c>
      <c r="T111" s="26">
        <v>0</v>
      </c>
      <c r="U111" s="27">
        <v>121.56923076923077</v>
      </c>
      <c r="V111" s="28">
        <v>121.56923076923077</v>
      </c>
      <c r="W111" s="29">
        <v>118.92307692307692</v>
      </c>
      <c r="X111" s="24">
        <v>0.77326221694187269</v>
      </c>
      <c r="Y111" s="25">
        <v>0.53114356561747589</v>
      </c>
      <c r="Z111" s="26">
        <v>0.75330264643395073</v>
      </c>
      <c r="AA111" s="24">
        <v>7.5572451449680876E-3</v>
      </c>
      <c r="AB111" s="25">
        <v>0.30705883114845872</v>
      </c>
      <c r="AC111" s="26">
        <v>3.9143491718542853E-2</v>
      </c>
      <c r="AD111" s="27">
        <v>416295</v>
      </c>
      <c r="AE111" s="28">
        <v>1010183</v>
      </c>
      <c r="AF111" s="29">
        <v>450957</v>
      </c>
      <c r="AG111" s="27">
        <v>4356614</v>
      </c>
      <c r="AH111" s="28">
        <v>13897060</v>
      </c>
      <c r="AI111" s="29">
        <v>5142694</v>
      </c>
      <c r="AJ111" s="27">
        <v>450917</v>
      </c>
      <c r="AK111" s="28">
        <v>-258615</v>
      </c>
      <c r="AL111" s="29">
        <v>306321</v>
      </c>
      <c r="AM111" s="30">
        <v>1424257</v>
      </c>
      <c r="AN111" s="30">
        <v>757162</v>
      </c>
      <c r="AO111" s="30">
        <v>1067614</v>
      </c>
      <c r="AP111" s="27">
        <v>8596</v>
      </c>
      <c r="AQ111" s="28">
        <v>57386</v>
      </c>
      <c r="AR111" s="29">
        <v>50312</v>
      </c>
      <c r="AS111" s="27">
        <v>0</v>
      </c>
      <c r="AT111" s="28">
        <v>0</v>
      </c>
      <c r="AU111" s="29">
        <v>0</v>
      </c>
      <c r="AV111" s="27">
        <v>41623.970000000088</v>
      </c>
      <c r="AW111" s="28">
        <v>56523.869999999442</v>
      </c>
      <c r="AX111" s="29">
        <v>46691.240000000107</v>
      </c>
      <c r="AY111" s="27">
        <v>10128933.870000001</v>
      </c>
      <c r="AZ111" s="28">
        <v>10270968.039999999</v>
      </c>
      <c r="BA111" s="29">
        <v>6762736.7499999981</v>
      </c>
      <c r="BB111" s="24">
        <v>0</v>
      </c>
      <c r="BC111" s="25">
        <v>0</v>
      </c>
      <c r="BD111" s="26">
        <v>0</v>
      </c>
      <c r="BE111" s="24">
        <v>4.2949671748043908E-3</v>
      </c>
      <c r="BF111" s="25">
        <v>5.8345594496978601E-3</v>
      </c>
      <c r="BG111" s="26">
        <v>4.5234827819155112E-3</v>
      </c>
      <c r="BH111" s="24">
        <v>1.0451535134062013</v>
      </c>
      <c r="BI111" s="25">
        <v>1.0601994101841805</v>
      </c>
      <c r="BJ111" s="26">
        <v>0.6551790710045865</v>
      </c>
      <c r="BK111" s="24">
        <v>0.66788999999999998</v>
      </c>
      <c r="BL111" s="25">
        <v>0.52056000000000002</v>
      </c>
      <c r="BM111" s="26">
        <v>0.59419999999999995</v>
      </c>
    </row>
    <row r="112" spans="1:65" x14ac:dyDescent="0.2">
      <c r="A112" s="22">
        <v>6204</v>
      </c>
      <c r="B112" s="23" t="s">
        <v>129</v>
      </c>
      <c r="C112" s="24">
        <v>0.10948402154415429</v>
      </c>
      <c r="D112" s="25">
        <v>0.15310776729445622</v>
      </c>
      <c r="E112" s="26">
        <v>0.11945691435129444</v>
      </c>
      <c r="F112" s="24">
        <v>0.52770045945759325</v>
      </c>
      <c r="G112" s="25">
        <v>0.57292773279108244</v>
      </c>
      <c r="H112" s="26">
        <v>0.74174985843084107</v>
      </c>
      <c r="I112" s="24">
        <v>0.22402611432567895</v>
      </c>
      <c r="J112" s="25">
        <v>-1.3757377654890275E-2</v>
      </c>
      <c r="K112" s="26">
        <v>0.21643028778415932</v>
      </c>
      <c r="L112" s="24">
        <v>0.23593929661153043</v>
      </c>
      <c r="M112" s="25">
        <v>0.17444069148956654</v>
      </c>
      <c r="N112" s="26">
        <v>0.18092438769333655</v>
      </c>
      <c r="O112" s="27">
        <v>100</v>
      </c>
      <c r="P112" s="28">
        <v>93</v>
      </c>
      <c r="Q112" s="29">
        <v>86</v>
      </c>
      <c r="R112" s="24">
        <v>0</v>
      </c>
      <c r="S112" s="25">
        <v>0</v>
      </c>
      <c r="T112" s="26">
        <v>0</v>
      </c>
      <c r="U112" s="27">
        <v>139.54285714285714</v>
      </c>
      <c r="V112" s="28">
        <v>139.54285714285714</v>
      </c>
      <c r="W112" s="29">
        <v>137.7904761904762</v>
      </c>
      <c r="X112" s="24">
        <v>0.68787524590110616</v>
      </c>
      <c r="Y112" s="25">
        <v>0.66970260127191783</v>
      </c>
      <c r="Z112" s="26">
        <v>0.70984079902319352</v>
      </c>
      <c r="AA112" s="24">
        <v>8.573399539732858E-2</v>
      </c>
      <c r="AB112" s="25">
        <v>0.10848670410708323</v>
      </c>
      <c r="AC112" s="26">
        <v>1.4547786758116193E-2</v>
      </c>
      <c r="AD112" s="27">
        <v>932376</v>
      </c>
      <c r="AE112" s="28">
        <v>2662001</v>
      </c>
      <c r="AF112" s="29">
        <v>1165786</v>
      </c>
      <c r="AG112" s="27">
        <v>6763898</v>
      </c>
      <c r="AH112" s="28">
        <v>17645637</v>
      </c>
      <c r="AI112" s="29">
        <v>7746058</v>
      </c>
      <c r="AJ112" s="27">
        <v>1907827</v>
      </c>
      <c r="AK112" s="28">
        <v>-239192</v>
      </c>
      <c r="AL112" s="29">
        <v>2112154</v>
      </c>
      <c r="AM112" s="30">
        <v>7383947</v>
      </c>
      <c r="AN112" s="30">
        <v>5216505</v>
      </c>
      <c r="AO112" s="30">
        <v>7190948</v>
      </c>
      <c r="AP112" s="27">
        <v>734597</v>
      </c>
      <c r="AQ112" s="28">
        <v>679499</v>
      </c>
      <c r="AR112" s="29">
        <v>624401</v>
      </c>
      <c r="AS112" s="27">
        <v>0</v>
      </c>
      <c r="AT112" s="28">
        <v>0</v>
      </c>
      <c r="AU112" s="29">
        <v>0</v>
      </c>
      <c r="AV112" s="27">
        <v>27624.070000000065</v>
      </c>
      <c r="AW112" s="28">
        <v>88390.680000000008</v>
      </c>
      <c r="AX112" s="29">
        <v>9676.5800000000781</v>
      </c>
      <c r="AY112" s="27">
        <v>1882809.45</v>
      </c>
      <c r="AZ112" s="28">
        <v>8208858.46</v>
      </c>
      <c r="BA112" s="29">
        <v>11233232.539999999</v>
      </c>
      <c r="BB112" s="24">
        <v>0</v>
      </c>
      <c r="BC112" s="25">
        <v>0</v>
      </c>
      <c r="BD112" s="26">
        <v>0</v>
      </c>
      <c r="BE112" s="24">
        <v>1.3467842073863041E-3</v>
      </c>
      <c r="BF112" s="25">
        <v>5.9226049666278955E-3</v>
      </c>
      <c r="BG112" s="26">
        <v>4.3995583428263003E-4</v>
      </c>
      <c r="BH112" s="24">
        <v>9.179451227779567E-2</v>
      </c>
      <c r="BI112" s="25">
        <v>0.55003339589130229</v>
      </c>
      <c r="BJ112" s="26">
        <v>0.51073067073557465</v>
      </c>
      <c r="BK112" s="24">
        <v>0.69554000000000005</v>
      </c>
      <c r="BL112" s="25">
        <v>0.62395999999999996</v>
      </c>
      <c r="BM112" s="26">
        <v>0.65980000000000005</v>
      </c>
    </row>
    <row r="113" spans="1:65" x14ac:dyDescent="0.2">
      <c r="A113" s="22">
        <v>6205</v>
      </c>
      <c r="B113" s="23" t="s">
        <v>130</v>
      </c>
      <c r="C113" s="24">
        <v>0.18205118438802859</v>
      </c>
      <c r="D113" s="25">
        <v>0.16098187183964635</v>
      </c>
      <c r="E113" s="26">
        <v>0.18746508183632465</v>
      </c>
      <c r="F113" s="24">
        <v>0.4744475821296758</v>
      </c>
      <c r="G113" s="25">
        <v>0.44350389891617314</v>
      </c>
      <c r="H113" s="26">
        <v>0.55932282155217095</v>
      </c>
      <c r="I113" s="24">
        <v>-9.9824139920029448E-2</v>
      </c>
      <c r="J113" s="25">
        <v>4.3484281727686818E-3</v>
      </c>
      <c r="K113" s="26">
        <v>-5.1800665507750449E-2</v>
      </c>
      <c r="L113" s="24">
        <v>0</v>
      </c>
      <c r="M113" s="25">
        <v>0</v>
      </c>
      <c r="N113" s="26">
        <v>0</v>
      </c>
      <c r="O113" s="27">
        <v>0</v>
      </c>
      <c r="P113" s="28">
        <v>0</v>
      </c>
      <c r="Q113" s="29">
        <v>0</v>
      </c>
      <c r="R113" s="24">
        <v>4.4614801859486179E-3</v>
      </c>
      <c r="S113" s="25">
        <v>2.7154953823812753E-2</v>
      </c>
      <c r="T113" s="26">
        <v>0</v>
      </c>
      <c r="U113" s="27">
        <v>151.43181818181819</v>
      </c>
      <c r="V113" s="28">
        <v>151.43181818181819</v>
      </c>
      <c r="W113" s="29">
        <v>149.58620689655172</v>
      </c>
      <c r="X113" s="24">
        <v>0.63026047724387479</v>
      </c>
      <c r="Y113" s="25">
        <v>0.62537639032460068</v>
      </c>
      <c r="Z113" s="26">
        <v>0.66627110257734146</v>
      </c>
      <c r="AA113" s="24">
        <v>0.15334906440283702</v>
      </c>
      <c r="AB113" s="25">
        <v>0.17101420362077449</v>
      </c>
      <c r="AC113" s="26">
        <v>0.13427136962977002</v>
      </c>
      <c r="AD113" s="27">
        <v>1395663</v>
      </c>
      <c r="AE113" s="28">
        <v>2741161</v>
      </c>
      <c r="AF113" s="29">
        <v>1660941</v>
      </c>
      <c r="AG113" s="27">
        <v>8419008</v>
      </c>
      <c r="AH113" s="28">
        <v>17152739</v>
      </c>
      <c r="AI113" s="29">
        <v>9106826</v>
      </c>
      <c r="AJ113" s="27">
        <v>-765284</v>
      </c>
      <c r="AK113" s="28">
        <v>74044</v>
      </c>
      <c r="AL113" s="29">
        <v>-458954</v>
      </c>
      <c r="AM113" s="30">
        <v>945822</v>
      </c>
      <c r="AN113" s="30">
        <v>1745595</v>
      </c>
      <c r="AO113" s="30">
        <v>1277230</v>
      </c>
      <c r="AP113" s="27">
        <v>0</v>
      </c>
      <c r="AQ113" s="28">
        <v>0</v>
      </c>
      <c r="AR113" s="29">
        <v>0</v>
      </c>
      <c r="AS113" s="27">
        <v>18586</v>
      </c>
      <c r="AT113" s="28">
        <v>100828</v>
      </c>
      <c r="AU113" s="29">
        <v>0</v>
      </c>
      <c r="AV113" s="27">
        <v>542668.35</v>
      </c>
      <c r="AW113" s="28">
        <v>397864.31999999972</v>
      </c>
      <c r="AX113" s="29">
        <v>2385026.11</v>
      </c>
      <c r="AY113" s="27">
        <v>4070069.3100000005</v>
      </c>
      <c r="AZ113" s="28">
        <v>7517778.4899999993</v>
      </c>
      <c r="BA113" s="29">
        <v>6911944.96</v>
      </c>
      <c r="BB113" s="24">
        <v>1.1889834345167661E-3</v>
      </c>
      <c r="BC113" s="25">
        <v>5.8782448680645112E-3</v>
      </c>
      <c r="BD113" s="26">
        <v>0</v>
      </c>
      <c r="BE113" s="24">
        <v>3.4715575088052647E-2</v>
      </c>
      <c r="BF113" s="25">
        <v>2.8964471333157816E-2</v>
      </c>
      <c r="BG113" s="26">
        <v>0.13573509023268382</v>
      </c>
      <c r="BH113" s="24">
        <v>0.26037043941273458</v>
      </c>
      <c r="BI113" s="25">
        <v>0.54729330733310189</v>
      </c>
      <c r="BJ113" s="26">
        <v>0.39336821886153028</v>
      </c>
      <c r="BK113" s="24">
        <v>0.73294999999999999</v>
      </c>
      <c r="BL113" s="25">
        <v>0.72909999999999997</v>
      </c>
      <c r="BM113" s="26">
        <v>0.73099999999999998</v>
      </c>
    </row>
    <row r="114" spans="1:65" x14ac:dyDescent="0.2">
      <c r="A114" s="22">
        <v>6206</v>
      </c>
      <c r="B114" s="23" t="s">
        <v>131</v>
      </c>
      <c r="C114" s="24">
        <v>7.6557312136166192E-2</v>
      </c>
      <c r="D114" s="25">
        <v>6.8540495428991183E-2</v>
      </c>
      <c r="E114" s="26">
        <v>0.11720443332316278</v>
      </c>
      <c r="F114" s="24">
        <v>0.24165792978908368</v>
      </c>
      <c r="G114" s="25">
        <v>9.7835884443122537E-2</v>
      </c>
      <c r="H114" s="26">
        <v>0.37026164657014254</v>
      </c>
      <c r="I114" s="24">
        <v>0.1408747968440649</v>
      </c>
      <c r="J114" s="25">
        <v>-0.12628693716953823</v>
      </c>
      <c r="K114" s="26">
        <v>1.3269929812102102E-2</v>
      </c>
      <c r="L114" s="24">
        <v>0</v>
      </c>
      <c r="M114" s="25">
        <v>0.12580208076641589</v>
      </c>
      <c r="N114" s="26">
        <v>6.0357675111773472E-2</v>
      </c>
      <c r="O114" s="27">
        <v>0</v>
      </c>
      <c r="P114" s="28">
        <v>87</v>
      </c>
      <c r="Q114" s="29">
        <v>60</v>
      </c>
      <c r="R114" s="24">
        <v>0</v>
      </c>
      <c r="S114" s="25">
        <v>0</v>
      </c>
      <c r="T114" s="26">
        <v>0</v>
      </c>
      <c r="U114" s="27">
        <v>57.676470588235297</v>
      </c>
      <c r="V114" s="28">
        <v>57.676470588235297</v>
      </c>
      <c r="W114" s="29">
        <v>57.363636363636367</v>
      </c>
      <c r="X114" s="24">
        <v>0.54047651199370705</v>
      </c>
      <c r="Y114" s="25">
        <v>0.33086012838016188</v>
      </c>
      <c r="Z114" s="26">
        <v>0.61267232099597491</v>
      </c>
      <c r="AA114" s="24">
        <v>0.20655907250930217</v>
      </c>
      <c r="AB114" s="25">
        <v>0.46511799839303086</v>
      </c>
      <c r="AC114" s="26">
        <v>0.11894230925208533</v>
      </c>
      <c r="AD114" s="27">
        <v>323847</v>
      </c>
      <c r="AE114" s="28">
        <v>753929</v>
      </c>
      <c r="AF114" s="29">
        <v>422159</v>
      </c>
      <c r="AG114" s="27">
        <v>3473113</v>
      </c>
      <c r="AH114" s="28">
        <v>12403474</v>
      </c>
      <c r="AI114" s="29">
        <v>3267231</v>
      </c>
      <c r="AJ114" s="27">
        <v>595918</v>
      </c>
      <c r="AK114" s="28">
        <v>-1389126</v>
      </c>
      <c r="AL114" s="29">
        <v>47797</v>
      </c>
      <c r="AM114" s="30">
        <v>3654783</v>
      </c>
      <c r="AN114" s="30">
        <v>1867428</v>
      </c>
      <c r="AO114" s="30">
        <v>1809842</v>
      </c>
      <c r="AP114" s="27">
        <v>0</v>
      </c>
      <c r="AQ114" s="28">
        <v>170000</v>
      </c>
      <c r="AR114" s="29">
        <v>113400</v>
      </c>
      <c r="AS114" s="27">
        <v>0</v>
      </c>
      <c r="AT114" s="28">
        <v>0</v>
      </c>
      <c r="AU114" s="29">
        <v>0</v>
      </c>
      <c r="AV114" s="27">
        <v>107975.13</v>
      </c>
      <c r="AW114" s="28">
        <v>215805.22999999952</v>
      </c>
      <c r="AX114" s="29">
        <v>118884.85000000008</v>
      </c>
      <c r="AY114" s="27">
        <v>3977983.7700000005</v>
      </c>
      <c r="AZ114" s="28">
        <v>10786319.640000001</v>
      </c>
      <c r="BA114" s="29">
        <v>11331952.770000001</v>
      </c>
      <c r="BB114" s="24">
        <v>0</v>
      </c>
      <c r="BC114" s="25">
        <v>0</v>
      </c>
      <c r="BD114" s="26">
        <v>0</v>
      </c>
      <c r="BE114" s="24">
        <v>1.0220823476959514E-2</v>
      </c>
      <c r="BF114" s="25">
        <v>2.9640192170371695E-2</v>
      </c>
      <c r="BG114" s="26">
        <v>1.4204220349989286E-2</v>
      </c>
      <c r="BH114" s="24">
        <v>0.37655217370314736</v>
      </c>
      <c r="BI114" s="25">
        <v>1.4814682060330751</v>
      </c>
      <c r="BJ114" s="26">
        <v>1.3539282266895352</v>
      </c>
      <c r="BK114" s="24">
        <v>0.69874999999999998</v>
      </c>
      <c r="BL114" s="25">
        <v>0.75285000000000002</v>
      </c>
      <c r="BM114" s="26">
        <v>0.7258</v>
      </c>
    </row>
    <row r="115" spans="1:65" x14ac:dyDescent="0.2">
      <c r="A115" s="22">
        <v>6207</v>
      </c>
      <c r="B115" s="23" t="s">
        <v>132</v>
      </c>
      <c r="C115" s="24">
        <v>0.10609334362679686</v>
      </c>
      <c r="D115" s="25">
        <v>8.9497781515786856E-2</v>
      </c>
      <c r="E115" s="26">
        <v>0.13660603693941073</v>
      </c>
      <c r="F115" s="24">
        <v>0.36915324601471583</v>
      </c>
      <c r="G115" s="25">
        <v>0.18062774265361975</v>
      </c>
      <c r="H115" s="26">
        <v>0.82820744803277213</v>
      </c>
      <c r="I115" s="24">
        <v>0.24026460633766702</v>
      </c>
      <c r="J115" s="25">
        <v>5.3606095038880835E-2</v>
      </c>
      <c r="K115" s="26">
        <v>0.21810289290652299</v>
      </c>
      <c r="L115" s="24">
        <v>0.25729335217382948</v>
      </c>
      <c r="M115" s="25">
        <v>0.24156442851121485</v>
      </c>
      <c r="N115" s="26">
        <v>0.2126694094935388</v>
      </c>
      <c r="O115" s="27">
        <v>99</v>
      </c>
      <c r="P115" s="28">
        <v>98</v>
      </c>
      <c r="Q115" s="29">
        <v>99</v>
      </c>
      <c r="R115" s="24">
        <v>1.0394986264896568E-2</v>
      </c>
      <c r="S115" s="25">
        <v>9.84488429375459E-3</v>
      </c>
      <c r="T115" s="26">
        <v>8.8028120946630206E-3</v>
      </c>
      <c r="U115" s="27">
        <v>282.91549295774649</v>
      </c>
      <c r="V115" s="28">
        <v>286.95714285714286</v>
      </c>
      <c r="W115" s="29">
        <v>278.23943661971833</v>
      </c>
      <c r="X115" s="24">
        <v>0.60123550069204557</v>
      </c>
      <c r="Y115" s="25">
        <v>0.48517795555639531</v>
      </c>
      <c r="Z115" s="26">
        <v>0.73924292556503579</v>
      </c>
      <c r="AA115" s="24">
        <v>0.20875950411559629</v>
      </c>
      <c r="AB115" s="25">
        <v>0.37570779825484002</v>
      </c>
      <c r="AC115" s="26">
        <v>5.4910606738784049E-2</v>
      </c>
      <c r="AD115" s="27">
        <v>2887434</v>
      </c>
      <c r="AE115" s="28">
        <v>5725801</v>
      </c>
      <c r="AF115" s="29">
        <v>3695537</v>
      </c>
      <c r="AG115" s="27">
        <v>22207353</v>
      </c>
      <c r="AH115" s="28">
        <v>66049188</v>
      </c>
      <c r="AI115" s="29">
        <v>21190915</v>
      </c>
      <c r="AJ115" s="27">
        <v>6539036</v>
      </c>
      <c r="AK115" s="28">
        <v>3429558</v>
      </c>
      <c r="AL115" s="29">
        <v>5900232</v>
      </c>
      <c r="AM115" s="30">
        <v>13088705</v>
      </c>
      <c r="AN115" s="30">
        <v>10129803</v>
      </c>
      <c r="AO115" s="30">
        <v>15820135</v>
      </c>
      <c r="AP115" s="27">
        <v>1995109</v>
      </c>
      <c r="AQ115" s="28">
        <v>1977809</v>
      </c>
      <c r="AR115" s="29">
        <v>1947357</v>
      </c>
      <c r="AS115" s="27">
        <v>80605</v>
      </c>
      <c r="AT115" s="28">
        <v>80605</v>
      </c>
      <c r="AU115" s="29">
        <v>80605</v>
      </c>
      <c r="AV115" s="27">
        <v>1524144.4300000004</v>
      </c>
      <c r="AW115" s="28">
        <v>4022899.48</v>
      </c>
      <c r="AX115" s="29">
        <v>3868139.93</v>
      </c>
      <c r="AY115" s="27">
        <v>27552338</v>
      </c>
      <c r="AZ115" s="28">
        <v>13887069.329999998</v>
      </c>
      <c r="BA115" s="29">
        <v>14311414.399999999</v>
      </c>
      <c r="BB115" s="24">
        <v>1.5067306492735186E-3</v>
      </c>
      <c r="BC115" s="25">
        <v>1.2203783640761792E-3</v>
      </c>
      <c r="BD115" s="26">
        <v>1.4426400809245826E-3</v>
      </c>
      <c r="BE115" s="24">
        <v>2.8490479828801162E-2</v>
      </c>
      <c r="BF115" s="25">
        <v>9.508657632830142E-2</v>
      </c>
      <c r="BG115" s="26">
        <v>6.9230614746514596E-2</v>
      </c>
      <c r="BH115" s="24">
        <v>0.51502949102094708</v>
      </c>
      <c r="BI115" s="25">
        <v>0.32823934189463233</v>
      </c>
      <c r="BJ115" s="26">
        <v>0.25614068641103199</v>
      </c>
      <c r="BK115" s="24">
        <v>0.69091000000000002</v>
      </c>
      <c r="BL115" s="25">
        <v>0.60082999999999998</v>
      </c>
      <c r="BM115" s="26">
        <v>0.64590000000000003</v>
      </c>
    </row>
    <row r="116" spans="1:65" x14ac:dyDescent="0.2">
      <c r="A116" s="22">
        <v>6208</v>
      </c>
      <c r="B116" s="23" t="s">
        <v>133</v>
      </c>
      <c r="C116" s="24">
        <v>5.6626565936028619E-2</v>
      </c>
      <c r="D116" s="25">
        <v>6.3010267541031714E-2</v>
      </c>
      <c r="E116" s="26">
        <v>3.3587132759483752E-2</v>
      </c>
      <c r="F116" s="24">
        <v>0.19266086902556925</v>
      </c>
      <c r="G116" s="25">
        <v>0.14756188612876986</v>
      </c>
      <c r="H116" s="26">
        <v>0.19081784513463643</v>
      </c>
      <c r="I116" s="24">
        <v>0.20725218032929632</v>
      </c>
      <c r="J116" s="25">
        <v>-1.7466529102757326E-3</v>
      </c>
      <c r="K116" s="26">
        <v>0.25020969002374449</v>
      </c>
      <c r="L116" s="24">
        <v>0</v>
      </c>
      <c r="M116" s="25">
        <v>0</v>
      </c>
      <c r="N116" s="26">
        <v>0</v>
      </c>
      <c r="O116" s="27">
        <v>0</v>
      </c>
      <c r="P116" s="28">
        <v>0</v>
      </c>
      <c r="Q116" s="29">
        <v>0</v>
      </c>
      <c r="R116" s="24">
        <v>0</v>
      </c>
      <c r="S116" s="25">
        <v>0</v>
      </c>
      <c r="T116" s="26">
        <v>0</v>
      </c>
      <c r="U116" s="27">
        <v>83</v>
      </c>
      <c r="V116" s="28">
        <v>87.882352941176464</v>
      </c>
      <c r="W116" s="29">
        <v>88.746268656716424</v>
      </c>
      <c r="X116" s="24">
        <v>0.62599586743610114</v>
      </c>
      <c r="Y116" s="25">
        <v>0.57347667127339341</v>
      </c>
      <c r="Z116" s="26">
        <v>0.79301931640364487</v>
      </c>
      <c r="AA116" s="24">
        <v>0.2056636846082768</v>
      </c>
      <c r="AB116" s="25">
        <v>0.28545800570706664</v>
      </c>
      <c r="AC116" s="26">
        <v>5.7013832156895478E-3</v>
      </c>
      <c r="AD116" s="27">
        <v>260774</v>
      </c>
      <c r="AE116" s="28">
        <v>626909</v>
      </c>
      <c r="AF116" s="29">
        <v>145399</v>
      </c>
      <c r="AG116" s="27">
        <v>3802966</v>
      </c>
      <c r="AH116" s="28">
        <v>10212602</v>
      </c>
      <c r="AI116" s="29">
        <v>3546157</v>
      </c>
      <c r="AJ116" s="27">
        <v>954428</v>
      </c>
      <c r="AK116" s="28">
        <v>-17378</v>
      </c>
      <c r="AL116" s="29">
        <v>1083160</v>
      </c>
      <c r="AM116" s="30">
        <v>2015485</v>
      </c>
      <c r="AN116" s="30">
        <v>1052609</v>
      </c>
      <c r="AO116" s="30">
        <v>2108292</v>
      </c>
      <c r="AP116" s="27">
        <v>0</v>
      </c>
      <c r="AQ116" s="28">
        <v>0</v>
      </c>
      <c r="AR116" s="29">
        <v>0</v>
      </c>
      <c r="AS116" s="27">
        <v>0</v>
      </c>
      <c r="AT116" s="28">
        <v>0</v>
      </c>
      <c r="AU116" s="29">
        <v>0</v>
      </c>
      <c r="AV116" s="27">
        <v>236267.82999999984</v>
      </c>
      <c r="AW116" s="28">
        <v>361721.07000000047</v>
      </c>
      <c r="AX116" s="29">
        <v>387210.82999999984</v>
      </c>
      <c r="AY116" s="27">
        <v>117262.94999999995</v>
      </c>
      <c r="AZ116" s="28">
        <v>354717.27</v>
      </c>
      <c r="BA116" s="29">
        <v>2576288.84</v>
      </c>
      <c r="BB116" s="24">
        <v>0</v>
      </c>
      <c r="BC116" s="25">
        <v>0</v>
      </c>
      <c r="BD116" s="26">
        <v>0</v>
      </c>
      <c r="BE116" s="24">
        <v>2.7321941743261569E-2</v>
      </c>
      <c r="BF116" s="25">
        <v>4.5379230720689917E-2</v>
      </c>
      <c r="BG116" s="26">
        <v>4.2736973865393761E-2</v>
      </c>
      <c r="BH116" s="24">
        <v>1.3560252737509779E-2</v>
      </c>
      <c r="BI116" s="25">
        <v>4.4500578404081462E-2</v>
      </c>
      <c r="BJ116" s="26">
        <v>0.284348422859933</v>
      </c>
      <c r="BK116" s="24">
        <v>0.79179999999999995</v>
      </c>
      <c r="BL116" s="25">
        <v>0.69882</v>
      </c>
      <c r="BM116" s="26">
        <v>0.74529999999999996</v>
      </c>
    </row>
    <row r="117" spans="1:65" x14ac:dyDescent="0.2">
      <c r="A117" s="22">
        <v>6209</v>
      </c>
      <c r="B117" s="23" t="s">
        <v>134</v>
      </c>
      <c r="C117" s="24">
        <v>0.19227968091329137</v>
      </c>
      <c r="D117" s="25">
        <v>0.16771117762272025</v>
      </c>
      <c r="E117" s="26">
        <v>0.21265116604658607</v>
      </c>
      <c r="F117" s="24">
        <v>0.47452073755133906</v>
      </c>
      <c r="G117" s="25">
        <v>0.4336495189345409</v>
      </c>
      <c r="H117" s="26">
        <v>0.69683064619730495</v>
      </c>
      <c r="I117" s="24">
        <v>4.8667414325601682E-3</v>
      </c>
      <c r="J117" s="25">
        <v>-4.0309169613668053E-2</v>
      </c>
      <c r="K117" s="26">
        <v>0.10334147494459021</v>
      </c>
      <c r="L117" s="24">
        <v>0.24685772743205606</v>
      </c>
      <c r="M117" s="25">
        <v>0.28720990918273004</v>
      </c>
      <c r="N117" s="26">
        <v>0.20571941405034441</v>
      </c>
      <c r="O117" s="27">
        <v>119</v>
      </c>
      <c r="P117" s="28">
        <v>142</v>
      </c>
      <c r="Q117" s="29">
        <v>118</v>
      </c>
      <c r="R117" s="24">
        <v>7.1600779436820763E-2</v>
      </c>
      <c r="S117" s="25">
        <v>0.11981892130506719</v>
      </c>
      <c r="T117" s="26">
        <v>8.0703775536191555E-2</v>
      </c>
      <c r="U117" s="27">
        <v>296.87837837837839</v>
      </c>
      <c r="V117" s="28">
        <v>298.89795918367349</v>
      </c>
      <c r="W117" s="29">
        <v>299.2896551724138</v>
      </c>
      <c r="X117" s="24">
        <v>0.54700908262885206</v>
      </c>
      <c r="Y117" s="25">
        <v>0.53727762654094535</v>
      </c>
      <c r="Z117" s="26">
        <v>0.61021510193378903</v>
      </c>
      <c r="AA117" s="24">
        <v>0.13882174359065366</v>
      </c>
      <c r="AB117" s="25">
        <v>0.20029977005364666</v>
      </c>
      <c r="AC117" s="26">
        <v>9.7152386457083045E-2</v>
      </c>
      <c r="AD117" s="27">
        <v>9238607</v>
      </c>
      <c r="AE117" s="28">
        <v>17200157</v>
      </c>
      <c r="AF117" s="29">
        <v>11738076</v>
      </c>
      <c r="AG117" s="27">
        <v>48685464</v>
      </c>
      <c r="AH117" s="28">
        <v>106811870</v>
      </c>
      <c r="AI117" s="29">
        <v>50504009</v>
      </c>
      <c r="AJ117" s="27">
        <v>233836</v>
      </c>
      <c r="AK117" s="28">
        <v>-4134036</v>
      </c>
      <c r="AL117" s="29">
        <v>5704319</v>
      </c>
      <c r="AM117" s="30">
        <v>7997941</v>
      </c>
      <c r="AN117" s="30">
        <v>4559217</v>
      </c>
      <c r="AO117" s="30">
        <v>8508775</v>
      </c>
      <c r="AP117" s="27">
        <v>5219936</v>
      </c>
      <c r="AQ117" s="28">
        <v>6252174</v>
      </c>
      <c r="AR117" s="29">
        <v>5118809</v>
      </c>
      <c r="AS117" s="27">
        <v>1514036</v>
      </c>
      <c r="AT117" s="28">
        <v>2608297</v>
      </c>
      <c r="AU117" s="29">
        <v>2008110</v>
      </c>
      <c r="AV117" s="27">
        <v>4924426.87</v>
      </c>
      <c r="AW117" s="28">
        <v>6783175.599999994</v>
      </c>
      <c r="AX117" s="29">
        <v>4497466.8199999984</v>
      </c>
      <c r="AY117" s="27">
        <v>16725808.449999997</v>
      </c>
      <c r="AZ117" s="28">
        <v>22919257</v>
      </c>
      <c r="BA117" s="29">
        <v>71931643.50999999</v>
      </c>
      <c r="BB117" s="24">
        <v>1.6663890701652317E-2</v>
      </c>
      <c r="BC117" s="25">
        <v>2.4419542509648038E-2</v>
      </c>
      <c r="BD117" s="26">
        <v>1.9975876868834643E-2</v>
      </c>
      <c r="BE117" s="24">
        <v>5.4199577242522515E-2</v>
      </c>
      <c r="BF117" s="25">
        <v>8.6991992993831049E-2</v>
      </c>
      <c r="BG117" s="26">
        <v>4.473900504354307E-2</v>
      </c>
      <c r="BH117" s="24">
        <v>0.18408878250422889</v>
      </c>
      <c r="BI117" s="25">
        <v>0.293931922441727</v>
      </c>
      <c r="BJ117" s="26">
        <v>0.7155472826332564</v>
      </c>
      <c r="BK117" s="24">
        <v>0.83604999999999996</v>
      </c>
      <c r="BL117" s="25">
        <v>0.69599</v>
      </c>
      <c r="BM117" s="26">
        <v>0.76600000000000001</v>
      </c>
    </row>
    <row r="118" spans="1:65" x14ac:dyDescent="0.2">
      <c r="A118" s="22">
        <v>6210</v>
      </c>
      <c r="B118" s="23" t="s">
        <v>135</v>
      </c>
      <c r="C118" s="24">
        <v>0.18608070813821323</v>
      </c>
      <c r="D118" s="25">
        <v>0.16478185199984072</v>
      </c>
      <c r="E118" s="26">
        <v>0.17262001000623003</v>
      </c>
      <c r="F118" s="24">
        <v>0.3489268208325183</v>
      </c>
      <c r="G118" s="25">
        <v>0.3225518699301726</v>
      </c>
      <c r="H118" s="26">
        <v>0.38828296432036485</v>
      </c>
      <c r="I118" s="24">
        <v>-0.18538857161345218</v>
      </c>
      <c r="J118" s="25">
        <v>-3.0145668259060135E-2</v>
      </c>
      <c r="K118" s="26">
        <v>-8.8064639700740105E-2</v>
      </c>
      <c r="L118" s="24">
        <v>5.8950730849321717E-2</v>
      </c>
      <c r="M118" s="25">
        <v>0</v>
      </c>
      <c r="N118" s="26">
        <v>5.1856176147615604E-2</v>
      </c>
      <c r="O118" s="27">
        <v>53</v>
      </c>
      <c r="P118" s="28">
        <v>0</v>
      </c>
      <c r="Q118" s="29">
        <v>52</v>
      </c>
      <c r="R118" s="24">
        <v>5.2778844793077657E-2</v>
      </c>
      <c r="S118" s="25">
        <v>6.5926044791593946E-2</v>
      </c>
      <c r="T118" s="26">
        <v>4.4506555792279461E-2</v>
      </c>
      <c r="U118" s="27">
        <v>72.05263157894737</v>
      </c>
      <c r="V118" s="28">
        <v>72.05263157894737</v>
      </c>
      <c r="W118" s="29">
        <v>74.027777777777771</v>
      </c>
      <c r="X118" s="24">
        <v>0.46670634360638841</v>
      </c>
      <c r="Y118" s="25">
        <v>0.4829466159888372</v>
      </c>
      <c r="Z118" s="26">
        <v>0.54858690429833301</v>
      </c>
      <c r="AA118" s="24">
        <v>0.33464938061024768</v>
      </c>
      <c r="AB118" s="25">
        <v>0.32839524760875394</v>
      </c>
      <c r="AC118" s="26">
        <v>0.17635101675184214</v>
      </c>
      <c r="AD118" s="27">
        <v>615397</v>
      </c>
      <c r="AE118" s="28">
        <v>1353078</v>
      </c>
      <c r="AF118" s="29">
        <v>633121</v>
      </c>
      <c r="AG118" s="27">
        <v>4074575</v>
      </c>
      <c r="AH118" s="28">
        <v>8514703</v>
      </c>
      <c r="AI118" s="29">
        <v>3931687</v>
      </c>
      <c r="AJ118" s="27">
        <v>-613108</v>
      </c>
      <c r="AK118" s="28">
        <v>-247536</v>
      </c>
      <c r="AL118" s="29">
        <v>-322996</v>
      </c>
      <c r="AM118" s="30">
        <v>237874</v>
      </c>
      <c r="AN118" s="30">
        <v>602319</v>
      </c>
      <c r="AO118" s="30">
        <v>425344</v>
      </c>
      <c r="AP118" s="27">
        <v>145794</v>
      </c>
      <c r="AQ118" s="28">
        <v>0</v>
      </c>
      <c r="AR118" s="29">
        <v>138128</v>
      </c>
      <c r="AS118" s="27">
        <v>130530</v>
      </c>
      <c r="AT118" s="28">
        <v>126537</v>
      </c>
      <c r="AU118" s="29">
        <v>118551</v>
      </c>
      <c r="AV118" s="27">
        <v>401565.22000000026</v>
      </c>
      <c r="AW118" s="28">
        <v>256530.88999999964</v>
      </c>
      <c r="AX118" s="29">
        <v>459940.98</v>
      </c>
      <c r="AY118" s="27">
        <v>733881.41999999993</v>
      </c>
      <c r="AZ118" s="28">
        <v>9302665.7300000004</v>
      </c>
      <c r="BA118" s="29">
        <v>10110798.120000001</v>
      </c>
      <c r="BB118" s="24">
        <v>1.704406569323241E-2</v>
      </c>
      <c r="BC118" s="25">
        <v>1.4860999849319465E-2</v>
      </c>
      <c r="BD118" s="26">
        <v>1.5139797063300037E-2</v>
      </c>
      <c r="BE118" s="24">
        <v>5.2434719909578868E-2</v>
      </c>
      <c r="BF118" s="25">
        <v>3.9591442364039005E-2</v>
      </c>
      <c r="BG118" s="26">
        <v>5.8737700215901516E-2</v>
      </c>
      <c r="BH118" s="24">
        <v>9.5827190174846283E-2</v>
      </c>
      <c r="BI118" s="25">
        <v>1.4357177573477269</v>
      </c>
      <c r="BJ118" s="26">
        <v>1.2912200798373321</v>
      </c>
      <c r="BK118" s="24">
        <v>0.70511000000000001</v>
      </c>
      <c r="BL118" s="25">
        <v>0.71543000000000001</v>
      </c>
      <c r="BM118" s="26">
        <v>0.71030000000000004</v>
      </c>
    </row>
    <row r="119" spans="1:65" x14ac:dyDescent="0.2">
      <c r="A119" s="22">
        <v>6211</v>
      </c>
      <c r="B119" s="23" t="s">
        <v>136</v>
      </c>
      <c r="C119" s="24">
        <v>7.3643464712934953E-2</v>
      </c>
      <c r="D119" s="25">
        <v>0.1152129168268132</v>
      </c>
      <c r="E119" s="26">
        <v>9.2169205203435231E-2</v>
      </c>
      <c r="F119" s="24">
        <v>0.18821294936230543</v>
      </c>
      <c r="G119" s="25">
        <v>0.21960465310939378</v>
      </c>
      <c r="H119" s="26">
        <v>0.48875265286194092</v>
      </c>
      <c r="I119" s="24">
        <v>1.2586662012454095E-2</v>
      </c>
      <c r="J119" s="25">
        <v>-0.21788158460570237</v>
      </c>
      <c r="K119" s="26">
        <v>0.1823113101305017</v>
      </c>
      <c r="L119" s="24">
        <v>0</v>
      </c>
      <c r="M119" s="25">
        <v>0</v>
      </c>
      <c r="N119" s="26">
        <v>0</v>
      </c>
      <c r="O119" s="27">
        <v>0</v>
      </c>
      <c r="P119" s="28">
        <v>0</v>
      </c>
      <c r="Q119" s="29">
        <v>0</v>
      </c>
      <c r="R119" s="24">
        <v>0</v>
      </c>
      <c r="S119" s="25">
        <v>0</v>
      </c>
      <c r="T119" s="26">
        <v>0</v>
      </c>
      <c r="U119" s="27">
        <v>85.753086419753089</v>
      </c>
      <c r="V119" s="28">
        <v>84.707317073170728</v>
      </c>
      <c r="W119" s="29">
        <v>83.390243902439025</v>
      </c>
      <c r="X119" s="24">
        <v>0.56774048837062496</v>
      </c>
      <c r="Y119" s="25">
        <v>0.51932158743966272</v>
      </c>
      <c r="Z119" s="26">
        <v>0.73942924346276118</v>
      </c>
      <c r="AA119" s="24">
        <v>0.21048657732181075</v>
      </c>
      <c r="AB119" s="25">
        <v>0.2543755121576412</v>
      </c>
      <c r="AC119" s="26">
        <v>1.0961697020598219E-2</v>
      </c>
      <c r="AD119" s="27">
        <v>264982</v>
      </c>
      <c r="AE119" s="28">
        <v>847419</v>
      </c>
      <c r="AF119" s="29">
        <v>372387</v>
      </c>
      <c r="AG119" s="27">
        <v>3579986</v>
      </c>
      <c r="AH119" s="28">
        <v>8904729</v>
      </c>
      <c r="AI119" s="29">
        <v>3319559</v>
      </c>
      <c r="AJ119" s="27">
        <v>45289</v>
      </c>
      <c r="AK119" s="28">
        <v>-1602572</v>
      </c>
      <c r="AL119" s="29">
        <v>736584</v>
      </c>
      <c r="AM119" s="30">
        <v>2677390</v>
      </c>
      <c r="AN119" s="30">
        <v>1031003</v>
      </c>
      <c r="AO119" s="30">
        <v>1772131</v>
      </c>
      <c r="AP119" s="27">
        <v>0</v>
      </c>
      <c r="AQ119" s="28">
        <v>0</v>
      </c>
      <c r="AR119" s="29">
        <v>0</v>
      </c>
      <c r="AS119" s="27">
        <v>0</v>
      </c>
      <c r="AT119" s="28">
        <v>0</v>
      </c>
      <c r="AU119" s="29">
        <v>0</v>
      </c>
      <c r="AV119" s="27">
        <v>154248.31000000008</v>
      </c>
      <c r="AW119" s="28">
        <v>90095.220000000656</v>
      </c>
      <c r="AX119" s="29">
        <v>46193.49000000018</v>
      </c>
      <c r="AY119" s="27">
        <v>187961.52000000002</v>
      </c>
      <c r="AZ119" s="28">
        <v>3327192.96</v>
      </c>
      <c r="BA119" s="29">
        <v>5565590.0099999998</v>
      </c>
      <c r="BB119" s="24">
        <v>0</v>
      </c>
      <c r="BC119" s="25">
        <v>0</v>
      </c>
      <c r="BD119" s="26">
        <v>0</v>
      </c>
      <c r="BE119" s="24">
        <v>1.7987803377685862E-2</v>
      </c>
      <c r="BF119" s="25">
        <v>1.2904683187542875E-2</v>
      </c>
      <c r="BG119" s="26">
        <v>6.4964365117995398E-3</v>
      </c>
      <c r="BH119" s="24">
        <v>2.1919299241145447E-2</v>
      </c>
      <c r="BI119" s="25">
        <v>0.47656658202979807</v>
      </c>
      <c r="BJ119" s="26">
        <v>0.78271856382080296</v>
      </c>
      <c r="BK119" s="24">
        <v>0.52146000000000003</v>
      </c>
      <c r="BL119" s="25">
        <v>0.55593999999999999</v>
      </c>
      <c r="BM119" s="26">
        <v>0.53869999999999996</v>
      </c>
    </row>
    <row r="120" spans="1:65" x14ac:dyDescent="0.2">
      <c r="A120" s="22">
        <v>6301</v>
      </c>
      <c r="B120" s="23" t="s">
        <v>137</v>
      </c>
      <c r="C120" s="24">
        <v>0.19529695604771447</v>
      </c>
      <c r="D120" s="25">
        <v>0.18940172428316307</v>
      </c>
      <c r="E120" s="26">
        <v>0.16669504233780461</v>
      </c>
      <c r="F120" s="24">
        <v>0.83649252255291962</v>
      </c>
      <c r="G120" s="25">
        <v>0.37746080490557482</v>
      </c>
      <c r="H120" s="26">
        <v>0.93413036492512147</v>
      </c>
      <c r="I120" s="24">
        <v>0.16221550535188869</v>
      </c>
      <c r="J120" s="25">
        <v>-0.20506794428553066</v>
      </c>
      <c r="K120" s="26">
        <v>0.18111237133054883</v>
      </c>
      <c r="L120" s="24">
        <v>0</v>
      </c>
      <c r="M120" s="25">
        <v>0</v>
      </c>
      <c r="N120" s="26">
        <v>0</v>
      </c>
      <c r="O120" s="27">
        <v>0</v>
      </c>
      <c r="P120" s="28">
        <v>0</v>
      </c>
      <c r="Q120" s="29">
        <v>0</v>
      </c>
      <c r="R120" s="24">
        <v>0</v>
      </c>
      <c r="S120" s="25">
        <v>0</v>
      </c>
      <c r="T120" s="26">
        <v>0</v>
      </c>
      <c r="U120" s="27">
        <v>97.458333333333329</v>
      </c>
      <c r="V120" s="28">
        <v>83.535714285714292</v>
      </c>
      <c r="W120" s="29">
        <v>72.4375</v>
      </c>
      <c r="X120" s="24">
        <v>0.65244319875627577</v>
      </c>
      <c r="Y120" s="25">
        <v>0.5263597961565315</v>
      </c>
      <c r="Z120" s="26">
        <v>0.70765855473526473</v>
      </c>
      <c r="AA120" s="24">
        <v>1.0929420016467647E-2</v>
      </c>
      <c r="AB120" s="25">
        <v>0.25002560787741185</v>
      </c>
      <c r="AC120" s="26">
        <v>4.4452615151594106E-3</v>
      </c>
      <c r="AD120" s="27">
        <v>1581712</v>
      </c>
      <c r="AE120" s="28">
        <v>2684713</v>
      </c>
      <c r="AF120" s="29">
        <v>1406961</v>
      </c>
      <c r="AG120" s="27">
        <v>6427148</v>
      </c>
      <c r="AH120" s="28">
        <v>16791708</v>
      </c>
      <c r="AI120" s="29">
        <v>6831994</v>
      </c>
      <c r="AJ120" s="27">
        <v>1313785</v>
      </c>
      <c r="AK120" s="28">
        <v>-2906777</v>
      </c>
      <c r="AL120" s="29">
        <v>1528648</v>
      </c>
      <c r="AM120" s="30">
        <v>6477903</v>
      </c>
      <c r="AN120" s="30">
        <v>2247563</v>
      </c>
      <c r="AO120" s="30">
        <v>3563066</v>
      </c>
      <c r="AP120" s="27">
        <v>0</v>
      </c>
      <c r="AQ120" s="28">
        <v>0</v>
      </c>
      <c r="AR120" s="29">
        <v>0</v>
      </c>
      <c r="AS120" s="27">
        <v>0</v>
      </c>
      <c r="AT120" s="28">
        <v>0</v>
      </c>
      <c r="AU120" s="29">
        <v>0</v>
      </c>
      <c r="AV120" s="27">
        <v>76475.28999999995</v>
      </c>
      <c r="AW120" s="28">
        <v>260636.27999999921</v>
      </c>
      <c r="AX120" s="29">
        <v>178084.98999999976</v>
      </c>
      <c r="AY120" s="27">
        <v>8249788.0000000009</v>
      </c>
      <c r="AZ120" s="28">
        <v>3486251.58</v>
      </c>
      <c r="BA120" s="29">
        <v>5402026.8399999999</v>
      </c>
      <c r="BB120" s="24">
        <v>0</v>
      </c>
      <c r="BC120" s="25">
        <v>0</v>
      </c>
      <c r="BD120" s="26">
        <v>0</v>
      </c>
      <c r="BE120" s="24">
        <v>4.0881988060419878E-3</v>
      </c>
      <c r="BF120" s="25">
        <v>2.0288576109128879E-2</v>
      </c>
      <c r="BG120" s="26">
        <v>1.0171595746600925E-2</v>
      </c>
      <c r="BH120" s="24">
        <v>0.44101530640419334</v>
      </c>
      <c r="BI120" s="25">
        <v>0.27137849157608074</v>
      </c>
      <c r="BJ120" s="26">
        <v>0.3085449999394565</v>
      </c>
      <c r="BK120" s="24">
        <v>0.77081999999999995</v>
      </c>
      <c r="BL120" s="25">
        <v>0.75534000000000001</v>
      </c>
      <c r="BM120" s="26">
        <v>0.7631</v>
      </c>
    </row>
    <row r="121" spans="1:65" x14ac:dyDescent="0.2">
      <c r="A121" s="22">
        <v>6302</v>
      </c>
      <c r="B121" s="23" t="s">
        <v>138</v>
      </c>
      <c r="C121" s="24">
        <v>0.16714800986084036</v>
      </c>
      <c r="D121" s="25">
        <v>0.12110448199323784</v>
      </c>
      <c r="E121" s="26">
        <v>0.13666445147576273</v>
      </c>
      <c r="F121" s="24">
        <v>0.31430553015568319</v>
      </c>
      <c r="G121" s="25">
        <v>0.23416909713281089</v>
      </c>
      <c r="H121" s="26">
        <v>0.36036922183752013</v>
      </c>
      <c r="I121" s="24">
        <v>5.8641800595016849E-2</v>
      </c>
      <c r="J121" s="25">
        <v>3.4159934722012252E-2</v>
      </c>
      <c r="K121" s="26">
        <v>0.1737548010033409</v>
      </c>
      <c r="L121" s="24">
        <v>0.68654364145784996</v>
      </c>
      <c r="M121" s="25">
        <v>0.93985424149011343</v>
      </c>
      <c r="N121" s="26">
        <v>0.40485231379708631</v>
      </c>
      <c r="O121" s="27">
        <v>484</v>
      </c>
      <c r="P121" s="28">
        <v>389</v>
      </c>
      <c r="Q121" s="29">
        <v>253</v>
      </c>
      <c r="R121" s="24">
        <v>0.31926378772112385</v>
      </c>
      <c r="S121" s="25">
        <v>0.88524173596700406</v>
      </c>
      <c r="T121" s="26">
        <v>0.81731016431312642</v>
      </c>
      <c r="U121" s="27">
        <v>180.12820512820514</v>
      </c>
      <c r="V121" s="28">
        <v>180.12820512820514</v>
      </c>
      <c r="W121" s="29">
        <v>167.63414634146341</v>
      </c>
      <c r="X121" s="24">
        <v>0.54180269543257087</v>
      </c>
      <c r="Y121" s="25">
        <v>0.54300558128451204</v>
      </c>
      <c r="Z121" s="26">
        <v>0.65874047165619432</v>
      </c>
      <c r="AA121" s="24">
        <v>0.18645289267702767</v>
      </c>
      <c r="AB121" s="25">
        <v>0.22146238788805842</v>
      </c>
      <c r="AC121" s="26">
        <v>0.11507325977338054</v>
      </c>
      <c r="AD121" s="27">
        <v>1225399</v>
      </c>
      <c r="AE121" s="28">
        <v>1923335</v>
      </c>
      <c r="AF121" s="29">
        <v>1147101</v>
      </c>
      <c r="AG121" s="27">
        <v>7586018</v>
      </c>
      <c r="AH121" s="28">
        <v>16005097</v>
      </c>
      <c r="AI121" s="29">
        <v>7084652</v>
      </c>
      <c r="AJ121" s="27">
        <v>429916</v>
      </c>
      <c r="AK121" s="28">
        <v>542515</v>
      </c>
      <c r="AL121" s="29">
        <v>1458421</v>
      </c>
      <c r="AM121" s="30">
        <v>1184562</v>
      </c>
      <c r="AN121" s="30">
        <v>1066422</v>
      </c>
      <c r="AO121" s="30">
        <v>2292044</v>
      </c>
      <c r="AP121" s="27">
        <v>3399127</v>
      </c>
      <c r="AQ121" s="28">
        <v>2733317</v>
      </c>
      <c r="AR121" s="29">
        <v>1738533</v>
      </c>
      <c r="AS121" s="27">
        <v>1580698</v>
      </c>
      <c r="AT121" s="28">
        <v>2574491</v>
      </c>
      <c r="AU121" s="29">
        <v>3509726</v>
      </c>
      <c r="AV121" s="27">
        <v>2249305.5899999994</v>
      </c>
      <c r="AW121" s="28">
        <v>4406554.0200000005</v>
      </c>
      <c r="AX121" s="29">
        <v>3699443.18</v>
      </c>
      <c r="AY121" s="27">
        <v>9360519.4900000002</v>
      </c>
      <c r="AZ121" s="28">
        <v>9333645.1300000008</v>
      </c>
      <c r="BA121" s="29">
        <v>10952584.369999999</v>
      </c>
      <c r="BB121" s="24">
        <v>9.8146118253090026E-2</v>
      </c>
      <c r="BC121" s="25">
        <v>0.16085444530576729</v>
      </c>
      <c r="BD121" s="26">
        <v>0.22397679444785187</v>
      </c>
      <c r="BE121" s="24">
        <v>0.13966020860624634</v>
      </c>
      <c r="BF121" s="25">
        <v>0.29573515206600337</v>
      </c>
      <c r="BG121" s="26">
        <v>0.2360837924950174</v>
      </c>
      <c r="BH121" s="24">
        <v>0.58119808639973858</v>
      </c>
      <c r="BI121" s="25">
        <v>0.62640488447947396</v>
      </c>
      <c r="BJ121" s="26">
        <v>0.69895049873187964</v>
      </c>
      <c r="BK121" s="24">
        <v>0.64847999999999995</v>
      </c>
      <c r="BL121" s="25">
        <v>0.75973000000000002</v>
      </c>
      <c r="BM121" s="26">
        <v>0.70409999999999995</v>
      </c>
    </row>
    <row r="122" spans="1:65" x14ac:dyDescent="0.2">
      <c r="A122" s="22">
        <v>6303</v>
      </c>
      <c r="B122" s="23" t="s">
        <v>139</v>
      </c>
      <c r="C122" s="24">
        <v>0.11264007710155083</v>
      </c>
      <c r="D122" s="25">
        <v>0.12597113891313441</v>
      </c>
      <c r="E122" s="26">
        <v>0.11917177502877785</v>
      </c>
      <c r="F122" s="24">
        <v>0.52874331635038396</v>
      </c>
      <c r="G122" s="25">
        <v>0.4989015927779355</v>
      </c>
      <c r="H122" s="26">
        <v>0.5454627238529276</v>
      </c>
      <c r="I122" s="24">
        <v>0.10769505423887386</v>
      </c>
      <c r="J122" s="25">
        <v>1.9890115453181173E-2</v>
      </c>
      <c r="K122" s="26">
        <v>0.11305139749245277</v>
      </c>
      <c r="L122" s="24">
        <v>0.23945206869212665</v>
      </c>
      <c r="M122" s="25">
        <v>0.23034194842192068</v>
      </c>
      <c r="N122" s="26">
        <v>0.18018348894059436</v>
      </c>
      <c r="O122" s="27">
        <v>106</v>
      </c>
      <c r="P122" s="28">
        <v>95</v>
      </c>
      <c r="Q122" s="29">
        <v>86</v>
      </c>
      <c r="R122" s="24">
        <v>1.8787504555969855E-3</v>
      </c>
      <c r="S122" s="25">
        <v>9.2688062930397441E-2</v>
      </c>
      <c r="T122" s="26">
        <v>2.2987070361970958E-2</v>
      </c>
      <c r="U122" s="27">
        <v>142.87128712871288</v>
      </c>
      <c r="V122" s="28">
        <v>142.87128712871288</v>
      </c>
      <c r="W122" s="29">
        <v>144.77551020408163</v>
      </c>
      <c r="X122" s="24">
        <v>0.70454528799200722</v>
      </c>
      <c r="Y122" s="25">
        <v>0.67991034466749378</v>
      </c>
      <c r="Z122" s="26">
        <v>0.70284813066031782</v>
      </c>
      <c r="AA122" s="24">
        <v>1.9730365513754095E-2</v>
      </c>
      <c r="AB122" s="25">
        <v>9.9897951636506777E-2</v>
      </c>
      <c r="AC122" s="26">
        <v>3.3724425985977094E-2</v>
      </c>
      <c r="AD122" s="27">
        <v>839159</v>
      </c>
      <c r="AE122" s="28">
        <v>1853836</v>
      </c>
      <c r="AF122" s="29">
        <v>1048939</v>
      </c>
      <c r="AG122" s="27">
        <v>6549904</v>
      </c>
      <c r="AH122" s="28">
        <v>14345159</v>
      </c>
      <c r="AI122" s="29">
        <v>7740621</v>
      </c>
      <c r="AJ122" s="27">
        <v>802319</v>
      </c>
      <c r="AK122" s="28">
        <v>292710</v>
      </c>
      <c r="AL122" s="29">
        <v>995068</v>
      </c>
      <c r="AM122" s="30">
        <v>2237084</v>
      </c>
      <c r="AN122" s="30">
        <v>1738780</v>
      </c>
      <c r="AO122" s="30">
        <v>2630347</v>
      </c>
      <c r="AP122" s="27">
        <v>764717</v>
      </c>
      <c r="AQ122" s="28">
        <v>688247</v>
      </c>
      <c r="AR122" s="29">
        <v>611777</v>
      </c>
      <c r="AS122" s="27">
        <v>6000</v>
      </c>
      <c r="AT122" s="28">
        <v>276946</v>
      </c>
      <c r="AU122" s="29">
        <v>78048</v>
      </c>
      <c r="AV122" s="27">
        <v>675392.29</v>
      </c>
      <c r="AW122" s="28">
        <v>831576.25000000012</v>
      </c>
      <c r="AX122" s="29">
        <v>494337.78000000009</v>
      </c>
      <c r="AY122" s="27">
        <v>2625459.5099999998</v>
      </c>
      <c r="AZ122" s="28">
        <v>5145128.57</v>
      </c>
      <c r="BA122" s="29">
        <v>8506274</v>
      </c>
      <c r="BB122" s="24">
        <v>4.0687962927298205E-4</v>
      </c>
      <c r="BC122" s="25">
        <v>1.9305885699837835E-2</v>
      </c>
      <c r="BD122" s="26">
        <v>4.651648737344494E-3</v>
      </c>
      <c r="BE122" s="24">
        <v>4.5800560761505064E-2</v>
      </c>
      <c r="BF122" s="25">
        <v>6.9258456939806479E-2</v>
      </c>
      <c r="BG122" s="26">
        <v>2.9462455285960958E-2</v>
      </c>
      <c r="BH122" s="24">
        <v>0.1780409986833375</v>
      </c>
      <c r="BI122" s="25">
        <v>0.42851592444482756</v>
      </c>
      <c r="BJ122" s="26">
        <v>0.50697261571861296</v>
      </c>
      <c r="BK122" s="24">
        <v>0.75353999999999999</v>
      </c>
      <c r="BL122" s="25">
        <v>0.74373999999999996</v>
      </c>
      <c r="BM122" s="26">
        <v>0.74860000000000004</v>
      </c>
    </row>
    <row r="123" spans="1:65" x14ac:dyDescent="0.2">
      <c r="A123" s="22">
        <v>6304</v>
      </c>
      <c r="B123" s="23" t="s">
        <v>140</v>
      </c>
      <c r="C123" s="24">
        <v>0.19871939635401825</v>
      </c>
      <c r="D123" s="25">
        <v>0.17575693189664834</v>
      </c>
      <c r="E123" s="26">
        <v>0.19989607412980975</v>
      </c>
      <c r="F123" s="24">
        <v>0.90065002539029881</v>
      </c>
      <c r="G123" s="25">
        <v>0.73307614907455276</v>
      </c>
      <c r="H123" s="26">
        <v>0.70687443465490452</v>
      </c>
      <c r="I123" s="24">
        <v>0.10565932138217415</v>
      </c>
      <c r="J123" s="25">
        <v>-6.9397880361160499E-2</v>
      </c>
      <c r="K123" s="26">
        <v>2.4972193743464894E-2</v>
      </c>
      <c r="L123" s="24">
        <v>0.16703228629026037</v>
      </c>
      <c r="M123" s="25">
        <v>0.29745118204345883</v>
      </c>
      <c r="N123" s="26">
        <v>5.6120961984566294E-2</v>
      </c>
      <c r="O123" s="27">
        <v>156</v>
      </c>
      <c r="P123" s="28">
        <v>138</v>
      </c>
      <c r="Q123" s="29">
        <v>68</v>
      </c>
      <c r="R123" s="24">
        <v>0.63290411780659472</v>
      </c>
      <c r="S123" s="25">
        <v>1.3521961265279332</v>
      </c>
      <c r="T123" s="26">
        <v>0.42172223777483642</v>
      </c>
      <c r="U123" s="27">
        <v>223.95847750865053</v>
      </c>
      <c r="V123" s="28">
        <v>220.90102389078498</v>
      </c>
      <c r="W123" s="29">
        <v>223.47916666666666</v>
      </c>
      <c r="X123" s="24">
        <v>0.61341524625880806</v>
      </c>
      <c r="Y123" s="25">
        <v>0.59346842561522439</v>
      </c>
      <c r="Z123" s="26">
        <v>0.49996461176974494</v>
      </c>
      <c r="AA123" s="24">
        <v>9.3168926739738464E-2</v>
      </c>
      <c r="AB123" s="25">
        <v>0.14725397191725034</v>
      </c>
      <c r="AC123" s="26">
        <v>0.23680775150182765</v>
      </c>
      <c r="AD123" s="27">
        <v>6940138</v>
      </c>
      <c r="AE123" s="28">
        <v>12366524</v>
      </c>
      <c r="AF123" s="29">
        <v>9179851</v>
      </c>
      <c r="AG123" s="27">
        <v>30719287</v>
      </c>
      <c r="AH123" s="28">
        <v>73843054</v>
      </c>
      <c r="AI123" s="29">
        <v>42584780</v>
      </c>
      <c r="AJ123" s="27">
        <v>3690079</v>
      </c>
      <c r="AK123" s="28">
        <v>-4882940</v>
      </c>
      <c r="AL123" s="29">
        <v>1146801</v>
      </c>
      <c r="AM123" s="30">
        <v>13440940</v>
      </c>
      <c r="AN123" s="30">
        <v>6046302</v>
      </c>
      <c r="AO123" s="30">
        <v>6985268</v>
      </c>
      <c r="AP123" s="27">
        <v>5046486</v>
      </c>
      <c r="AQ123" s="28">
        <v>4451840</v>
      </c>
      <c r="AR123" s="29">
        <v>2185523</v>
      </c>
      <c r="AS123" s="27">
        <v>19121703</v>
      </c>
      <c r="AT123" s="28">
        <v>20237811</v>
      </c>
      <c r="AU123" s="29">
        <v>16423162</v>
      </c>
      <c r="AV123" s="27">
        <v>16682294.169999998</v>
      </c>
      <c r="AW123" s="28">
        <v>24598373.84</v>
      </c>
      <c r="AX123" s="29">
        <v>21927467.529999997</v>
      </c>
      <c r="AY123" s="27">
        <v>27877527.530000001</v>
      </c>
      <c r="AZ123" s="28">
        <v>62079074.039999999</v>
      </c>
      <c r="BA123" s="29">
        <v>62063600.689999998</v>
      </c>
      <c r="BB123" s="24">
        <v>0.23066690696350564</v>
      </c>
      <c r="BC123" s="25">
        <v>0.27406519508253274</v>
      </c>
      <c r="BD123" s="26">
        <v>0.16576367250916196</v>
      </c>
      <c r="BE123" s="24">
        <v>0.20124008814744285</v>
      </c>
      <c r="BF123" s="25">
        <v>0.42142169565774185</v>
      </c>
      <c r="BG123" s="26">
        <v>0.22132020293036153</v>
      </c>
      <c r="BH123" s="24">
        <v>0.33628924417114298</v>
      </c>
      <c r="BI123" s="25">
        <v>1.063544639859791</v>
      </c>
      <c r="BJ123" s="26">
        <v>0.62642567731576648</v>
      </c>
      <c r="BK123" s="24">
        <v>0.79632999999999998</v>
      </c>
      <c r="BL123" s="25">
        <v>0.71333999999999997</v>
      </c>
      <c r="BM123" s="26">
        <v>0.75480000000000003</v>
      </c>
    </row>
    <row r="124" spans="1:65" x14ac:dyDescent="0.2">
      <c r="A124" s="22">
        <v>6305</v>
      </c>
      <c r="B124" s="23" t="s">
        <v>141</v>
      </c>
      <c r="C124" s="24">
        <v>0.1248521242769621</v>
      </c>
      <c r="D124" s="25">
        <v>9.0757837520716367E-2</v>
      </c>
      <c r="E124" s="26">
        <v>0.13182924218002312</v>
      </c>
      <c r="F124" s="24">
        <v>0.44772590450529237</v>
      </c>
      <c r="G124" s="25">
        <v>0.18331378938212081</v>
      </c>
      <c r="H124" s="26">
        <v>0.93348895196159054</v>
      </c>
      <c r="I124" s="24">
        <v>0.1781051127000311</v>
      </c>
      <c r="J124" s="25">
        <v>4.2428117696447346E-2</v>
      </c>
      <c r="K124" s="26">
        <v>0.13947911124084073</v>
      </c>
      <c r="L124" s="24">
        <v>5.8293930515669265E-2</v>
      </c>
      <c r="M124" s="25">
        <v>3.8288318290123045E-2</v>
      </c>
      <c r="N124" s="26">
        <v>2.484898916516123E-2</v>
      </c>
      <c r="O124" s="27">
        <v>25</v>
      </c>
      <c r="P124" s="28">
        <v>19</v>
      </c>
      <c r="Q124" s="29">
        <v>12</v>
      </c>
      <c r="R124" s="24">
        <v>0.11130449917326603</v>
      </c>
      <c r="S124" s="25">
        <v>8.6026680302597346E-4</v>
      </c>
      <c r="T124" s="26">
        <v>0</v>
      </c>
      <c r="U124" s="27">
        <v>105.13333333333334</v>
      </c>
      <c r="V124" s="28">
        <v>111.31764705882352</v>
      </c>
      <c r="W124" s="29">
        <v>99</v>
      </c>
      <c r="X124" s="24">
        <v>0.50282103217529373</v>
      </c>
      <c r="Y124" s="25">
        <v>0.35852728497002567</v>
      </c>
      <c r="Z124" s="26">
        <v>0.56435922066047217</v>
      </c>
      <c r="AA124" s="24">
        <v>0.16452814573339211</v>
      </c>
      <c r="AB124" s="25">
        <v>0.38770048651664735</v>
      </c>
      <c r="AC124" s="26">
        <v>5.3543838076758755E-2</v>
      </c>
      <c r="AD124" s="27">
        <v>809899</v>
      </c>
      <c r="AE124" s="28">
        <v>1471185</v>
      </c>
      <c r="AF124" s="29">
        <v>879790</v>
      </c>
      <c r="AG124" s="27">
        <v>5442157</v>
      </c>
      <c r="AH124" s="28">
        <v>16294612</v>
      </c>
      <c r="AI124" s="29">
        <v>5474841</v>
      </c>
      <c r="AJ124" s="27">
        <v>1155344</v>
      </c>
      <c r="AK124" s="28">
        <v>687760</v>
      </c>
      <c r="AL124" s="29">
        <v>930843</v>
      </c>
      <c r="AM124" s="30">
        <v>2400757</v>
      </c>
      <c r="AN124" s="30">
        <v>1927699</v>
      </c>
      <c r="AO124" s="30">
        <v>2822653</v>
      </c>
      <c r="AP124" s="27">
        <v>120574</v>
      </c>
      <c r="AQ124" s="28">
        <v>89104</v>
      </c>
      <c r="AR124" s="29">
        <v>57634</v>
      </c>
      <c r="AS124" s="27">
        <v>230220</v>
      </c>
      <c r="AT124" s="28">
        <v>2002</v>
      </c>
      <c r="AU124" s="29">
        <v>0</v>
      </c>
      <c r="AV124" s="27">
        <v>230219.83000000031</v>
      </c>
      <c r="AW124" s="28">
        <v>61258.559999997837</v>
      </c>
      <c r="AX124" s="29">
        <v>1717068.83</v>
      </c>
      <c r="AY124" s="27">
        <v>17563911.84</v>
      </c>
      <c r="AZ124" s="28">
        <v>17290680.68</v>
      </c>
      <c r="BA124" s="29">
        <v>7539827.3199999994</v>
      </c>
      <c r="BB124" s="24">
        <v>1.9698168477608455E-2</v>
      </c>
      <c r="BC124" s="25">
        <v>1.2286269841834836E-4</v>
      </c>
      <c r="BD124" s="26">
        <v>0</v>
      </c>
      <c r="BE124" s="24">
        <v>1.9698153932005837E-2</v>
      </c>
      <c r="BF124" s="25">
        <v>5.4148757718211621E-3</v>
      </c>
      <c r="BG124" s="26">
        <v>0.12699126487474408</v>
      </c>
      <c r="BH124" s="24">
        <v>1.5028098972729647</v>
      </c>
      <c r="BI124" s="25">
        <v>1.5283886511930995</v>
      </c>
      <c r="BJ124" s="26">
        <v>0.55763181508801352</v>
      </c>
      <c r="BK124" s="24">
        <v>0.72316999999999998</v>
      </c>
      <c r="BL124" s="25">
        <v>0.60216000000000003</v>
      </c>
      <c r="BM124" s="26">
        <v>0.66269999999999996</v>
      </c>
    </row>
    <row r="125" spans="1:65" x14ac:dyDescent="0.2">
      <c r="A125" s="22">
        <v>6306</v>
      </c>
      <c r="B125" s="23" t="s">
        <v>142</v>
      </c>
      <c r="C125" s="24">
        <v>0.21319259022415613</v>
      </c>
      <c r="D125" s="25">
        <v>0.20176073331857305</v>
      </c>
      <c r="E125" s="26">
        <v>0.23479390179235624</v>
      </c>
      <c r="F125" s="24">
        <v>0.78144217198533239</v>
      </c>
      <c r="G125" s="25">
        <v>0.67248723259851517</v>
      </c>
      <c r="H125" s="26">
        <v>0.60551513922989975</v>
      </c>
      <c r="I125" s="24">
        <v>0.19097044342734457</v>
      </c>
      <c r="J125" s="25">
        <v>2.1559657646796834E-2</v>
      </c>
      <c r="K125" s="26">
        <v>-1.7739607801852426E-2</v>
      </c>
      <c r="L125" s="24">
        <v>0.45605174574715074</v>
      </c>
      <c r="M125" s="25">
        <v>0.50826964549024611</v>
      </c>
      <c r="N125" s="26">
        <v>0.57461204139437394</v>
      </c>
      <c r="O125" s="27">
        <v>240</v>
      </c>
      <c r="P125" s="28">
        <v>243</v>
      </c>
      <c r="Q125" s="29">
        <v>381</v>
      </c>
      <c r="R125" s="24">
        <v>0.42879299805296478</v>
      </c>
      <c r="S125" s="25">
        <v>0.50429187622216787</v>
      </c>
      <c r="T125" s="26">
        <v>0.15500600419057001</v>
      </c>
      <c r="U125" s="27">
        <v>323.12996389891697</v>
      </c>
      <c r="V125" s="28">
        <v>379.2669491525424</v>
      </c>
      <c r="W125" s="29">
        <v>320.21660649819495</v>
      </c>
      <c r="X125" s="24">
        <v>0.58166120054723669</v>
      </c>
      <c r="Y125" s="25">
        <v>0.56472325538464951</v>
      </c>
      <c r="Z125" s="26">
        <v>0.51442370058565989</v>
      </c>
      <c r="AA125" s="24">
        <v>3.0833376281414568E-2</v>
      </c>
      <c r="AB125" s="25">
        <v>9.4852207190771282E-2</v>
      </c>
      <c r="AC125" s="26">
        <v>6.1525019166208846E-2</v>
      </c>
      <c r="AD125" s="27">
        <v>20099807</v>
      </c>
      <c r="AE125" s="28">
        <v>34837267</v>
      </c>
      <c r="AF125" s="29">
        <v>24408001</v>
      </c>
      <c r="AG125" s="27">
        <v>85374400</v>
      </c>
      <c r="AH125" s="28">
        <v>183628758</v>
      </c>
      <c r="AI125" s="29">
        <v>105456432</v>
      </c>
      <c r="AJ125" s="27">
        <v>18004702</v>
      </c>
      <c r="AK125" s="28">
        <v>3722625</v>
      </c>
      <c r="AL125" s="29">
        <v>-1844121</v>
      </c>
      <c r="AM125" s="30">
        <v>17511764</v>
      </c>
      <c r="AN125" s="30">
        <v>5594022</v>
      </c>
      <c r="AO125" s="30">
        <v>15182662</v>
      </c>
      <c r="AP125" s="27">
        <v>21505484</v>
      </c>
      <c r="AQ125" s="28">
        <v>21758346</v>
      </c>
      <c r="AR125" s="29">
        <v>33811936</v>
      </c>
      <c r="AS125" s="27">
        <v>20220076</v>
      </c>
      <c r="AT125" s="28">
        <v>21588063</v>
      </c>
      <c r="AU125" s="29">
        <v>9121029</v>
      </c>
      <c r="AV125" s="27">
        <v>25250604.700000003</v>
      </c>
      <c r="AW125" s="28">
        <v>30777399.709999993</v>
      </c>
      <c r="AX125" s="29">
        <v>14000366.500000004</v>
      </c>
      <c r="AY125" s="27">
        <v>81604264.679999992</v>
      </c>
      <c r="AZ125" s="28">
        <v>72075169.489999995</v>
      </c>
      <c r="BA125" s="29">
        <v>84271945.680000007</v>
      </c>
      <c r="BB125" s="24">
        <v>0.11571092746944146</v>
      </c>
      <c r="BC125" s="25">
        <v>0.11756362802388502</v>
      </c>
      <c r="BD125" s="26">
        <v>4.7945968844439489E-2</v>
      </c>
      <c r="BE125" s="24">
        <v>0.14449851172672337</v>
      </c>
      <c r="BF125" s="25">
        <v>0.20701143688863741</v>
      </c>
      <c r="BG125" s="26">
        <v>7.3594891104910909E-2</v>
      </c>
      <c r="BH125" s="24">
        <v>0.46698663009894631</v>
      </c>
      <c r="BI125" s="25">
        <v>0.48478378747731388</v>
      </c>
      <c r="BJ125" s="26">
        <v>0.44298730790501567</v>
      </c>
      <c r="BK125" s="24">
        <v>0.82621999999999995</v>
      </c>
      <c r="BL125" s="25">
        <v>0.73106000000000004</v>
      </c>
      <c r="BM125" s="26">
        <v>0.77859999999999996</v>
      </c>
    </row>
    <row r="126" spans="1:65" x14ac:dyDescent="0.2">
      <c r="A126" s="22">
        <v>6307</v>
      </c>
      <c r="B126" s="23" t="s">
        <v>143</v>
      </c>
      <c r="C126" s="24">
        <v>0.347421411267193</v>
      </c>
      <c r="D126" s="25">
        <v>0.31465371736917047</v>
      </c>
      <c r="E126" s="26">
        <v>0.35401159454780773</v>
      </c>
      <c r="F126" s="24">
        <v>1.3479820885743636</v>
      </c>
      <c r="G126" s="25">
        <v>0.85527996081048618</v>
      </c>
      <c r="H126" s="26">
        <v>1.4039878981231424</v>
      </c>
      <c r="I126" s="24">
        <v>0.23681319846048576</v>
      </c>
      <c r="J126" s="25">
        <v>4.5847024987891248E-2</v>
      </c>
      <c r="K126" s="26">
        <v>0.24647440495013676</v>
      </c>
      <c r="L126" s="24">
        <v>0</v>
      </c>
      <c r="M126" s="25">
        <v>0</v>
      </c>
      <c r="N126" s="26">
        <v>0</v>
      </c>
      <c r="O126" s="27">
        <v>0</v>
      </c>
      <c r="P126" s="28">
        <v>0</v>
      </c>
      <c r="Q126" s="29">
        <v>0</v>
      </c>
      <c r="R126" s="24">
        <v>0</v>
      </c>
      <c r="S126" s="25">
        <v>0</v>
      </c>
      <c r="T126" s="26">
        <v>0</v>
      </c>
      <c r="U126" s="27">
        <v>192.72727272727272</v>
      </c>
      <c r="V126" s="28">
        <v>192.72727272727272</v>
      </c>
      <c r="W126" s="29">
        <v>206.88118811881188</v>
      </c>
      <c r="X126" s="24">
        <v>0.64637693575910249</v>
      </c>
      <c r="Y126" s="25">
        <v>0.59079565370313358</v>
      </c>
      <c r="Z126" s="26">
        <v>0.67322125215436368</v>
      </c>
      <c r="AA126" s="24">
        <v>0.12224156975367118</v>
      </c>
      <c r="AB126" s="25">
        <v>0.19462241595096064</v>
      </c>
      <c r="AC126" s="26">
        <v>9.9262032011349741E-2</v>
      </c>
      <c r="AD126" s="27">
        <v>7686574</v>
      </c>
      <c r="AE126" s="28">
        <v>13634017</v>
      </c>
      <c r="AF126" s="29">
        <v>8687133</v>
      </c>
      <c r="AG126" s="27">
        <v>16761254</v>
      </c>
      <c r="AH126" s="28">
        <v>41223047</v>
      </c>
      <c r="AI126" s="29">
        <v>18735230</v>
      </c>
      <c r="AJ126" s="27">
        <v>5239407</v>
      </c>
      <c r="AK126" s="28">
        <v>1986562</v>
      </c>
      <c r="AL126" s="29">
        <v>6048265</v>
      </c>
      <c r="AM126" s="30">
        <v>19167186</v>
      </c>
      <c r="AN126" s="30">
        <v>14198017</v>
      </c>
      <c r="AO126" s="30">
        <v>19519446</v>
      </c>
      <c r="AP126" s="27">
        <v>0</v>
      </c>
      <c r="AQ126" s="28">
        <v>0</v>
      </c>
      <c r="AR126" s="29">
        <v>0</v>
      </c>
      <c r="AS126" s="27">
        <v>0</v>
      </c>
      <c r="AT126" s="28">
        <v>0</v>
      </c>
      <c r="AU126" s="29">
        <v>0</v>
      </c>
      <c r="AV126" s="27">
        <v>855229.3199999982</v>
      </c>
      <c r="AW126" s="28">
        <v>4167023.6500000013</v>
      </c>
      <c r="AX126" s="29">
        <v>4137600.9199999995</v>
      </c>
      <c r="AY126" s="27">
        <v>8886982</v>
      </c>
      <c r="AZ126" s="28">
        <v>34205903</v>
      </c>
      <c r="BA126" s="29">
        <v>32926469</v>
      </c>
      <c r="BB126" s="24">
        <v>0</v>
      </c>
      <c r="BC126" s="25">
        <v>0</v>
      </c>
      <c r="BD126" s="26">
        <v>0</v>
      </c>
      <c r="BE126" s="24">
        <v>1.7784136021518196E-2</v>
      </c>
      <c r="BF126" s="25">
        <v>0.13182807584206171</v>
      </c>
      <c r="BG126" s="26">
        <v>7.6161953085381207E-2</v>
      </c>
      <c r="BH126" s="24">
        <v>0.18480107383220229</v>
      </c>
      <c r="BI126" s="25">
        <v>1.0821388966511398</v>
      </c>
      <c r="BJ126" s="26">
        <v>0.6060865307534925</v>
      </c>
      <c r="BK126" s="24">
        <v>0.89276999999999995</v>
      </c>
      <c r="BL126" s="25">
        <v>0.80637000000000003</v>
      </c>
      <c r="BM126" s="26">
        <v>0.84960000000000002</v>
      </c>
    </row>
    <row r="127" spans="1:65" x14ac:dyDescent="0.2">
      <c r="A127" s="22">
        <v>6308</v>
      </c>
      <c r="B127" s="23" t="s">
        <v>144</v>
      </c>
      <c r="C127" s="24">
        <v>0.19346379921983467</v>
      </c>
      <c r="D127" s="25">
        <v>0.16993269658526269</v>
      </c>
      <c r="E127" s="26">
        <v>0.15940577655744245</v>
      </c>
      <c r="F127" s="24">
        <v>0.43347853564758232</v>
      </c>
      <c r="G127" s="25">
        <v>0.41177111379131087</v>
      </c>
      <c r="H127" s="26">
        <v>0.54209082612501314</v>
      </c>
      <c r="I127" s="24">
        <v>-0.13116786040307324</v>
      </c>
      <c r="J127" s="25">
        <v>-5.5102359345211252E-2</v>
      </c>
      <c r="K127" s="26">
        <v>0.10160926175200316</v>
      </c>
      <c r="L127" s="24">
        <v>0.34816094119351315</v>
      </c>
      <c r="M127" s="25">
        <v>0.25755361348461137</v>
      </c>
      <c r="N127" s="26">
        <v>0.22680506947228513</v>
      </c>
      <c r="O127" s="27">
        <v>152</v>
      </c>
      <c r="P127" s="28">
        <v>127</v>
      </c>
      <c r="Q127" s="29">
        <v>109</v>
      </c>
      <c r="R127" s="24">
        <v>2.0056654847954132E-3</v>
      </c>
      <c r="S127" s="25">
        <v>1.4289634305447456E-3</v>
      </c>
      <c r="T127" s="26">
        <v>4.3173873942204552E-2</v>
      </c>
      <c r="U127" s="27">
        <v>212.35294117647058</v>
      </c>
      <c r="V127" s="28">
        <v>212.35294117647058</v>
      </c>
      <c r="W127" s="29">
        <v>211.5</v>
      </c>
      <c r="X127" s="24">
        <v>0.58194975582884456</v>
      </c>
      <c r="Y127" s="25">
        <v>0.56267195397502634</v>
      </c>
      <c r="Z127" s="26">
        <v>0.69565201274530841</v>
      </c>
      <c r="AA127" s="24">
        <v>0.22381369897307002</v>
      </c>
      <c r="AB127" s="25">
        <v>0.25706104299300664</v>
      </c>
      <c r="AC127" s="26">
        <v>0.12965395224875906</v>
      </c>
      <c r="AD127" s="27">
        <v>2912997</v>
      </c>
      <c r="AE127" s="28">
        <v>5904344</v>
      </c>
      <c r="AF127" s="29">
        <v>2730576</v>
      </c>
      <c r="AG127" s="27">
        <v>16936890</v>
      </c>
      <c r="AH127" s="28">
        <v>36201911</v>
      </c>
      <c r="AI127" s="29">
        <v>15916445</v>
      </c>
      <c r="AJ127" s="27">
        <v>-1975003</v>
      </c>
      <c r="AK127" s="28">
        <v>-1914542</v>
      </c>
      <c r="AL127" s="29">
        <v>1740538</v>
      </c>
      <c r="AM127" s="30">
        <v>5241033</v>
      </c>
      <c r="AN127" s="30">
        <v>4969075</v>
      </c>
      <c r="AO127" s="30">
        <v>6408735</v>
      </c>
      <c r="AP127" s="27">
        <v>2191905</v>
      </c>
      <c r="AQ127" s="28">
        <v>1835905</v>
      </c>
      <c r="AR127" s="29">
        <v>1569905</v>
      </c>
      <c r="AS127" s="27">
        <v>12627</v>
      </c>
      <c r="AT127" s="28">
        <v>10186</v>
      </c>
      <c r="AU127" s="29">
        <v>298842</v>
      </c>
      <c r="AV127" s="27">
        <v>1171909.0200000005</v>
      </c>
      <c r="AW127" s="28">
        <v>3545710.6500000018</v>
      </c>
      <c r="AX127" s="29">
        <v>470562.76000000036</v>
      </c>
      <c r="AY127" s="27">
        <v>15752252.48</v>
      </c>
      <c r="AZ127" s="28">
        <v>13575826.430000002</v>
      </c>
      <c r="BA127" s="29">
        <v>12451428.689999999</v>
      </c>
      <c r="BB127" s="24">
        <v>3.826618512348186E-4</v>
      </c>
      <c r="BC127" s="25">
        <v>2.8136636212381164E-4</v>
      </c>
      <c r="BD127" s="26">
        <v>8.5449820640642899E-3</v>
      </c>
      <c r="BE127" s="24">
        <v>3.5514760043714441E-2</v>
      </c>
      <c r="BF127" s="25">
        <v>0.12098507804003744</v>
      </c>
      <c r="BG127" s="26">
        <v>1.3455104517492831E-2</v>
      </c>
      <c r="BH127" s="24">
        <v>0.47737278016275148</v>
      </c>
      <c r="BI127" s="25">
        <v>0.46322799072494886</v>
      </c>
      <c r="BJ127" s="26">
        <v>0.35603173191193177</v>
      </c>
      <c r="BK127" s="24">
        <v>0.87336999999999998</v>
      </c>
      <c r="BL127" s="25">
        <v>0.72680999999999996</v>
      </c>
      <c r="BM127" s="26">
        <v>0.80010000000000003</v>
      </c>
    </row>
    <row r="128" spans="1:65" x14ac:dyDescent="0.2">
      <c r="A128" s="22">
        <v>6309</v>
      </c>
      <c r="B128" s="23" t="s">
        <v>145</v>
      </c>
      <c r="C128" s="24">
        <v>0.1356609391268796</v>
      </c>
      <c r="D128" s="25">
        <v>0.11444439830772216</v>
      </c>
      <c r="E128" s="26">
        <v>0.1156237401079072</v>
      </c>
      <c r="F128" s="24">
        <v>0.51478573095404923</v>
      </c>
      <c r="G128" s="25">
        <v>0.29878280107586969</v>
      </c>
      <c r="H128" s="26">
        <v>0.50660841004780666</v>
      </c>
      <c r="I128" s="24">
        <v>4.225584529854693E-2</v>
      </c>
      <c r="J128" s="25">
        <v>-3.8286949709998588E-3</v>
      </c>
      <c r="K128" s="26">
        <v>0.14878491677606151</v>
      </c>
      <c r="L128" s="24">
        <v>4.2547682894788628E-2</v>
      </c>
      <c r="M128" s="25">
        <v>0</v>
      </c>
      <c r="N128" s="26">
        <v>0</v>
      </c>
      <c r="O128" s="27">
        <v>14</v>
      </c>
      <c r="P128" s="28">
        <v>0</v>
      </c>
      <c r="Q128" s="29">
        <v>0</v>
      </c>
      <c r="R128" s="24">
        <v>2.1614330982207535E-3</v>
      </c>
      <c r="S128" s="25">
        <v>9.2469439387895321E-4</v>
      </c>
      <c r="T128" s="26">
        <v>3.5385137711080807E-3</v>
      </c>
      <c r="U128" s="27">
        <v>317.12994350282486</v>
      </c>
      <c r="V128" s="28">
        <v>315.34831460674155</v>
      </c>
      <c r="W128" s="29">
        <v>285.25373134328356</v>
      </c>
      <c r="X128" s="24">
        <v>0.67898155243291458</v>
      </c>
      <c r="Y128" s="25">
        <v>0.55470813015813825</v>
      </c>
      <c r="Z128" s="26">
        <v>0.70751466107601846</v>
      </c>
      <c r="AA128" s="24">
        <v>0.14456447317450116</v>
      </c>
      <c r="AB128" s="25">
        <v>0.26664458240632655</v>
      </c>
      <c r="AC128" s="26">
        <v>0.1172714352429966</v>
      </c>
      <c r="AD128" s="27">
        <v>1762597</v>
      </c>
      <c r="AE128" s="28">
        <v>3563722</v>
      </c>
      <c r="AF128" s="29">
        <v>1769493</v>
      </c>
      <c r="AG128" s="27">
        <v>12378055</v>
      </c>
      <c r="AH128" s="28">
        <v>31319440</v>
      </c>
      <c r="AI128" s="29">
        <v>12869110</v>
      </c>
      <c r="AJ128" s="27">
        <v>549016</v>
      </c>
      <c r="AK128" s="28">
        <v>-119223</v>
      </c>
      <c r="AL128" s="29">
        <v>2276988</v>
      </c>
      <c r="AM128" s="30">
        <v>4254153</v>
      </c>
      <c r="AN128" s="30">
        <v>3416585</v>
      </c>
      <c r="AO128" s="30">
        <v>5622953</v>
      </c>
      <c r="AP128" s="27">
        <v>199999</v>
      </c>
      <c r="AQ128" s="28">
        <v>0</v>
      </c>
      <c r="AR128" s="29">
        <v>0</v>
      </c>
      <c r="AS128" s="27">
        <v>10160</v>
      </c>
      <c r="AT128" s="28">
        <v>5160</v>
      </c>
      <c r="AU128" s="29">
        <v>18656</v>
      </c>
      <c r="AV128" s="27">
        <v>722565.30999999994</v>
      </c>
      <c r="AW128" s="28">
        <v>1517061.6200000003</v>
      </c>
      <c r="AX128" s="29">
        <v>1861843.76</v>
      </c>
      <c r="AY128" s="27">
        <v>14891790.040000001</v>
      </c>
      <c r="AZ128" s="28">
        <v>8053537.7199999988</v>
      </c>
      <c r="BA128" s="29">
        <v>12957541.050000001</v>
      </c>
      <c r="BB128" s="24">
        <v>3.7111186356233056E-4</v>
      </c>
      <c r="BC128" s="25">
        <v>1.6475390364578677E-4</v>
      </c>
      <c r="BD128" s="26">
        <v>6.348029995938908E-4</v>
      </c>
      <c r="BE128" s="24">
        <v>2.6392968379881206E-2</v>
      </c>
      <c r="BF128" s="25">
        <v>6.6384854785856068E-2</v>
      </c>
      <c r="BG128" s="26">
        <v>6.3352487329715268E-2</v>
      </c>
      <c r="BH128" s="24">
        <v>0.54394881432316466</v>
      </c>
      <c r="BI128" s="25">
        <v>0.35241345836342114</v>
      </c>
      <c r="BJ128" s="26">
        <v>0.44090297630258218</v>
      </c>
      <c r="BK128" s="24">
        <v>0.83391999999999999</v>
      </c>
      <c r="BL128" s="25">
        <v>0.72553999999999996</v>
      </c>
      <c r="BM128" s="26">
        <v>0.77969999999999995</v>
      </c>
    </row>
    <row r="129" spans="1:65" x14ac:dyDescent="0.2">
      <c r="A129" s="22">
        <v>6310</v>
      </c>
      <c r="B129" s="23" t="s">
        <v>146</v>
      </c>
      <c r="C129" s="24">
        <v>0.16030480250636106</v>
      </c>
      <c r="D129" s="25">
        <v>0.14248210478418463</v>
      </c>
      <c r="E129" s="26">
        <v>0.15634272029882798</v>
      </c>
      <c r="F129" s="24">
        <v>0.62980324144223387</v>
      </c>
      <c r="G129" s="25">
        <v>0.4483346972588223</v>
      </c>
      <c r="H129" s="26">
        <v>0.52227300843653501</v>
      </c>
      <c r="I129" s="24">
        <v>7.5281597446446413E-2</v>
      </c>
      <c r="J129" s="25">
        <v>1.0447923695449305E-2</v>
      </c>
      <c r="K129" s="26">
        <v>3.817358630723882E-2</v>
      </c>
      <c r="L129" s="24">
        <v>0.1337931731568347</v>
      </c>
      <c r="M129" s="25">
        <v>0.46214622522931925</v>
      </c>
      <c r="N129" s="26">
        <v>0.10722565381366655</v>
      </c>
      <c r="O129" s="27">
        <v>203</v>
      </c>
      <c r="P129" s="28">
        <v>202</v>
      </c>
      <c r="Q129" s="29">
        <v>166</v>
      </c>
      <c r="R129" s="24">
        <v>0.10232643386417692</v>
      </c>
      <c r="S129" s="25">
        <v>0.34063634506881824</v>
      </c>
      <c r="T129" s="26">
        <v>9.6258005799139235E-2</v>
      </c>
      <c r="U129" s="27">
        <v>207.20588235294119</v>
      </c>
      <c r="V129" s="28">
        <v>207.20588235294119</v>
      </c>
      <c r="W129" s="29">
        <v>213.40816326530611</v>
      </c>
      <c r="X129" s="24">
        <v>0.62153533401743954</v>
      </c>
      <c r="Y129" s="25">
        <v>0.54988296689744109</v>
      </c>
      <c r="Z129" s="26">
        <v>0.59036191163229812</v>
      </c>
      <c r="AA129" s="24">
        <v>6.0689960690239013E-2</v>
      </c>
      <c r="AB129" s="25">
        <v>0.18312146776949428</v>
      </c>
      <c r="AC129" s="26">
        <v>5.8684954664837682E-2</v>
      </c>
      <c r="AD129" s="27">
        <v>3481068</v>
      </c>
      <c r="AE129" s="28">
        <v>6598287</v>
      </c>
      <c r="AF129" s="29">
        <v>3456713</v>
      </c>
      <c r="AG129" s="27">
        <v>19042853</v>
      </c>
      <c r="AH129" s="28">
        <v>44555770</v>
      </c>
      <c r="AI129" s="29">
        <v>21957570</v>
      </c>
      <c r="AJ129" s="27">
        <v>1634763</v>
      </c>
      <c r="AK129" s="28">
        <v>483839</v>
      </c>
      <c r="AL129" s="29">
        <v>844012</v>
      </c>
      <c r="AM129" s="30">
        <v>3898691</v>
      </c>
      <c r="AN129" s="30">
        <v>2679647</v>
      </c>
      <c r="AO129" s="30">
        <v>2759251</v>
      </c>
      <c r="AP129" s="27">
        <v>4288692</v>
      </c>
      <c r="AQ129" s="28">
        <v>4274292</v>
      </c>
      <c r="AR129" s="29">
        <v>3481690</v>
      </c>
      <c r="AS129" s="27">
        <v>3280037</v>
      </c>
      <c r="AT129" s="28">
        <v>3150473</v>
      </c>
      <c r="AU129" s="29">
        <v>3125563</v>
      </c>
      <c r="AV129" s="27">
        <v>16597332.039999999</v>
      </c>
      <c r="AW129" s="28">
        <v>18743921.159999996</v>
      </c>
      <c r="AX129" s="29">
        <v>20871399.490000002</v>
      </c>
      <c r="AY129" s="27">
        <v>56433897.549999997</v>
      </c>
      <c r="AZ129" s="28">
        <v>57863508.329999998</v>
      </c>
      <c r="BA129" s="29">
        <v>57649766.07</v>
      </c>
      <c r="BB129" s="24">
        <v>5.8207514831923796E-2</v>
      </c>
      <c r="BC129" s="25">
        <v>7.0708530006326903E-2</v>
      </c>
      <c r="BD129" s="26">
        <v>5.2619338017457114E-2</v>
      </c>
      <c r="BE129" s="24">
        <v>0.29453614422296576</v>
      </c>
      <c r="BF129" s="25">
        <v>0.55834002049400067</v>
      </c>
      <c r="BG129" s="26">
        <v>0.35137324848729401</v>
      </c>
      <c r="BH129" s="24">
        <v>1.0014755713624244</v>
      </c>
      <c r="BI129" s="25">
        <v>1.7236261372978898</v>
      </c>
      <c r="BJ129" s="26">
        <v>0.97054275580580529</v>
      </c>
      <c r="BK129" s="24">
        <v>0.82945999999999998</v>
      </c>
      <c r="BL129" s="25">
        <v>0.68672</v>
      </c>
      <c r="BM129" s="26">
        <v>0.7581</v>
      </c>
    </row>
    <row r="130" spans="1:65" x14ac:dyDescent="0.2">
      <c r="A130" s="22">
        <v>6311</v>
      </c>
      <c r="B130" s="23" t="s">
        <v>147</v>
      </c>
      <c r="C130" s="24">
        <v>0.1485773376793656</v>
      </c>
      <c r="D130" s="25">
        <v>0.15511214394876233</v>
      </c>
      <c r="E130" s="26">
        <v>0.2867444871344631</v>
      </c>
      <c r="F130" s="24">
        <v>0.22026288653306131</v>
      </c>
      <c r="G130" s="25">
        <v>0.25439725202383223</v>
      </c>
      <c r="H130" s="26">
        <v>1.0835352959957916</v>
      </c>
      <c r="I130" s="24">
        <v>9.3074428811998552E-3</v>
      </c>
      <c r="J130" s="25">
        <v>4.0679463458883548E-2</v>
      </c>
      <c r="K130" s="26">
        <v>0.18334509201650059</v>
      </c>
      <c r="L130" s="24">
        <v>0.16829729294893767</v>
      </c>
      <c r="M130" s="25">
        <v>0.16517522077572383</v>
      </c>
      <c r="N130" s="26">
        <v>0.10953339842160931</v>
      </c>
      <c r="O130" s="27">
        <v>146</v>
      </c>
      <c r="P130" s="28">
        <v>124</v>
      </c>
      <c r="Q130" s="29">
        <v>103</v>
      </c>
      <c r="R130" s="24">
        <v>0.37063696648248334</v>
      </c>
      <c r="S130" s="25">
        <v>5.6360171600160804E-2</v>
      </c>
      <c r="T130" s="26">
        <v>0.34775038646163858</v>
      </c>
      <c r="U130" s="27">
        <v>116.05479452054794</v>
      </c>
      <c r="V130" s="28">
        <v>116.05479452054794</v>
      </c>
      <c r="W130" s="29">
        <v>114.71232876712328</v>
      </c>
      <c r="X130" s="24">
        <v>0.34304831015598536</v>
      </c>
      <c r="Y130" s="25">
        <v>0.38349631807222195</v>
      </c>
      <c r="Z130" s="26">
        <v>0.75887925547674873</v>
      </c>
      <c r="AA130" s="24">
        <v>0.54709044521793182</v>
      </c>
      <c r="AB130" s="25">
        <v>0.49045442353649682</v>
      </c>
      <c r="AC130" s="26">
        <v>3.6275573097083576E-2</v>
      </c>
      <c r="AD130" s="27">
        <v>1242534</v>
      </c>
      <c r="AE130" s="28">
        <v>2621018</v>
      </c>
      <c r="AF130" s="29">
        <v>1367635</v>
      </c>
      <c r="AG130" s="27">
        <v>8616387</v>
      </c>
      <c r="AH130" s="28">
        <v>16781019</v>
      </c>
      <c r="AI130" s="29">
        <v>4374128</v>
      </c>
      <c r="AJ130" s="27">
        <v>77837</v>
      </c>
      <c r="AK130" s="28">
        <v>687384</v>
      </c>
      <c r="AL130" s="29">
        <v>874469</v>
      </c>
      <c r="AM130" s="30">
        <v>1310348</v>
      </c>
      <c r="AN130" s="30">
        <v>1864211</v>
      </c>
      <c r="AO130" s="30">
        <v>2663364</v>
      </c>
      <c r="AP130" s="27">
        <v>618212</v>
      </c>
      <c r="AQ130" s="28">
        <v>525095</v>
      </c>
      <c r="AR130" s="29">
        <v>430808</v>
      </c>
      <c r="AS130" s="27">
        <v>1361473</v>
      </c>
      <c r="AT130" s="28">
        <v>179170</v>
      </c>
      <c r="AU130" s="29">
        <v>1367744</v>
      </c>
      <c r="AV130" s="27">
        <v>746995.55999999959</v>
      </c>
      <c r="AW130" s="28">
        <v>1725898.530000001</v>
      </c>
      <c r="AX130" s="29">
        <v>2481334.71</v>
      </c>
      <c r="AY130" s="27">
        <v>8295669.46</v>
      </c>
      <c r="AZ130" s="28">
        <v>9378786.4100000001</v>
      </c>
      <c r="BA130" s="29">
        <v>16479136.58</v>
      </c>
      <c r="BB130" s="24">
        <v>6.8399347171426178E-2</v>
      </c>
      <c r="BC130" s="25">
        <v>1.067694399249533E-2</v>
      </c>
      <c r="BD130" s="26">
        <v>9.2202825669190511E-2</v>
      </c>
      <c r="BE130" s="24">
        <v>3.7528477350600331E-2</v>
      </c>
      <c r="BF130" s="25">
        <v>0.14873469659655883</v>
      </c>
      <c r="BG130" s="26">
        <v>0.16727258294903241</v>
      </c>
      <c r="BH130" s="24">
        <v>0.41676799717213453</v>
      </c>
      <c r="BI130" s="25">
        <v>0.80824621313935441</v>
      </c>
      <c r="BJ130" s="26">
        <v>1.1108971834382169</v>
      </c>
      <c r="BK130" s="24">
        <v>0.86089000000000004</v>
      </c>
      <c r="BL130" s="25">
        <v>0.76053000000000004</v>
      </c>
      <c r="BM130" s="26">
        <v>0.81069999999999998</v>
      </c>
    </row>
    <row r="131" spans="1:65" x14ac:dyDescent="0.2">
      <c r="A131" s="22">
        <v>6312</v>
      </c>
      <c r="B131" s="31" t="s">
        <v>148</v>
      </c>
      <c r="C131" s="24">
        <v>0.15891708203310695</v>
      </c>
      <c r="D131" s="25">
        <v>0.10165390833103555</v>
      </c>
      <c r="E131" s="26">
        <v>0.11802894572794291</v>
      </c>
      <c r="F131" s="24">
        <v>0.33113220646236258</v>
      </c>
      <c r="G131" s="25">
        <v>0.25183152444347079</v>
      </c>
      <c r="H131" s="26">
        <v>0.44147808857083404</v>
      </c>
      <c r="I131" s="24">
        <v>-0.36875151264727951</v>
      </c>
      <c r="J131" s="25">
        <v>-5.484909515781812E-2</v>
      </c>
      <c r="K131" s="26">
        <v>5.5445078376257916E-2</v>
      </c>
      <c r="L131" s="24">
        <v>0</v>
      </c>
      <c r="M131" s="25">
        <v>0</v>
      </c>
      <c r="N131" s="26">
        <v>0</v>
      </c>
      <c r="O131" s="27">
        <v>0</v>
      </c>
      <c r="P131" s="28">
        <v>0</v>
      </c>
      <c r="Q131" s="29">
        <v>0</v>
      </c>
      <c r="R131" s="24">
        <v>0</v>
      </c>
      <c r="S131" s="25">
        <v>0</v>
      </c>
      <c r="T131" s="26">
        <v>0</v>
      </c>
      <c r="U131" s="27">
        <v>120.48717948717949</v>
      </c>
      <c r="V131" s="28">
        <v>120.48717948717949</v>
      </c>
      <c r="W131" s="29">
        <v>119.1025641025641</v>
      </c>
      <c r="X131" s="24">
        <v>0.54656317994783121</v>
      </c>
      <c r="Y131" s="25">
        <v>0.54347268017401029</v>
      </c>
      <c r="Z131" s="26">
        <v>0.5922974450790558</v>
      </c>
      <c r="AA131" s="24">
        <v>0.28509980096757698</v>
      </c>
      <c r="AB131" s="25">
        <v>0.30478237446364154</v>
      </c>
      <c r="AC131" s="26">
        <v>0.22145733251710553</v>
      </c>
      <c r="AD131" s="27">
        <v>641516</v>
      </c>
      <c r="AE131" s="28">
        <v>1274850</v>
      </c>
      <c r="AF131" s="29">
        <v>723455</v>
      </c>
      <c r="AG131" s="27">
        <v>5390579</v>
      </c>
      <c r="AH131" s="28">
        <v>12999003</v>
      </c>
      <c r="AI131" s="29">
        <v>5575241</v>
      </c>
      <c r="AJ131" s="27">
        <v>-1488575</v>
      </c>
      <c r="AK131" s="28">
        <v>-687867</v>
      </c>
      <c r="AL131" s="29">
        <v>339849</v>
      </c>
      <c r="AM131" s="30">
        <v>3027099</v>
      </c>
      <c r="AN131" s="30">
        <v>3833421</v>
      </c>
      <c r="AO131" s="30">
        <v>4174165</v>
      </c>
      <c r="AP131" s="27">
        <v>0</v>
      </c>
      <c r="AQ131" s="28">
        <v>0</v>
      </c>
      <c r="AR131" s="29">
        <v>0</v>
      </c>
      <c r="AS131" s="27">
        <v>0</v>
      </c>
      <c r="AT131" s="28">
        <v>0</v>
      </c>
      <c r="AU131" s="29">
        <v>0</v>
      </c>
      <c r="AV131" s="27">
        <v>32694.009999999951</v>
      </c>
      <c r="AW131" s="28">
        <v>69289.760000000257</v>
      </c>
      <c r="AX131" s="29">
        <v>35097.349999999977</v>
      </c>
      <c r="AY131" s="27">
        <v>2107687.61</v>
      </c>
      <c r="AZ131" s="28">
        <v>7199130.1999999993</v>
      </c>
      <c r="BA131" s="29">
        <v>7400117.4000000004</v>
      </c>
      <c r="BB131" s="24">
        <v>0</v>
      </c>
      <c r="BC131" s="25">
        <v>0</v>
      </c>
      <c r="BD131" s="26">
        <v>0</v>
      </c>
      <c r="BE131" s="24">
        <v>2.4932857697058438E-3</v>
      </c>
      <c r="BF131" s="25">
        <v>7.2466434872278914E-3</v>
      </c>
      <c r="BG131" s="26">
        <v>2.807216226199046E-3</v>
      </c>
      <c r="BH131" s="24">
        <v>0.16073487238177048</v>
      </c>
      <c r="BI131" s="25">
        <v>0.7529183241150702</v>
      </c>
      <c r="BJ131" s="26">
        <v>0.59188883608186682</v>
      </c>
      <c r="BK131" s="24">
        <v>0.92888000000000004</v>
      </c>
      <c r="BL131" s="25">
        <v>0.84923999999999999</v>
      </c>
      <c r="BM131" s="26">
        <v>0.8891</v>
      </c>
    </row>
    <row r="132" spans="1:65" x14ac:dyDescent="0.2">
      <c r="A132" s="22">
        <v>6401</v>
      </c>
      <c r="B132" s="23" t="s">
        <v>149</v>
      </c>
      <c r="C132" s="24">
        <v>0.17373309597052508</v>
      </c>
      <c r="D132" s="25">
        <v>0.15658203222129852</v>
      </c>
      <c r="E132" s="26">
        <v>0.19026310008220532</v>
      </c>
      <c r="F132" s="24">
        <v>0.53083274237061495</v>
      </c>
      <c r="G132" s="25">
        <v>0.34539710875562529</v>
      </c>
      <c r="H132" s="26">
        <v>0.75746230090218281</v>
      </c>
      <c r="I132" s="24">
        <v>1.0084621680895245E-2</v>
      </c>
      <c r="J132" s="25">
        <v>-7.7811927898192995E-2</v>
      </c>
      <c r="K132" s="26">
        <v>0.18851130378373798</v>
      </c>
      <c r="L132" s="24">
        <v>0</v>
      </c>
      <c r="M132" s="25">
        <v>0</v>
      </c>
      <c r="N132" s="26">
        <v>0</v>
      </c>
      <c r="O132" s="27">
        <v>0</v>
      </c>
      <c r="P132" s="28">
        <v>0</v>
      </c>
      <c r="Q132" s="29">
        <v>0</v>
      </c>
      <c r="R132" s="24">
        <v>0</v>
      </c>
      <c r="S132" s="25">
        <v>0</v>
      </c>
      <c r="T132" s="26">
        <v>0</v>
      </c>
      <c r="U132" s="27">
        <v>132.14285714285714</v>
      </c>
      <c r="V132" s="28">
        <v>132.14285714285714</v>
      </c>
      <c r="W132" s="29">
        <v>134.58536585365854</v>
      </c>
      <c r="X132" s="24">
        <v>0.55164251429728361</v>
      </c>
      <c r="Y132" s="25">
        <v>0.48730527129757323</v>
      </c>
      <c r="Z132" s="26">
        <v>0.65176409764955112</v>
      </c>
      <c r="AA132" s="24">
        <v>0.2094282485153269</v>
      </c>
      <c r="AB132" s="25">
        <v>0.28829752285370591</v>
      </c>
      <c r="AC132" s="26">
        <v>6.2554782160350611E-2</v>
      </c>
      <c r="AD132" s="27">
        <v>1334651</v>
      </c>
      <c r="AE132" s="28">
        <v>2625943</v>
      </c>
      <c r="AF132" s="29">
        <v>1634259</v>
      </c>
      <c r="AG132" s="27">
        <v>7507545</v>
      </c>
      <c r="AH132" s="28">
        <v>18032524</v>
      </c>
      <c r="AI132" s="29">
        <v>7137360</v>
      </c>
      <c r="AJ132" s="27">
        <v>77472</v>
      </c>
      <c r="AK132" s="28">
        <v>-1304937</v>
      </c>
      <c r="AL132" s="29">
        <v>1619212</v>
      </c>
      <c r="AM132" s="30">
        <v>3611020</v>
      </c>
      <c r="AN132" s="30">
        <v>2208751</v>
      </c>
      <c r="AO132" s="30">
        <v>3830893</v>
      </c>
      <c r="AP132" s="27">
        <v>0</v>
      </c>
      <c r="AQ132" s="28">
        <v>0</v>
      </c>
      <c r="AR132" s="29">
        <v>0</v>
      </c>
      <c r="AS132" s="27">
        <v>0</v>
      </c>
      <c r="AT132" s="28">
        <v>0</v>
      </c>
      <c r="AU132" s="29">
        <v>0</v>
      </c>
      <c r="AV132" s="27">
        <v>3226.0499999998137</v>
      </c>
      <c r="AW132" s="28">
        <v>288412.90000000008</v>
      </c>
      <c r="AX132" s="29">
        <v>420972.71999999974</v>
      </c>
      <c r="AY132" s="27">
        <v>2715619.1900000004</v>
      </c>
      <c r="AZ132" s="28">
        <v>5852161.6800000016</v>
      </c>
      <c r="BA132" s="29">
        <v>10451817.07</v>
      </c>
      <c r="BB132" s="24">
        <v>0</v>
      </c>
      <c r="BC132" s="25">
        <v>0</v>
      </c>
      <c r="BD132" s="26">
        <v>0</v>
      </c>
      <c r="BE132" s="24">
        <v>1.9404580925892214E-4</v>
      </c>
      <c r="BF132" s="25">
        <v>2.0786901839327902E-2</v>
      </c>
      <c r="BG132" s="26">
        <v>2.4967524990345942E-2</v>
      </c>
      <c r="BH132" s="24">
        <v>0.16334356980289802</v>
      </c>
      <c r="BI132" s="25">
        <v>0.42178526130431843</v>
      </c>
      <c r="BJ132" s="26">
        <v>0.61988815781162609</v>
      </c>
      <c r="BK132" s="24">
        <v>0.74836000000000003</v>
      </c>
      <c r="BL132" s="25">
        <v>0.76749000000000001</v>
      </c>
      <c r="BM132" s="26">
        <v>0.75790000000000002</v>
      </c>
    </row>
    <row r="133" spans="1:65" x14ac:dyDescent="0.2">
      <c r="A133" s="22">
        <v>6402</v>
      </c>
      <c r="B133" s="23" t="s">
        <v>150</v>
      </c>
      <c r="C133" s="24">
        <v>0.12204715454961942</v>
      </c>
      <c r="D133" s="25">
        <v>8.8678621737701344E-2</v>
      </c>
      <c r="E133" s="26">
        <v>0.14301446293910167</v>
      </c>
      <c r="F133" s="24">
        <v>0.42152802975609333</v>
      </c>
      <c r="G133" s="25">
        <v>0.128186643330649</v>
      </c>
      <c r="H133" s="26">
        <v>0.73422268798474311</v>
      </c>
      <c r="I133" s="24">
        <v>0.13411901384628325</v>
      </c>
      <c r="J133" s="25">
        <v>-0.13953483321667989</v>
      </c>
      <c r="K133" s="26">
        <v>0.30161118882490612</v>
      </c>
      <c r="L133" s="24">
        <v>0</v>
      </c>
      <c r="M133" s="25">
        <v>0</v>
      </c>
      <c r="N133" s="26">
        <v>0</v>
      </c>
      <c r="O133" s="27">
        <v>0</v>
      </c>
      <c r="P133" s="28">
        <v>0</v>
      </c>
      <c r="Q133" s="29">
        <v>0</v>
      </c>
      <c r="R133" s="24">
        <v>0</v>
      </c>
      <c r="S133" s="25">
        <v>0</v>
      </c>
      <c r="T133" s="26">
        <v>0</v>
      </c>
      <c r="U133" s="27">
        <v>70.098360655737707</v>
      </c>
      <c r="V133" s="28">
        <v>67.873015873015873</v>
      </c>
      <c r="W133" s="29">
        <v>67.606557377049185</v>
      </c>
      <c r="X133" s="24">
        <v>0.66132952013512558</v>
      </c>
      <c r="Y133" s="25">
        <v>0.37421293063718136</v>
      </c>
      <c r="Z133" s="26">
        <v>0.68429140285409296</v>
      </c>
      <c r="AA133" s="24">
        <v>1.2906561254695271E-2</v>
      </c>
      <c r="AB133" s="25">
        <v>0.40852636523612218</v>
      </c>
      <c r="AC133" s="26">
        <v>6.2939526201259862E-4</v>
      </c>
      <c r="AD133" s="27">
        <v>338060</v>
      </c>
      <c r="AE133" s="28">
        <v>694179</v>
      </c>
      <c r="AF133" s="29">
        <v>466611</v>
      </c>
      <c r="AG133" s="27">
        <v>2404281</v>
      </c>
      <c r="AH133" s="28">
        <v>9015565</v>
      </c>
      <c r="AI133" s="29">
        <v>2796335</v>
      </c>
      <c r="AJ133" s="27">
        <v>371498</v>
      </c>
      <c r="AK133" s="28">
        <v>-1092283</v>
      </c>
      <c r="AL133" s="29">
        <v>984062</v>
      </c>
      <c r="AM133" s="30">
        <v>3565175</v>
      </c>
      <c r="AN133" s="30">
        <v>2100978</v>
      </c>
      <c r="AO133" s="30">
        <v>3085650</v>
      </c>
      <c r="AP133" s="27">
        <v>0</v>
      </c>
      <c r="AQ133" s="28">
        <v>0</v>
      </c>
      <c r="AR133" s="29">
        <v>0</v>
      </c>
      <c r="AS133" s="27">
        <v>0</v>
      </c>
      <c r="AT133" s="28">
        <v>0</v>
      </c>
      <c r="AU133" s="29">
        <v>0</v>
      </c>
      <c r="AV133" s="27">
        <v>74419.489999999976</v>
      </c>
      <c r="AW133" s="28">
        <v>287835.82000000012</v>
      </c>
      <c r="AX133" s="29">
        <v>98796.79000000027</v>
      </c>
      <c r="AY133" s="27">
        <v>607209.30000000005</v>
      </c>
      <c r="AZ133" s="28">
        <v>290475.52000000048</v>
      </c>
      <c r="BA133" s="29">
        <v>373986.41000000003</v>
      </c>
      <c r="BB133" s="24">
        <v>0</v>
      </c>
      <c r="BC133" s="25">
        <v>0</v>
      </c>
      <c r="BD133" s="26">
        <v>0</v>
      </c>
      <c r="BE133" s="24">
        <v>8.2017040088114349E-3</v>
      </c>
      <c r="BF133" s="25">
        <v>4.1060668503753152E-2</v>
      </c>
      <c r="BG133" s="26">
        <v>1.1135921151509723E-2</v>
      </c>
      <c r="BH133" s="24">
        <v>6.6919982251928717E-2</v>
      </c>
      <c r="BI133" s="25">
        <v>4.1437229859630859E-2</v>
      </c>
      <c r="BJ133" s="26">
        <v>4.2154033278775316E-2</v>
      </c>
      <c r="BK133" s="24">
        <v>0.59367999999999999</v>
      </c>
      <c r="BL133" s="25">
        <v>0.65325999999999995</v>
      </c>
      <c r="BM133" s="26">
        <v>0.62350000000000005</v>
      </c>
    </row>
    <row r="134" spans="1:65" x14ac:dyDescent="0.2">
      <c r="A134" s="22">
        <v>6403</v>
      </c>
      <c r="B134" s="23" t="s">
        <v>151</v>
      </c>
      <c r="C134" s="24">
        <v>0.17942785001583214</v>
      </c>
      <c r="D134" s="25">
        <v>0.16908016909842849</v>
      </c>
      <c r="E134" s="26">
        <v>0.20313642420922196</v>
      </c>
      <c r="F134" s="24">
        <v>0.39113370404677306</v>
      </c>
      <c r="G134" s="25">
        <v>0.32025795146257557</v>
      </c>
      <c r="H134" s="26">
        <v>0.7485697760539175</v>
      </c>
      <c r="I134" s="24">
        <v>1.0864229917519159E-2</v>
      </c>
      <c r="J134" s="25">
        <v>-9.5488564602801446E-2</v>
      </c>
      <c r="K134" s="26">
        <v>0.20206321312151068</v>
      </c>
      <c r="L134" s="24">
        <v>8.7149294955662163E-3</v>
      </c>
      <c r="M134" s="25">
        <v>6.1840468238434886E-3</v>
      </c>
      <c r="N134" s="26">
        <v>4.6999016857300433E-3</v>
      </c>
      <c r="O134" s="27">
        <v>9</v>
      </c>
      <c r="P134" s="28">
        <v>7</v>
      </c>
      <c r="Q134" s="29">
        <v>6</v>
      </c>
      <c r="R134" s="24">
        <v>0</v>
      </c>
      <c r="S134" s="25">
        <v>0</v>
      </c>
      <c r="T134" s="26">
        <v>0</v>
      </c>
      <c r="U134" s="27">
        <v>51.230769230769234</v>
      </c>
      <c r="V134" s="28">
        <v>51.230769230769234</v>
      </c>
      <c r="W134" s="29">
        <v>49.384615384615387</v>
      </c>
      <c r="X134" s="24">
        <v>0.50179366955708604</v>
      </c>
      <c r="Y134" s="25">
        <v>0.4662804348488887</v>
      </c>
      <c r="Z134" s="26">
        <v>0.6391505628482459</v>
      </c>
      <c r="AA134" s="24">
        <v>0.24847819870491214</v>
      </c>
      <c r="AB134" s="25">
        <v>0.33604251045449152</v>
      </c>
      <c r="AC134" s="26">
        <v>3.6130861274683512E-2</v>
      </c>
      <c r="AD134" s="27">
        <v>525291</v>
      </c>
      <c r="AE134" s="28">
        <v>1027849</v>
      </c>
      <c r="AF134" s="29">
        <v>678187</v>
      </c>
      <c r="AG134" s="27">
        <v>2874554</v>
      </c>
      <c r="AH134" s="28">
        <v>6625382</v>
      </c>
      <c r="AI134" s="29">
        <v>2652580</v>
      </c>
      <c r="AJ134" s="27">
        <v>31806</v>
      </c>
      <c r="AK134" s="28">
        <v>-580481</v>
      </c>
      <c r="AL134" s="29">
        <v>674604</v>
      </c>
      <c r="AM134" s="30">
        <v>2936588</v>
      </c>
      <c r="AN134" s="30">
        <v>2327637</v>
      </c>
      <c r="AO134" s="30">
        <v>3002241</v>
      </c>
      <c r="AP134" s="27">
        <v>11990</v>
      </c>
      <c r="AQ134" s="28">
        <v>9956</v>
      </c>
      <c r="AR134" s="29">
        <v>7840</v>
      </c>
      <c r="AS134" s="27">
        <v>0</v>
      </c>
      <c r="AT134" s="28">
        <v>0</v>
      </c>
      <c r="AU134" s="29">
        <v>0</v>
      </c>
      <c r="AV134" s="27">
        <v>25640.689999999944</v>
      </c>
      <c r="AW134" s="28">
        <v>4803.2299999999814</v>
      </c>
      <c r="AX134" s="29">
        <v>11242.579999999958</v>
      </c>
      <c r="AY134" s="27">
        <v>1241588.7</v>
      </c>
      <c r="AZ134" s="28">
        <v>1526393.39</v>
      </c>
      <c r="BA134" s="29">
        <v>1642238.9699999997</v>
      </c>
      <c r="BB134" s="24">
        <v>0</v>
      </c>
      <c r="BC134" s="25">
        <v>0</v>
      </c>
      <c r="BD134" s="26">
        <v>0</v>
      </c>
      <c r="BE134" s="24">
        <v>3.1034558302005023E-3</v>
      </c>
      <c r="BF134" s="25">
        <v>9.7083864072119996E-4</v>
      </c>
      <c r="BG134" s="26">
        <v>1.3278899190928906E-3</v>
      </c>
      <c r="BH134" s="24">
        <v>0.15027737903020824</v>
      </c>
      <c r="BI134" s="25">
        <v>0.3085177440916696</v>
      </c>
      <c r="BJ134" s="26">
        <v>0.19396905096557016</v>
      </c>
      <c r="BK134" s="24">
        <v>0.59040999999999999</v>
      </c>
      <c r="BL134" s="25">
        <v>0.65156999999999998</v>
      </c>
      <c r="BM134" s="26">
        <v>0.621</v>
      </c>
    </row>
    <row r="135" spans="1:65" x14ac:dyDescent="0.2">
      <c r="A135" s="22">
        <v>6404</v>
      </c>
      <c r="B135" s="23" t="s">
        <v>152</v>
      </c>
      <c r="C135" s="24">
        <v>0.29937874595168623</v>
      </c>
      <c r="D135" s="25">
        <v>0.27230498364189315</v>
      </c>
      <c r="E135" s="26">
        <v>0.28362874816741507</v>
      </c>
      <c r="F135" s="24">
        <v>0.79207935861787693</v>
      </c>
      <c r="G135" s="25">
        <v>0.80882356892795526</v>
      </c>
      <c r="H135" s="26">
        <v>1.0043024596542549</v>
      </c>
      <c r="I135" s="24">
        <v>-0.10424615583759728</v>
      </c>
      <c r="J135" s="25">
        <v>-2.8524588508850063E-2</v>
      </c>
      <c r="K135" s="26">
        <v>3.2021667482841999E-2</v>
      </c>
      <c r="L135" s="24">
        <v>0.67185547474872931</v>
      </c>
      <c r="M135" s="25">
        <v>0.62069698359753922</v>
      </c>
      <c r="N135" s="26">
        <v>0.45038947532292034</v>
      </c>
      <c r="O135" s="27">
        <v>408</v>
      </c>
      <c r="P135" s="28">
        <v>386</v>
      </c>
      <c r="Q135" s="29">
        <v>304</v>
      </c>
      <c r="R135" s="24">
        <v>6.5078861602485008E-2</v>
      </c>
      <c r="S135" s="25">
        <v>8.6814705976763287E-2</v>
      </c>
      <c r="T135" s="26">
        <v>3.9990682330888525E-2</v>
      </c>
      <c r="U135" s="27">
        <v>472.94219653179192</v>
      </c>
      <c r="V135" s="28">
        <v>472.94219653179192</v>
      </c>
      <c r="W135" s="29">
        <v>415.19181585677751</v>
      </c>
      <c r="X135" s="24">
        <v>0.511882717072905</v>
      </c>
      <c r="Y135" s="25">
        <v>0.56051235456362225</v>
      </c>
      <c r="Z135" s="26">
        <v>0.54527147066297166</v>
      </c>
      <c r="AA135" s="24">
        <v>0.14436351999579228</v>
      </c>
      <c r="AB135" s="25">
        <v>0.11466477565966804</v>
      </c>
      <c r="AC135" s="26">
        <v>4.9314796492830569E-2</v>
      </c>
      <c r="AD135" s="27">
        <v>24719295</v>
      </c>
      <c r="AE135" s="28">
        <v>45150345</v>
      </c>
      <c r="AF135" s="29">
        <v>27361167</v>
      </c>
      <c r="AG135" s="27">
        <v>86393751</v>
      </c>
      <c r="AH135" s="28">
        <v>168443586</v>
      </c>
      <c r="AI135" s="29">
        <v>91387886</v>
      </c>
      <c r="AJ135" s="27">
        <v>-8607463</v>
      </c>
      <c r="AK135" s="28">
        <v>-4729605</v>
      </c>
      <c r="AL135" s="29">
        <v>3089074</v>
      </c>
      <c r="AM135" s="30">
        <v>28003838</v>
      </c>
      <c r="AN135" s="30">
        <v>30287393</v>
      </c>
      <c r="AO135" s="30">
        <v>27156109</v>
      </c>
      <c r="AP135" s="27">
        <v>33407390</v>
      </c>
      <c r="AQ135" s="28">
        <v>31615415</v>
      </c>
      <c r="AR135" s="29">
        <v>24698345</v>
      </c>
      <c r="AS135" s="27">
        <v>3235986</v>
      </c>
      <c r="AT135" s="28">
        <v>4421937</v>
      </c>
      <c r="AU135" s="29">
        <v>2192999</v>
      </c>
      <c r="AV135" s="27">
        <v>5559982.8800000018</v>
      </c>
      <c r="AW135" s="28">
        <v>5864647.1100000013</v>
      </c>
      <c r="AX135" s="29">
        <v>4194970.2000000011</v>
      </c>
      <c r="AY135" s="27">
        <v>35928155.630000003</v>
      </c>
      <c r="AZ135" s="28">
        <v>49880752.490000002</v>
      </c>
      <c r="BA135" s="29">
        <v>52162971.079999998</v>
      </c>
      <c r="BB135" s="24">
        <v>1.8386706358335798E-2</v>
      </c>
      <c r="BC135" s="25">
        <v>2.6251738668161578E-2</v>
      </c>
      <c r="BD135" s="26">
        <v>1.1987982733339262E-2</v>
      </c>
      <c r="BE135" s="24">
        <v>3.1591537346556571E-2</v>
      </c>
      <c r="BF135" s="25">
        <v>4.417515802834189E-2</v>
      </c>
      <c r="BG135" s="26">
        <v>2.2931716031093841E-2</v>
      </c>
      <c r="BH135" s="24">
        <v>0.20414193620287577</v>
      </c>
      <c r="BI135" s="25">
        <v>0.37572424776609581</v>
      </c>
      <c r="BJ135" s="26">
        <v>0.28514778010692904</v>
      </c>
      <c r="BK135" s="24">
        <v>0.85089999999999999</v>
      </c>
      <c r="BL135" s="25">
        <v>0.77373000000000003</v>
      </c>
      <c r="BM135" s="26">
        <v>0.81230000000000002</v>
      </c>
    </row>
    <row r="136" spans="1:65" x14ac:dyDescent="0.2">
      <c r="A136" s="22">
        <v>6405</v>
      </c>
      <c r="B136" s="23" t="s">
        <v>153</v>
      </c>
      <c r="C136" s="24">
        <v>0.22953057776994254</v>
      </c>
      <c r="D136" s="25">
        <v>0.20999860471298204</v>
      </c>
      <c r="E136" s="26">
        <v>0.27282921565027052</v>
      </c>
      <c r="F136" s="24">
        <v>0.42710685409013027</v>
      </c>
      <c r="G136" s="25">
        <v>0.36096832015038849</v>
      </c>
      <c r="H136" s="26">
        <v>0.82011699064493826</v>
      </c>
      <c r="I136" s="24">
        <v>-4.9308895428096022E-2</v>
      </c>
      <c r="J136" s="25">
        <v>-0.11837300872004622</v>
      </c>
      <c r="K136" s="26">
        <v>0.16302307025984569</v>
      </c>
      <c r="L136" s="24">
        <v>0</v>
      </c>
      <c r="M136" s="25">
        <v>2.8054271038331417E-2</v>
      </c>
      <c r="N136" s="26">
        <v>0</v>
      </c>
      <c r="O136" s="27">
        <v>0</v>
      </c>
      <c r="P136" s="28">
        <v>16</v>
      </c>
      <c r="Q136" s="29">
        <v>0</v>
      </c>
      <c r="R136" s="24">
        <v>1.8067110264693865E-2</v>
      </c>
      <c r="S136" s="25">
        <v>1.8013902472540224E-2</v>
      </c>
      <c r="T136" s="26">
        <v>1.6812723594654654E-2</v>
      </c>
      <c r="U136" s="27">
        <v>294.59649122807019</v>
      </c>
      <c r="V136" s="28">
        <v>294.59649122807019</v>
      </c>
      <c r="W136" s="29">
        <v>285.22413793103448</v>
      </c>
      <c r="X136" s="24">
        <v>0.54934679928280405</v>
      </c>
      <c r="Y136" s="25">
        <v>0.53404293181933471</v>
      </c>
      <c r="Z136" s="26">
        <v>0.67277693208198852</v>
      </c>
      <c r="AA136" s="24">
        <v>0.19731354644876842</v>
      </c>
      <c r="AB136" s="25">
        <v>0.21469874790077895</v>
      </c>
      <c r="AC136" s="26">
        <v>3.0554047188659277E-2</v>
      </c>
      <c r="AD136" s="27">
        <v>3801793</v>
      </c>
      <c r="AE136" s="28">
        <v>7806729</v>
      </c>
      <c r="AF136" s="29">
        <v>5637248</v>
      </c>
      <c r="AG136" s="27">
        <v>17813820</v>
      </c>
      <c r="AH136" s="28">
        <v>42066794</v>
      </c>
      <c r="AI136" s="29">
        <v>17156156</v>
      </c>
      <c r="AJ136" s="27">
        <v>-816720</v>
      </c>
      <c r="AK136" s="28">
        <v>-4400534</v>
      </c>
      <c r="AL136" s="29">
        <v>3368413</v>
      </c>
      <c r="AM136" s="30">
        <v>9713430</v>
      </c>
      <c r="AN136" s="30">
        <v>6286050</v>
      </c>
      <c r="AO136" s="30">
        <v>9302970</v>
      </c>
      <c r="AP136" s="27">
        <v>0</v>
      </c>
      <c r="AQ136" s="28">
        <v>275000</v>
      </c>
      <c r="AR136" s="29">
        <v>0</v>
      </c>
      <c r="AS136" s="27">
        <v>168714</v>
      </c>
      <c r="AT136" s="28">
        <v>176580</v>
      </c>
      <c r="AU136" s="29">
        <v>168714</v>
      </c>
      <c r="AV136" s="27">
        <v>844469.36999999918</v>
      </c>
      <c r="AW136" s="28">
        <v>505425.12000000145</v>
      </c>
      <c r="AX136" s="29">
        <v>881038.8899999999</v>
      </c>
      <c r="AY136" s="27">
        <v>10292335.629999999</v>
      </c>
      <c r="AZ136" s="28">
        <v>13013683.880000001</v>
      </c>
      <c r="BA136" s="29">
        <v>29637759.939999998</v>
      </c>
      <c r="BB136" s="24">
        <v>3.8229912063543312E-3</v>
      </c>
      <c r="BC136" s="25">
        <v>4.1976101149994935E-3</v>
      </c>
      <c r="BD136" s="26">
        <v>3.9929448838278443E-3</v>
      </c>
      <c r="BE136" s="24">
        <v>1.9135335393302148E-2</v>
      </c>
      <c r="BF136" s="25">
        <v>1.5173419603576181E-2</v>
      </c>
      <c r="BG136" s="26">
        <v>2.0851498561345605E-2</v>
      </c>
      <c r="BH136" s="24">
        <v>0.23322017500822315</v>
      </c>
      <c r="BI136" s="25">
        <v>0.39068514461555609</v>
      </c>
      <c r="BJ136" s="26">
        <v>0.70143522126522295</v>
      </c>
      <c r="BK136" s="24">
        <v>0.73231000000000002</v>
      </c>
      <c r="BL136" s="25">
        <v>0.70718000000000003</v>
      </c>
      <c r="BM136" s="26">
        <v>0.71970000000000001</v>
      </c>
    </row>
    <row r="137" spans="1:65" x14ac:dyDescent="0.2">
      <c r="A137" s="22">
        <v>6406</v>
      </c>
      <c r="B137" s="23" t="s">
        <v>154</v>
      </c>
      <c r="C137" s="24">
        <v>0.14623360675634967</v>
      </c>
      <c r="D137" s="25">
        <v>0.1389313177299554</v>
      </c>
      <c r="E137" s="26">
        <v>0.17724571457247043</v>
      </c>
      <c r="F137" s="24">
        <v>0.53788295312176082</v>
      </c>
      <c r="G137" s="25">
        <v>0.28155775180445691</v>
      </c>
      <c r="H137" s="26">
        <v>0.53976873748657983</v>
      </c>
      <c r="I137" s="24">
        <v>0.19356321817955988</v>
      </c>
      <c r="J137" s="25">
        <v>-2.7416102802473009E-2</v>
      </c>
      <c r="K137" s="26">
        <v>9.5751685157370814E-2</v>
      </c>
      <c r="L137" s="24">
        <v>0</v>
      </c>
      <c r="M137" s="25">
        <v>0</v>
      </c>
      <c r="N137" s="26">
        <v>0</v>
      </c>
      <c r="O137" s="27">
        <v>0</v>
      </c>
      <c r="P137" s="28">
        <v>0</v>
      </c>
      <c r="Q137" s="29">
        <v>0</v>
      </c>
      <c r="R137" s="24">
        <v>0</v>
      </c>
      <c r="S137" s="25">
        <v>0</v>
      </c>
      <c r="T137" s="26">
        <v>0</v>
      </c>
      <c r="U137" s="27">
        <v>53.984126984126981</v>
      </c>
      <c r="V137" s="28">
        <v>53.984126984126981</v>
      </c>
      <c r="W137" s="29">
        <v>52.523809523809526</v>
      </c>
      <c r="X137" s="24">
        <v>0.61725504997726466</v>
      </c>
      <c r="Y137" s="25">
        <v>0.47876944786738207</v>
      </c>
      <c r="Z137" s="26">
        <v>0.61363949787741423</v>
      </c>
      <c r="AA137" s="24">
        <v>7.2367844102922296E-2</v>
      </c>
      <c r="AB137" s="25">
        <v>0.29631295145454001</v>
      </c>
      <c r="AC137" s="26">
        <v>7.5188677261837603E-2</v>
      </c>
      <c r="AD137" s="27">
        <v>954824</v>
      </c>
      <c r="AE137" s="28">
        <v>2023613</v>
      </c>
      <c r="AF137" s="29">
        <v>1116123</v>
      </c>
      <c r="AG137" s="27">
        <v>5176954</v>
      </c>
      <c r="AH137" s="28">
        <v>14870268</v>
      </c>
      <c r="AI137" s="29">
        <v>5612494</v>
      </c>
      <c r="AJ137" s="27">
        <v>1263860</v>
      </c>
      <c r="AK137" s="28">
        <v>-399331</v>
      </c>
      <c r="AL137" s="29">
        <v>602952</v>
      </c>
      <c r="AM137" s="30">
        <v>4722047</v>
      </c>
      <c r="AN137" s="30">
        <v>3272621</v>
      </c>
      <c r="AO137" s="30">
        <v>3989898</v>
      </c>
      <c r="AP137" s="27">
        <v>0</v>
      </c>
      <c r="AQ137" s="28">
        <v>0</v>
      </c>
      <c r="AR137" s="29">
        <v>0</v>
      </c>
      <c r="AS137" s="27">
        <v>0</v>
      </c>
      <c r="AT137" s="28">
        <v>0</v>
      </c>
      <c r="AU137" s="29">
        <v>0</v>
      </c>
      <c r="AV137" s="27">
        <v>207101.31</v>
      </c>
      <c r="AW137" s="28">
        <v>2339893.37</v>
      </c>
      <c r="AX137" s="29">
        <v>216455.75000000038</v>
      </c>
      <c r="AY137" s="27">
        <v>2391491.21</v>
      </c>
      <c r="AZ137" s="28">
        <v>9898229.1899999995</v>
      </c>
      <c r="BA137" s="29">
        <v>9946213.4499999993</v>
      </c>
      <c r="BB137" s="24">
        <v>0</v>
      </c>
      <c r="BC137" s="25">
        <v>0</v>
      </c>
      <c r="BD137" s="26">
        <v>0</v>
      </c>
      <c r="BE137" s="24">
        <v>1.3243599084835363E-2</v>
      </c>
      <c r="BF137" s="25">
        <v>0.18447665215436765</v>
      </c>
      <c r="BG137" s="26">
        <v>1.3636448398359964E-2</v>
      </c>
      <c r="BH137" s="24">
        <v>0.15292974631665929</v>
      </c>
      <c r="BI137" s="25">
        <v>0.78037410022142928</v>
      </c>
      <c r="BJ137" s="26">
        <v>0.62659932327969381</v>
      </c>
      <c r="BK137" s="24">
        <v>0.47954000000000002</v>
      </c>
      <c r="BL137" s="25">
        <v>0.46084000000000003</v>
      </c>
      <c r="BM137" s="26">
        <v>0.47020000000000001</v>
      </c>
    </row>
    <row r="138" spans="1:65" x14ac:dyDescent="0.2">
      <c r="A138" s="22">
        <v>6501</v>
      </c>
      <c r="B138" s="23" t="s">
        <v>155</v>
      </c>
      <c r="C138" s="24">
        <v>0.22549296165379232</v>
      </c>
      <c r="D138" s="25">
        <v>0.19327204061072886</v>
      </c>
      <c r="E138" s="26">
        <v>0.22178769252240693</v>
      </c>
      <c r="F138" s="24">
        <v>0.58368971771513001</v>
      </c>
      <c r="G138" s="25">
        <v>0.48874760053076421</v>
      </c>
      <c r="H138" s="26">
        <v>0.85222425003698055</v>
      </c>
      <c r="I138" s="24">
        <v>-4.1227659853231478E-2</v>
      </c>
      <c r="J138" s="25">
        <v>-0.11582880004155532</v>
      </c>
      <c r="K138" s="26">
        <v>4.4732997915029937E-2</v>
      </c>
      <c r="L138" s="24">
        <v>0.32364584959666926</v>
      </c>
      <c r="M138" s="25">
        <v>0.32281652586501336</v>
      </c>
      <c r="N138" s="26">
        <v>0.23702974756627848</v>
      </c>
      <c r="O138" s="27">
        <v>170</v>
      </c>
      <c r="P138" s="28">
        <v>169</v>
      </c>
      <c r="Q138" s="29">
        <v>144</v>
      </c>
      <c r="R138" s="24">
        <v>4.452094717668488E-2</v>
      </c>
      <c r="S138" s="25">
        <v>5.58666569155329E-2</v>
      </c>
      <c r="T138" s="26">
        <v>4.4993384753904062E-2</v>
      </c>
      <c r="U138" s="27">
        <v>140.46153846153845</v>
      </c>
      <c r="V138" s="28">
        <v>140.46153846153845</v>
      </c>
      <c r="W138" s="29">
        <v>148.47916666666666</v>
      </c>
      <c r="X138" s="24">
        <v>0.62684177364488625</v>
      </c>
      <c r="Y138" s="25">
        <v>0.61308462698247579</v>
      </c>
      <c r="Z138" s="26">
        <v>0.7227701274724988</v>
      </c>
      <c r="AA138" s="24">
        <v>0.14560968959052931</v>
      </c>
      <c r="AB138" s="25">
        <v>0.18112927502363615</v>
      </c>
      <c r="AC138" s="26">
        <v>5.2911216808619616E-3</v>
      </c>
      <c r="AD138" s="27">
        <v>1641904</v>
      </c>
      <c r="AE138" s="28">
        <v>2820341</v>
      </c>
      <c r="AF138" s="29">
        <v>1722629</v>
      </c>
      <c r="AG138" s="27">
        <v>7448323</v>
      </c>
      <c r="AH138" s="28">
        <v>16308711</v>
      </c>
      <c r="AI138" s="29">
        <v>7364412</v>
      </c>
      <c r="AJ138" s="27">
        <v>-300195</v>
      </c>
      <c r="AK138" s="28">
        <v>-1690243</v>
      </c>
      <c r="AL138" s="29">
        <v>347442</v>
      </c>
      <c r="AM138" s="30">
        <v>2564034</v>
      </c>
      <c r="AN138" s="30">
        <v>1109870</v>
      </c>
      <c r="AO138" s="30">
        <v>1294927</v>
      </c>
      <c r="AP138" s="27">
        <v>1243771</v>
      </c>
      <c r="AQ138" s="28">
        <v>1231526</v>
      </c>
      <c r="AR138" s="29">
        <v>1025120</v>
      </c>
      <c r="AS138" s="27">
        <v>171094</v>
      </c>
      <c r="AT138" s="28">
        <v>213128</v>
      </c>
      <c r="AU138" s="29">
        <v>194590</v>
      </c>
      <c r="AV138" s="27">
        <v>387414.89999999967</v>
      </c>
      <c r="AW138" s="28">
        <v>508495.26999999938</v>
      </c>
      <c r="AX138" s="29">
        <v>436390.23</v>
      </c>
      <c r="AY138" s="27">
        <v>6573724.5099999998</v>
      </c>
      <c r="AZ138" s="28">
        <v>7054571.8700000001</v>
      </c>
      <c r="BA138" s="29">
        <v>11544871.879999999</v>
      </c>
      <c r="BB138" s="24">
        <v>1.1747100163366629E-2</v>
      </c>
      <c r="BC138" s="25">
        <v>1.3068353470731072E-2</v>
      </c>
      <c r="BD138" s="26">
        <v>1.4622862555161684E-2</v>
      </c>
      <c r="BE138" s="24">
        <v>2.6599422744693926E-2</v>
      </c>
      <c r="BF138" s="25">
        <v>4.0332487942774081E-2</v>
      </c>
      <c r="BG138" s="26">
        <v>3.2793434162626006E-2</v>
      </c>
      <c r="BH138" s="24">
        <v>0.45134370735004276</v>
      </c>
      <c r="BI138" s="25">
        <v>0.55954981624157207</v>
      </c>
      <c r="BJ138" s="26">
        <v>0.86756295142705719</v>
      </c>
      <c r="BK138" s="24">
        <v>0.75073000000000001</v>
      </c>
      <c r="BL138" s="25">
        <v>0.81452000000000002</v>
      </c>
      <c r="BM138" s="26">
        <v>0.78259999999999996</v>
      </c>
    </row>
    <row r="139" spans="1:65" x14ac:dyDescent="0.2">
      <c r="A139" s="22">
        <v>6502</v>
      </c>
      <c r="B139" s="23" t="s">
        <v>156</v>
      </c>
      <c r="C139" s="24">
        <v>0.11560707541968829</v>
      </c>
      <c r="D139" s="25">
        <v>0.10069096101388167</v>
      </c>
      <c r="E139" s="26">
        <v>8.2963851767012237E-2</v>
      </c>
      <c r="F139" s="24">
        <v>0.51306608011541299</v>
      </c>
      <c r="G139" s="25">
        <v>0.24224043406570603</v>
      </c>
      <c r="H139" s="26">
        <v>0.47958451942328817</v>
      </c>
      <c r="I139" s="24">
        <v>4.2222479753322724E-2</v>
      </c>
      <c r="J139" s="25">
        <v>-1.1163079804257774E-3</v>
      </c>
      <c r="K139" s="26">
        <v>0.32792856105156254</v>
      </c>
      <c r="L139" s="24">
        <v>0</v>
      </c>
      <c r="M139" s="25">
        <v>0</v>
      </c>
      <c r="N139" s="26">
        <v>0</v>
      </c>
      <c r="O139" s="27">
        <v>0</v>
      </c>
      <c r="P139" s="28">
        <v>0</v>
      </c>
      <c r="Q139" s="29">
        <v>0</v>
      </c>
      <c r="R139" s="24">
        <v>0</v>
      </c>
      <c r="S139" s="25">
        <v>0</v>
      </c>
      <c r="T139" s="26">
        <v>0</v>
      </c>
      <c r="U139" s="27">
        <v>182.87755102040816</v>
      </c>
      <c r="V139" s="28">
        <v>182.87755102040816</v>
      </c>
      <c r="W139" s="29">
        <v>167.82692307692307</v>
      </c>
      <c r="X139" s="24">
        <v>0.65734585603400808</v>
      </c>
      <c r="Y139" s="25">
        <v>0.52256094327268154</v>
      </c>
      <c r="Z139" s="26">
        <v>0.70568403374383326</v>
      </c>
      <c r="AA139" s="24">
        <v>5.8953274047773015E-2</v>
      </c>
      <c r="AB139" s="25">
        <v>0.30875196926885762</v>
      </c>
      <c r="AC139" s="26">
        <v>0.11891054297658459</v>
      </c>
      <c r="AD139" s="27">
        <v>1355694</v>
      </c>
      <c r="AE139" s="28">
        <v>3210037</v>
      </c>
      <c r="AF139" s="29">
        <v>1453942</v>
      </c>
      <c r="AG139" s="27">
        <v>11154037</v>
      </c>
      <c r="AH139" s="28">
        <v>32564751</v>
      </c>
      <c r="AI139" s="29">
        <v>12580432</v>
      </c>
      <c r="AJ139" s="27">
        <v>495132</v>
      </c>
      <c r="AK139" s="28">
        <v>-35588</v>
      </c>
      <c r="AL139" s="29">
        <v>5746950</v>
      </c>
      <c r="AM139" s="30">
        <v>3554196</v>
      </c>
      <c r="AN139" s="30">
        <v>2976423</v>
      </c>
      <c r="AO139" s="30">
        <v>8775012</v>
      </c>
      <c r="AP139" s="27">
        <v>0</v>
      </c>
      <c r="AQ139" s="28">
        <v>0</v>
      </c>
      <c r="AR139" s="29">
        <v>0</v>
      </c>
      <c r="AS139" s="27">
        <v>0</v>
      </c>
      <c r="AT139" s="28">
        <v>0</v>
      </c>
      <c r="AU139" s="29">
        <v>0</v>
      </c>
      <c r="AV139" s="27">
        <v>88629.369999999923</v>
      </c>
      <c r="AW139" s="28">
        <v>995969.28000000119</v>
      </c>
      <c r="AX139" s="29">
        <v>527934.37</v>
      </c>
      <c r="AY139" s="27">
        <v>22942508.989999998</v>
      </c>
      <c r="AZ139" s="28">
        <v>13417297.33</v>
      </c>
      <c r="BA139" s="29">
        <v>16440034.92</v>
      </c>
      <c r="BB139" s="24">
        <v>0</v>
      </c>
      <c r="BC139" s="25">
        <v>0</v>
      </c>
      <c r="BD139" s="26">
        <v>0</v>
      </c>
      <c r="BE139" s="24">
        <v>4.183074009691601E-3</v>
      </c>
      <c r="BF139" s="25">
        <v>4.6731080284642401E-2</v>
      </c>
      <c r="BG139" s="26">
        <v>1.8174928095108553E-2</v>
      </c>
      <c r="BH139" s="24">
        <v>1.0828263032128624</v>
      </c>
      <c r="BI139" s="25">
        <v>0.62954230750083717</v>
      </c>
      <c r="BJ139" s="26">
        <v>0.56597272223832229</v>
      </c>
      <c r="BK139" s="24">
        <v>0.72326000000000001</v>
      </c>
      <c r="BL139" s="25">
        <v>0.66137000000000001</v>
      </c>
      <c r="BM139" s="26">
        <v>0.69230000000000003</v>
      </c>
    </row>
    <row r="140" spans="1:65" x14ac:dyDescent="0.2">
      <c r="A140" s="22">
        <v>6503</v>
      </c>
      <c r="B140" s="23" t="s">
        <v>157</v>
      </c>
      <c r="C140" s="24">
        <v>0.15256533435306177</v>
      </c>
      <c r="D140" s="25">
        <v>0.16095750931718369</v>
      </c>
      <c r="E140" s="26">
        <v>0.12055247129959965</v>
      </c>
      <c r="F140" s="24">
        <v>0.63454007794184719</v>
      </c>
      <c r="G140" s="25">
        <v>0.4711941823922195</v>
      </c>
      <c r="H140" s="26">
        <v>0.51637312726213347</v>
      </c>
      <c r="I140" s="24">
        <v>6.6418614523983621E-2</v>
      </c>
      <c r="J140" s="25">
        <v>-8.0977288807917144E-2</v>
      </c>
      <c r="K140" s="26">
        <v>7.4718686153486077E-2</v>
      </c>
      <c r="L140" s="24">
        <v>0.42606413354450501</v>
      </c>
      <c r="M140" s="25">
        <v>0.338939022596704</v>
      </c>
      <c r="N140" s="26">
        <v>0.33368005877359913</v>
      </c>
      <c r="O140" s="27">
        <v>169</v>
      </c>
      <c r="P140" s="28">
        <v>159</v>
      </c>
      <c r="Q140" s="29">
        <v>150</v>
      </c>
      <c r="R140" s="24">
        <v>0</v>
      </c>
      <c r="S140" s="25">
        <v>0</v>
      </c>
      <c r="T140" s="26">
        <v>0</v>
      </c>
      <c r="U140" s="27">
        <v>205.36305732484075</v>
      </c>
      <c r="V140" s="28">
        <v>205.36305732484075</v>
      </c>
      <c r="W140" s="29">
        <v>199.57232704402514</v>
      </c>
      <c r="X140" s="24">
        <v>0.6914926796127373</v>
      </c>
      <c r="Y140" s="25">
        <v>0.61759783505002852</v>
      </c>
      <c r="Z140" s="26">
        <v>0.67912862581299882</v>
      </c>
      <c r="AA140" s="24">
        <v>6.0031524031647202E-2</v>
      </c>
      <c r="AB140" s="25">
        <v>0.13387930265953765</v>
      </c>
      <c r="AC140" s="26">
        <v>0.12157979953538375</v>
      </c>
      <c r="AD140" s="27">
        <v>2288491</v>
      </c>
      <c r="AE140" s="28">
        <v>5031313</v>
      </c>
      <c r="AF140" s="29">
        <v>2245731</v>
      </c>
      <c r="AG140" s="27">
        <v>14418841</v>
      </c>
      <c r="AH140" s="28">
        <v>34503892</v>
      </c>
      <c r="AI140" s="29">
        <v>17259405</v>
      </c>
      <c r="AJ140" s="27">
        <v>996284</v>
      </c>
      <c r="AK140" s="28">
        <v>-2531240</v>
      </c>
      <c r="AL140" s="29">
        <v>1391909</v>
      </c>
      <c r="AM140" s="30">
        <v>13459220</v>
      </c>
      <c r="AN140" s="30">
        <v>9702617</v>
      </c>
      <c r="AO140" s="30">
        <v>10963094</v>
      </c>
      <c r="AP140" s="27">
        <v>2726208</v>
      </c>
      <c r="AQ140" s="28">
        <v>2555808</v>
      </c>
      <c r="AR140" s="29">
        <v>2385408</v>
      </c>
      <c r="AS140" s="27">
        <v>0</v>
      </c>
      <c r="AT140" s="28">
        <v>0</v>
      </c>
      <c r="AU140" s="29">
        <v>0</v>
      </c>
      <c r="AV140" s="27">
        <v>708857.65000000014</v>
      </c>
      <c r="AW140" s="28">
        <v>228410.39999999973</v>
      </c>
      <c r="AX140" s="29">
        <v>387096.0900000002</v>
      </c>
      <c r="AY140" s="27">
        <v>6095140.5599999996</v>
      </c>
      <c r="AZ140" s="28">
        <v>11995121.699999999</v>
      </c>
      <c r="BA140" s="29">
        <v>9540012.209999999</v>
      </c>
      <c r="BB140" s="24">
        <v>0</v>
      </c>
      <c r="BC140" s="25">
        <v>0</v>
      </c>
      <c r="BD140" s="26">
        <v>0</v>
      </c>
      <c r="BE140" s="24">
        <v>1.8551972232510591E-2</v>
      </c>
      <c r="BF140" s="25">
        <v>8.9903855274923519E-3</v>
      </c>
      <c r="BG140" s="26">
        <v>9.6271806182279263E-3</v>
      </c>
      <c r="BH140" s="24">
        <v>0.15951986752540376</v>
      </c>
      <c r="BI140" s="25">
        <v>0.47213598212773839</v>
      </c>
      <c r="BJ140" s="26">
        <v>0.23726258936319844</v>
      </c>
      <c r="BK140" s="24">
        <v>0.86351</v>
      </c>
      <c r="BL140" s="25">
        <v>0.67464000000000002</v>
      </c>
      <c r="BM140" s="26">
        <v>0.76910000000000001</v>
      </c>
    </row>
    <row r="141" spans="1:65" x14ac:dyDescent="0.2">
      <c r="A141" s="22">
        <v>6504</v>
      </c>
      <c r="B141" s="23" t="s">
        <v>158</v>
      </c>
      <c r="C141" s="24">
        <v>0.12374215388357623</v>
      </c>
      <c r="D141" s="25">
        <v>0.13323205948628122</v>
      </c>
      <c r="E141" s="26">
        <v>0.12305449443436607</v>
      </c>
      <c r="F141" s="24">
        <v>0.41244567282658151</v>
      </c>
      <c r="G141" s="25">
        <v>0.42644529596345399</v>
      </c>
      <c r="H141" s="26">
        <v>0.70813559245667268</v>
      </c>
      <c r="I141" s="24">
        <v>4.6147270620225E-2</v>
      </c>
      <c r="J141" s="25">
        <v>-7.6925234268494624E-2</v>
      </c>
      <c r="K141" s="26">
        <v>9.9123560439801348E-2</v>
      </c>
      <c r="L141" s="24">
        <v>0</v>
      </c>
      <c r="M141" s="25">
        <v>0</v>
      </c>
      <c r="N141" s="26">
        <v>0</v>
      </c>
      <c r="O141" s="27">
        <v>0</v>
      </c>
      <c r="P141" s="28">
        <v>0</v>
      </c>
      <c r="Q141" s="29">
        <v>0</v>
      </c>
      <c r="R141" s="24">
        <v>0</v>
      </c>
      <c r="S141" s="25">
        <v>0</v>
      </c>
      <c r="T141" s="26">
        <v>0</v>
      </c>
      <c r="U141" s="27">
        <v>164.28813559322035</v>
      </c>
      <c r="V141" s="28">
        <v>170.05263157894737</v>
      </c>
      <c r="W141" s="29">
        <v>169.80357142857142</v>
      </c>
      <c r="X141" s="24">
        <v>0.66385669712152506</v>
      </c>
      <c r="Y141" s="25">
        <v>0.65873030368108265</v>
      </c>
      <c r="Z141" s="26">
        <v>0.74879899968696417</v>
      </c>
      <c r="AA141" s="24">
        <v>0.15167674459061703</v>
      </c>
      <c r="AB141" s="25">
        <v>0.14290659611375375</v>
      </c>
      <c r="AC141" s="26">
        <v>4.7495419451872682E-2</v>
      </c>
      <c r="AD141" s="27">
        <v>1430501</v>
      </c>
      <c r="AE141" s="28">
        <v>2893097</v>
      </c>
      <c r="AF141" s="29">
        <v>1571668</v>
      </c>
      <c r="AG141" s="27">
        <v>11134403</v>
      </c>
      <c r="AH141" s="28">
        <v>23817585</v>
      </c>
      <c r="AI141" s="29">
        <v>11414027</v>
      </c>
      <c r="AJ141" s="27">
        <v>533478</v>
      </c>
      <c r="AK141" s="28">
        <v>-1670410</v>
      </c>
      <c r="AL141" s="29">
        <v>1266019</v>
      </c>
      <c r="AM141" s="30">
        <v>5090635</v>
      </c>
      <c r="AN141" s="30">
        <v>2864745</v>
      </c>
      <c r="AO141" s="30">
        <v>4158940</v>
      </c>
      <c r="AP141" s="27">
        <v>0</v>
      </c>
      <c r="AQ141" s="28">
        <v>0</v>
      </c>
      <c r="AR141" s="29">
        <v>0</v>
      </c>
      <c r="AS141" s="27">
        <v>0</v>
      </c>
      <c r="AT141" s="28">
        <v>0</v>
      </c>
      <c r="AU141" s="29">
        <v>0</v>
      </c>
      <c r="AV141" s="27">
        <v>637917.61999999976</v>
      </c>
      <c r="AW141" s="28">
        <v>1412955.1500000001</v>
      </c>
      <c r="AX141" s="29">
        <v>2109846.75</v>
      </c>
      <c r="AY141" s="27">
        <v>3738606.2699999996</v>
      </c>
      <c r="AZ141" s="28">
        <v>2300645.9699999997</v>
      </c>
      <c r="BA141" s="29">
        <v>4728922.21</v>
      </c>
      <c r="BB141" s="24">
        <v>0</v>
      </c>
      <c r="BC141" s="25">
        <v>0</v>
      </c>
      <c r="BD141" s="26">
        <v>0</v>
      </c>
      <c r="BE141" s="24">
        <v>2.4459727570869127E-2</v>
      </c>
      <c r="BF141" s="25">
        <v>7.5872114002731708E-2</v>
      </c>
      <c r="BG141" s="26">
        <v>8.7488930913349194E-2</v>
      </c>
      <c r="BH141" s="24">
        <v>0.14334968652996793</v>
      </c>
      <c r="BI141" s="25">
        <v>0.12353886343509575</v>
      </c>
      <c r="BJ141" s="26">
        <v>0.19609402840528231</v>
      </c>
      <c r="BK141" s="24">
        <v>0.70455999999999996</v>
      </c>
      <c r="BL141" s="25">
        <v>0.63236999999999999</v>
      </c>
      <c r="BM141" s="26">
        <v>0.66849999999999998</v>
      </c>
    </row>
    <row r="142" spans="1:65" x14ac:dyDescent="0.2">
      <c r="A142" s="22">
        <v>6505</v>
      </c>
      <c r="B142" s="23" t="s">
        <v>159</v>
      </c>
      <c r="C142" s="24">
        <v>0.19635246132100309</v>
      </c>
      <c r="D142" s="25">
        <v>0.17065079070746347</v>
      </c>
      <c r="E142" s="26">
        <v>0.21140827610190338</v>
      </c>
      <c r="F142" s="24">
        <v>0.91923652795373878</v>
      </c>
      <c r="G142" s="25">
        <v>0.68766156544250012</v>
      </c>
      <c r="H142" s="26">
        <v>1.1136532537888688</v>
      </c>
      <c r="I142" s="24">
        <v>0.12612305199203544</v>
      </c>
      <c r="J142" s="25">
        <v>0.16086289778829349</v>
      </c>
      <c r="K142" s="26">
        <v>0.12905839767192676</v>
      </c>
      <c r="L142" s="24">
        <v>0.2597070652685024</v>
      </c>
      <c r="M142" s="25">
        <v>0.24868282627651325</v>
      </c>
      <c r="N142" s="26">
        <v>0.18967911069924806</v>
      </c>
      <c r="O142" s="27">
        <v>173</v>
      </c>
      <c r="P142" s="28">
        <v>149</v>
      </c>
      <c r="Q142" s="29">
        <v>131</v>
      </c>
      <c r="R142" s="24">
        <v>0</v>
      </c>
      <c r="S142" s="25">
        <v>0</v>
      </c>
      <c r="T142" s="26">
        <v>0</v>
      </c>
      <c r="U142" s="27">
        <v>141.58441558441558</v>
      </c>
      <c r="V142" s="28">
        <v>141.58441558441558</v>
      </c>
      <c r="W142" s="29">
        <v>129.85542168674698</v>
      </c>
      <c r="X142" s="24">
        <v>0.72119897617413919</v>
      </c>
      <c r="Y142" s="25">
        <v>0.70449157958886399</v>
      </c>
      <c r="Z142" s="26">
        <v>0.74118559849819132</v>
      </c>
      <c r="AA142" s="24">
        <v>7.0563822204260371E-2</v>
      </c>
      <c r="AB142" s="25">
        <v>0.1148885949135663</v>
      </c>
      <c r="AC142" s="26">
        <v>0.10764541942897467</v>
      </c>
      <c r="AD142" s="27">
        <v>1229113</v>
      </c>
      <c r="AE142" s="28">
        <v>2413023</v>
      </c>
      <c r="AF142" s="29">
        <v>1521002</v>
      </c>
      <c r="AG142" s="27">
        <v>5404044</v>
      </c>
      <c r="AH142" s="28">
        <v>11773475</v>
      </c>
      <c r="AI142" s="29">
        <v>6223962</v>
      </c>
      <c r="AJ142" s="27">
        <v>789496</v>
      </c>
      <c r="AK142" s="28">
        <v>2274621</v>
      </c>
      <c r="AL142" s="29">
        <v>928526</v>
      </c>
      <c r="AM142" s="30">
        <v>2244019</v>
      </c>
      <c r="AN142" s="30">
        <v>3612357</v>
      </c>
      <c r="AO142" s="30">
        <v>4448209</v>
      </c>
      <c r="AP142" s="27">
        <v>944445</v>
      </c>
      <c r="AQ142" s="28">
        <v>814815</v>
      </c>
      <c r="AR142" s="29">
        <v>703704</v>
      </c>
      <c r="AS142" s="27">
        <v>0</v>
      </c>
      <c r="AT142" s="28">
        <v>0</v>
      </c>
      <c r="AU142" s="29">
        <v>0</v>
      </c>
      <c r="AV142" s="27">
        <v>36948.390000000065</v>
      </c>
      <c r="AW142" s="28">
        <v>281064.63000000006</v>
      </c>
      <c r="AX142" s="29">
        <v>198415.55</v>
      </c>
      <c r="AY142" s="27">
        <v>1341674.6099999999</v>
      </c>
      <c r="AZ142" s="28">
        <v>7363615.3399999999</v>
      </c>
      <c r="BA142" s="29">
        <v>10879853.870000001</v>
      </c>
      <c r="BB142" s="24">
        <v>0</v>
      </c>
      <c r="BC142" s="25">
        <v>0</v>
      </c>
      <c r="BD142" s="26">
        <v>0</v>
      </c>
      <c r="BE142" s="24">
        <v>2.9856510388700272E-3</v>
      </c>
      <c r="BF142" s="25">
        <v>2.6727978214764799E-2</v>
      </c>
      <c r="BG142" s="26">
        <v>1.2648326500648717E-2</v>
      </c>
      <c r="BH142" s="24">
        <v>0.10841533807486689</v>
      </c>
      <c r="BI142" s="25">
        <v>0.70024659591435545</v>
      </c>
      <c r="BJ142" s="26">
        <v>0.69355423013522133</v>
      </c>
      <c r="BK142" s="24">
        <v>0.70889999999999997</v>
      </c>
      <c r="BL142" s="25">
        <v>0.62990999999999997</v>
      </c>
      <c r="BM142" s="26">
        <v>0.6694</v>
      </c>
    </row>
    <row r="143" spans="1:65" x14ac:dyDescent="0.2">
      <c r="A143" s="22">
        <v>6506</v>
      </c>
      <c r="B143" s="23" t="s">
        <v>160</v>
      </c>
      <c r="C143" s="24">
        <v>0.14846941918730594</v>
      </c>
      <c r="D143" s="25">
        <v>0.15401623787515883</v>
      </c>
      <c r="E143" s="26">
        <v>0.14852255378543325</v>
      </c>
      <c r="F143" s="24">
        <v>0.62628093798045736</v>
      </c>
      <c r="G143" s="25">
        <v>0.47704416795499127</v>
      </c>
      <c r="H143" s="26">
        <v>0.79767488513761531</v>
      </c>
      <c r="I143" s="24">
        <v>6.4939364468550753E-2</v>
      </c>
      <c r="J143" s="25">
        <v>-8.5650360286361776E-2</v>
      </c>
      <c r="K143" s="26">
        <v>4.5501453212644635E-2</v>
      </c>
      <c r="L143" s="24">
        <v>6.283621353345302E-2</v>
      </c>
      <c r="M143" s="25">
        <v>4.9789287943819142E-2</v>
      </c>
      <c r="N143" s="26">
        <v>4.5677720588848676E-2</v>
      </c>
      <c r="O143" s="27">
        <v>27</v>
      </c>
      <c r="P143" s="28">
        <v>24</v>
      </c>
      <c r="Q143" s="29">
        <v>21</v>
      </c>
      <c r="R143" s="24">
        <v>0</v>
      </c>
      <c r="S143" s="25">
        <v>0</v>
      </c>
      <c r="T143" s="26">
        <v>0</v>
      </c>
      <c r="U143" s="27">
        <v>214.59420289855072</v>
      </c>
      <c r="V143" s="28">
        <v>211.52857142857144</v>
      </c>
      <c r="W143" s="29">
        <v>230.49206349206349</v>
      </c>
      <c r="X143" s="24">
        <v>0.68106293487950931</v>
      </c>
      <c r="Y143" s="25">
        <v>0.63437843649190029</v>
      </c>
      <c r="Z143" s="26">
        <v>0.7176304833350674</v>
      </c>
      <c r="AA143" s="24">
        <v>6.1585171664832378E-2</v>
      </c>
      <c r="AB143" s="25">
        <v>0.13431688087776675</v>
      </c>
      <c r="AC143" s="26">
        <v>5.9845531831949489E-2</v>
      </c>
      <c r="AD143" s="27">
        <v>2501517</v>
      </c>
      <c r="AE143" s="28">
        <v>5001592</v>
      </c>
      <c r="AF143" s="29">
        <v>2779408</v>
      </c>
      <c r="AG143" s="27">
        <v>15706362</v>
      </c>
      <c r="AH143" s="28">
        <v>35561338</v>
      </c>
      <c r="AI143" s="29">
        <v>17848467</v>
      </c>
      <c r="AJ143" s="27">
        <v>1094144</v>
      </c>
      <c r="AK143" s="28">
        <v>-2781448</v>
      </c>
      <c r="AL143" s="29">
        <v>851501</v>
      </c>
      <c r="AM143" s="30">
        <v>8189502</v>
      </c>
      <c r="AN143" s="30">
        <v>4282045</v>
      </c>
      <c r="AO143" s="30">
        <v>4995212</v>
      </c>
      <c r="AP143" s="27">
        <v>399684</v>
      </c>
      <c r="AQ143" s="28">
        <v>353160</v>
      </c>
      <c r="AR143" s="29">
        <v>306636</v>
      </c>
      <c r="AS143" s="27">
        <v>0</v>
      </c>
      <c r="AT143" s="28">
        <v>0</v>
      </c>
      <c r="AU143" s="29">
        <v>0</v>
      </c>
      <c r="AV143" s="27">
        <v>493464.09000000026</v>
      </c>
      <c r="AW143" s="28">
        <v>101509.28999999978</v>
      </c>
      <c r="AX143" s="29">
        <v>444455.47999999952</v>
      </c>
      <c r="AY143" s="27">
        <v>7938155.5900000008</v>
      </c>
      <c r="AZ143" s="28">
        <v>17912821.449999999</v>
      </c>
      <c r="BA143" s="29">
        <v>20215252.219999999</v>
      </c>
      <c r="BB143" s="24">
        <v>0</v>
      </c>
      <c r="BC143" s="25">
        <v>0</v>
      </c>
      <c r="BD143" s="26">
        <v>0</v>
      </c>
      <c r="BE143" s="24">
        <v>1.4239776503213021E-2</v>
      </c>
      <c r="BF143" s="25">
        <v>3.4786563526463033E-3</v>
      </c>
      <c r="BG143" s="26">
        <v>1.2712935249981924E-2</v>
      </c>
      <c r="BH143" s="24">
        <v>0.22906947788101673</v>
      </c>
      <c r="BI143" s="25">
        <v>0.61386056518434517</v>
      </c>
      <c r="BJ143" s="26">
        <v>0.578224825881129</v>
      </c>
      <c r="BK143" s="24">
        <v>0.72214</v>
      </c>
      <c r="BL143" s="25">
        <v>0.69721</v>
      </c>
      <c r="BM143" s="26">
        <v>0.7097</v>
      </c>
    </row>
    <row r="144" spans="1:65" x14ac:dyDescent="0.2">
      <c r="A144" s="22">
        <v>6507</v>
      </c>
      <c r="B144" s="23" t="s">
        <v>161</v>
      </c>
      <c r="C144" s="24">
        <v>0.13036427682002899</v>
      </c>
      <c r="D144" s="25">
        <v>0.13156763558186022</v>
      </c>
      <c r="E144" s="26">
        <v>0.12821812848859149</v>
      </c>
      <c r="F144" s="24">
        <v>0.47414909520303633</v>
      </c>
      <c r="G144" s="25">
        <v>0.34997838389997576</v>
      </c>
      <c r="H144" s="26">
        <v>0.52497903043462402</v>
      </c>
      <c r="I144" s="24">
        <v>0.12142342605700537</v>
      </c>
      <c r="J144" s="25">
        <v>5.1264716048178158E-2</v>
      </c>
      <c r="K144" s="26">
        <v>0.12959390983801852</v>
      </c>
      <c r="L144" s="24">
        <v>1.4476686921028552</v>
      </c>
      <c r="M144" s="25">
        <v>0.92580813272794771</v>
      </c>
      <c r="N144" s="26">
        <v>0.54889185094677861</v>
      </c>
      <c r="O144" s="27">
        <v>645</v>
      </c>
      <c r="P144" s="28">
        <v>555</v>
      </c>
      <c r="Q144" s="29">
        <v>276</v>
      </c>
      <c r="R144" s="24">
        <v>0</v>
      </c>
      <c r="S144" s="25">
        <v>0.20306450987831096</v>
      </c>
      <c r="T144" s="26">
        <v>0.18557662936325012</v>
      </c>
      <c r="U144" s="27">
        <v>95.591240875912405</v>
      </c>
      <c r="V144" s="28">
        <v>95.591240875912405</v>
      </c>
      <c r="W144" s="29">
        <v>94.058394160583944</v>
      </c>
      <c r="X144" s="24">
        <v>0.64070758510356152</v>
      </c>
      <c r="Y144" s="25">
        <v>0.57354330067519188</v>
      </c>
      <c r="Z144" s="26">
        <v>0.6767494730736765</v>
      </c>
      <c r="AA144" s="24">
        <v>0.10291253518355335</v>
      </c>
      <c r="AB144" s="25">
        <v>0.21043171917098918</v>
      </c>
      <c r="AC144" s="26">
        <v>0.10822397016455169</v>
      </c>
      <c r="AD144" s="27">
        <v>1394940</v>
      </c>
      <c r="AE144" s="28">
        <v>2856028</v>
      </c>
      <c r="AF144" s="29">
        <v>1497110</v>
      </c>
      <c r="AG144" s="27">
        <v>9350960</v>
      </c>
      <c r="AH144" s="28">
        <v>21221967</v>
      </c>
      <c r="AI144" s="29">
        <v>9848151</v>
      </c>
      <c r="AJ144" s="27">
        <v>1299270</v>
      </c>
      <c r="AK144" s="28">
        <v>1112838</v>
      </c>
      <c r="AL144" s="29">
        <v>1513174</v>
      </c>
      <c r="AM144" s="30">
        <v>1348558</v>
      </c>
      <c r="AN144" s="30">
        <v>1940743</v>
      </c>
      <c r="AO144" s="30">
        <v>2127409</v>
      </c>
      <c r="AP144" s="27">
        <v>4224138</v>
      </c>
      <c r="AQ144" s="28">
        <v>3631138</v>
      </c>
      <c r="AR144" s="29">
        <v>1778953</v>
      </c>
      <c r="AS144" s="27">
        <v>0</v>
      </c>
      <c r="AT144" s="28">
        <v>796445</v>
      </c>
      <c r="AU144" s="29">
        <v>601452</v>
      </c>
      <c r="AV144" s="27">
        <v>31595.310000000427</v>
      </c>
      <c r="AW144" s="28">
        <v>1021399.0699999997</v>
      </c>
      <c r="AX144" s="29">
        <v>349318.77000000025</v>
      </c>
      <c r="AY144" s="27">
        <v>6924409.6900000004</v>
      </c>
      <c r="AZ144" s="28">
        <v>8238120.0599999996</v>
      </c>
      <c r="BA144" s="29">
        <v>8930356.1199999992</v>
      </c>
      <c r="BB144" s="24">
        <v>0</v>
      </c>
      <c r="BC144" s="25">
        <v>3.7529273323250387E-2</v>
      </c>
      <c r="BD144" s="26">
        <v>3.8534187325052684E-2</v>
      </c>
      <c r="BE144" s="24">
        <v>1.9717790296134297E-3</v>
      </c>
      <c r="BF144" s="25">
        <v>6.5890312205794693E-2</v>
      </c>
      <c r="BG144" s="26">
        <v>2.2380364383752988E-2</v>
      </c>
      <c r="BH144" s="24">
        <v>0.43213394073974409</v>
      </c>
      <c r="BI144" s="25">
        <v>0.53143998137987369</v>
      </c>
      <c r="BJ144" s="26">
        <v>0.57215540992051006</v>
      </c>
      <c r="BK144" s="24">
        <v>0.80120000000000002</v>
      </c>
      <c r="BL144" s="25">
        <v>0.71928999999999998</v>
      </c>
      <c r="BM144" s="26">
        <v>0.76019999999999999</v>
      </c>
    </row>
    <row r="145" spans="1:65" x14ac:dyDescent="0.2">
      <c r="A145" s="22">
        <v>6508</v>
      </c>
      <c r="B145" s="23" t="s">
        <v>162</v>
      </c>
      <c r="C145" s="24">
        <v>0.22918890776573847</v>
      </c>
      <c r="D145" s="25">
        <v>0.21200553911367603</v>
      </c>
      <c r="E145" s="26">
        <v>0.22077212440967212</v>
      </c>
      <c r="F145" s="24">
        <v>1.2150874140500121</v>
      </c>
      <c r="G145" s="25">
        <v>1.017215155984482</v>
      </c>
      <c r="H145" s="26">
        <v>1.4615332278409243</v>
      </c>
      <c r="I145" s="24">
        <v>0.15079017504240141</v>
      </c>
      <c r="J145" s="25">
        <v>1.1833965579074334E-2</v>
      </c>
      <c r="K145" s="26">
        <v>0.14573319957073189</v>
      </c>
      <c r="L145" s="24">
        <v>0.15623765340682599</v>
      </c>
      <c r="M145" s="25">
        <v>0.11165673339649</v>
      </c>
      <c r="N145" s="26">
        <v>9.6987903807898054E-2</v>
      </c>
      <c r="O145" s="27">
        <v>69</v>
      </c>
      <c r="P145" s="28">
        <v>51</v>
      </c>
      <c r="Q145" s="29">
        <v>46</v>
      </c>
      <c r="R145" s="24">
        <v>3.8921084757975868E-4</v>
      </c>
      <c r="S145" s="25">
        <v>7.373348414982603E-3</v>
      </c>
      <c r="T145" s="26">
        <v>7.4241100190310036E-3</v>
      </c>
      <c r="U145" s="27">
        <v>295.46971736204574</v>
      </c>
      <c r="V145" s="28">
        <v>291.54581673306774</v>
      </c>
      <c r="W145" s="29">
        <v>300.91034482758619</v>
      </c>
      <c r="X145" s="24">
        <v>0.67082357572617468</v>
      </c>
      <c r="Y145" s="25">
        <v>0.6848697324127172</v>
      </c>
      <c r="Z145" s="26">
        <v>0.69128287833554602</v>
      </c>
      <c r="AA145" s="24">
        <v>4.3276839997057677E-2</v>
      </c>
      <c r="AB145" s="25">
        <v>4.6145651203856969E-2</v>
      </c>
      <c r="AC145" s="26">
        <v>1.6512959214211483E-2</v>
      </c>
      <c r="AD145" s="27">
        <v>25649375</v>
      </c>
      <c r="AE145" s="28">
        <v>45259785</v>
      </c>
      <c r="AF145" s="29">
        <v>27710632</v>
      </c>
      <c r="AG145" s="27">
        <v>95896974</v>
      </c>
      <c r="AH145" s="28">
        <v>212560550</v>
      </c>
      <c r="AI145" s="29">
        <v>106287733</v>
      </c>
      <c r="AJ145" s="27">
        <v>16875484</v>
      </c>
      <c r="AK145" s="28">
        <v>2526362</v>
      </c>
      <c r="AL145" s="29">
        <v>18291979</v>
      </c>
      <c r="AM145" s="30">
        <v>40156849</v>
      </c>
      <c r="AN145" s="30">
        <v>23431494</v>
      </c>
      <c r="AO145" s="30">
        <v>41245629</v>
      </c>
      <c r="AP145" s="27">
        <v>7519430</v>
      </c>
      <c r="AQ145" s="28">
        <v>5547183</v>
      </c>
      <c r="AR145" s="29">
        <v>5011355</v>
      </c>
      <c r="AS145" s="27">
        <v>18732</v>
      </c>
      <c r="AT145" s="28">
        <v>366313</v>
      </c>
      <c r="AU145" s="29">
        <v>383603</v>
      </c>
      <c r="AV145" s="27">
        <v>8635717.0799999982</v>
      </c>
      <c r="AW145" s="28">
        <v>12376505.090000005</v>
      </c>
      <c r="AX145" s="29">
        <v>9850837.540000001</v>
      </c>
      <c r="AY145" s="27">
        <v>73320442.230000004</v>
      </c>
      <c r="AZ145" s="28">
        <v>74545989.350000009</v>
      </c>
      <c r="BA145" s="29">
        <v>67855946.099999994</v>
      </c>
      <c r="BB145" s="24">
        <v>9.0579383833402983E-5</v>
      </c>
      <c r="BC145" s="25">
        <v>1.7233348332980885E-3</v>
      </c>
      <c r="BD145" s="26">
        <v>1.6876696969735764E-3</v>
      </c>
      <c r="BE145" s="24">
        <v>4.1758377752829055E-2</v>
      </c>
      <c r="BF145" s="25">
        <v>7.2364333433522152E-2</v>
      </c>
      <c r="BG145" s="26">
        <v>4.3338972860138568E-2</v>
      </c>
      <c r="BH145" s="24">
        <v>0.35454412126767137</v>
      </c>
      <c r="BI145" s="25">
        <v>0.4358638234483358</v>
      </c>
      <c r="BJ145" s="26">
        <v>0.29853370279284136</v>
      </c>
      <c r="BK145" s="24">
        <v>0.83108000000000004</v>
      </c>
      <c r="BL145" s="25">
        <v>0.70982000000000001</v>
      </c>
      <c r="BM145" s="26">
        <v>0.77049999999999996</v>
      </c>
    </row>
    <row r="146" spans="1:65" x14ac:dyDescent="0.2">
      <c r="A146" s="22">
        <v>6509</v>
      </c>
      <c r="B146" s="23" t="s">
        <v>163</v>
      </c>
      <c r="C146" s="24">
        <v>0.11988049455382913</v>
      </c>
      <c r="D146" s="25">
        <v>0.13399838808523737</v>
      </c>
      <c r="E146" s="26">
        <v>0.14044158235124826</v>
      </c>
      <c r="F146" s="24">
        <v>0.30566196399376033</v>
      </c>
      <c r="G146" s="25">
        <v>0.29607865554219526</v>
      </c>
      <c r="H146" s="26">
        <v>0.37151983895271479</v>
      </c>
      <c r="I146" s="24">
        <v>1.1464661406344386E-2</v>
      </c>
      <c r="J146" s="25">
        <v>-6.6719078134051063E-2</v>
      </c>
      <c r="K146" s="26">
        <v>7.013949881680101E-2</v>
      </c>
      <c r="L146" s="24">
        <v>2.8362734379902697E-2</v>
      </c>
      <c r="M146" s="25">
        <v>2.2766755954516518E-2</v>
      </c>
      <c r="N146" s="26">
        <v>0.12900457219543404</v>
      </c>
      <c r="O146" s="27">
        <v>18</v>
      </c>
      <c r="P146" s="28">
        <v>15</v>
      </c>
      <c r="Q146" s="29">
        <v>89</v>
      </c>
      <c r="R146" s="24">
        <v>0</v>
      </c>
      <c r="S146" s="25">
        <v>0</v>
      </c>
      <c r="T146" s="26">
        <v>0</v>
      </c>
      <c r="U146" s="27">
        <v>109.88372093023256</v>
      </c>
      <c r="V146" s="28">
        <v>112.5</v>
      </c>
      <c r="W146" s="29">
        <v>144.875</v>
      </c>
      <c r="X146" s="24">
        <v>0.65890229954614599</v>
      </c>
      <c r="Y146" s="25">
        <v>0.64670870442149342</v>
      </c>
      <c r="Z146" s="26">
        <v>0.7386659685562551</v>
      </c>
      <c r="AA146" s="24">
        <v>0.13731316476398206</v>
      </c>
      <c r="AB146" s="25">
        <v>0.1379309026727035</v>
      </c>
      <c r="AC146" s="26">
        <v>4.1273542631516953E-2</v>
      </c>
      <c r="AD146" s="27">
        <v>977779</v>
      </c>
      <c r="AE146" s="28">
        <v>2146914</v>
      </c>
      <c r="AF146" s="29">
        <v>1243880</v>
      </c>
      <c r="AG146" s="27">
        <v>8006319</v>
      </c>
      <c r="AH146" s="28">
        <v>17266225</v>
      </c>
      <c r="AI146" s="29">
        <v>8201186</v>
      </c>
      <c r="AJ146" s="27">
        <v>93509</v>
      </c>
      <c r="AK146" s="28">
        <v>-1068969</v>
      </c>
      <c r="AL146" s="29">
        <v>621220</v>
      </c>
      <c r="AM146" s="30">
        <v>2567827</v>
      </c>
      <c r="AN146" s="30">
        <v>1437502</v>
      </c>
      <c r="AO146" s="30">
        <v>2295683</v>
      </c>
      <c r="AP146" s="27">
        <v>85873</v>
      </c>
      <c r="AQ146" s="28">
        <v>69168</v>
      </c>
      <c r="AR146" s="29">
        <v>413350</v>
      </c>
      <c r="AS146" s="27">
        <v>0</v>
      </c>
      <c r="AT146" s="28">
        <v>0</v>
      </c>
      <c r="AU146" s="29">
        <v>0</v>
      </c>
      <c r="AV146" s="27">
        <v>95645.650000000023</v>
      </c>
      <c r="AW146" s="28">
        <v>159557.36000000016</v>
      </c>
      <c r="AX146" s="29">
        <v>950790.4700000002</v>
      </c>
      <c r="AY146" s="27">
        <v>3365428.42</v>
      </c>
      <c r="AZ146" s="28">
        <v>5519242</v>
      </c>
      <c r="BA146" s="29">
        <v>5541797.0700000003</v>
      </c>
      <c r="BB146" s="24">
        <v>0</v>
      </c>
      <c r="BC146" s="25">
        <v>0</v>
      </c>
      <c r="BD146" s="26">
        <v>0</v>
      </c>
      <c r="BE146" s="24">
        <v>5.7632606366219133E-3</v>
      </c>
      <c r="BF146" s="25">
        <v>1.1923772978546656E-2</v>
      </c>
      <c r="BG146" s="26">
        <v>5.5781980503098912E-2</v>
      </c>
      <c r="BH146" s="24">
        <v>0.2027885339098503</v>
      </c>
      <c r="BI146" s="25">
        <v>0.41245473490950046</v>
      </c>
      <c r="BJ146" s="26">
        <v>0.32513200948561322</v>
      </c>
      <c r="BK146" s="24">
        <v>0.81101999999999996</v>
      </c>
      <c r="BL146" s="25">
        <v>0.69111</v>
      </c>
      <c r="BM146" s="26">
        <v>0.75109999999999999</v>
      </c>
    </row>
    <row r="147" spans="1:65" x14ac:dyDescent="0.2">
      <c r="A147" s="22">
        <v>6510</v>
      </c>
      <c r="B147" s="23" t="s">
        <v>164</v>
      </c>
      <c r="C147" s="24">
        <v>0.11333020958450431</v>
      </c>
      <c r="D147" s="25">
        <v>0.140313580668921</v>
      </c>
      <c r="E147" s="26">
        <v>0.12774202141391416</v>
      </c>
      <c r="F147" s="24">
        <v>0.66664022873995354</v>
      </c>
      <c r="G147" s="25">
        <v>0.72417800890504735</v>
      </c>
      <c r="H147" s="26">
        <v>0.54261588784865344</v>
      </c>
      <c r="I147" s="24">
        <v>0.19912773059367539</v>
      </c>
      <c r="J147" s="25">
        <v>0.10962574599447304</v>
      </c>
      <c r="K147" s="26">
        <v>1.8120031113062658E-2</v>
      </c>
      <c r="L147" s="24">
        <v>0.64371101074001291</v>
      </c>
      <c r="M147" s="25">
        <v>0.82923389485143806</v>
      </c>
      <c r="N147" s="26">
        <v>0.85632057979946508</v>
      </c>
      <c r="O147" s="27">
        <v>238</v>
      </c>
      <c r="P147" s="28">
        <v>351</v>
      </c>
      <c r="Q147" s="29">
        <v>356</v>
      </c>
      <c r="R147" s="24">
        <v>8.8103489271151891E-4</v>
      </c>
      <c r="S147" s="25">
        <v>0</v>
      </c>
      <c r="T147" s="26">
        <v>0</v>
      </c>
      <c r="U147" s="27">
        <v>183.97499999999999</v>
      </c>
      <c r="V147" s="28">
        <v>182.45454545454547</v>
      </c>
      <c r="W147" s="29">
        <v>196.90497737556561</v>
      </c>
      <c r="X147" s="24">
        <v>0.72639629333050404</v>
      </c>
      <c r="Y147" s="25">
        <v>0.707524613550643</v>
      </c>
      <c r="Z147" s="26">
        <v>0.68375485325605079</v>
      </c>
      <c r="AA147" s="24">
        <v>2.9094244257771632E-2</v>
      </c>
      <c r="AB147" s="25">
        <v>4.7717121747904039E-2</v>
      </c>
      <c r="AC147" s="26">
        <v>0.11942160852523061</v>
      </c>
      <c r="AD147" s="27">
        <v>2698037</v>
      </c>
      <c r="AE147" s="28">
        <v>6294338</v>
      </c>
      <c r="AF147" s="29">
        <v>3354879</v>
      </c>
      <c r="AG147" s="27">
        <v>20660272</v>
      </c>
      <c r="AH147" s="28">
        <v>44561531</v>
      </c>
      <c r="AI147" s="29">
        <v>25127203</v>
      </c>
      <c r="AJ147" s="27">
        <v>4740607</v>
      </c>
      <c r="AK147" s="28">
        <v>4917710</v>
      </c>
      <c r="AL147" s="29">
        <v>475885</v>
      </c>
      <c r="AM147" s="30">
        <v>5105663</v>
      </c>
      <c r="AN147" s="30">
        <v>4640588</v>
      </c>
      <c r="AO147" s="30">
        <v>5295254</v>
      </c>
      <c r="AP147" s="27">
        <v>5246658</v>
      </c>
      <c r="AQ147" s="28">
        <v>7741925</v>
      </c>
      <c r="AR147" s="29">
        <v>7741925</v>
      </c>
      <c r="AS147" s="27">
        <v>7181</v>
      </c>
      <c r="AT147" s="28">
        <v>0</v>
      </c>
      <c r="AU147" s="29">
        <v>0</v>
      </c>
      <c r="AV147" s="27">
        <v>268802.4800000001</v>
      </c>
      <c r="AW147" s="28">
        <v>3107584.2399999988</v>
      </c>
      <c r="AX147" s="29">
        <v>391515.59999999899</v>
      </c>
      <c r="AY147" s="27">
        <v>5475976.0800000001</v>
      </c>
      <c r="AZ147" s="28">
        <v>31799105.289999999</v>
      </c>
      <c r="BA147" s="29">
        <v>28118306.189999998</v>
      </c>
      <c r="BB147" s="24">
        <v>1.7219425574254414E-4</v>
      </c>
      <c r="BC147" s="25">
        <v>0</v>
      </c>
      <c r="BD147" s="26">
        <v>0</v>
      </c>
      <c r="BE147" s="24">
        <v>6.445654224390771E-3</v>
      </c>
      <c r="BF147" s="25">
        <v>8.0721090593285333E-2</v>
      </c>
      <c r="BG147" s="26">
        <v>7.9772660034083676E-3</v>
      </c>
      <c r="BH147" s="24">
        <v>0.13130923625672947</v>
      </c>
      <c r="BI147" s="25">
        <v>0.82599802954963808</v>
      </c>
      <c r="BJ147" s="26">
        <v>0.5729202311297803</v>
      </c>
      <c r="BK147" s="24">
        <v>0.74902999999999997</v>
      </c>
      <c r="BL147" s="25">
        <v>0.66315999999999997</v>
      </c>
      <c r="BM147" s="26">
        <v>0.70609999999999995</v>
      </c>
    </row>
    <row r="148" spans="1:65" x14ac:dyDescent="0.2">
      <c r="A148" s="22">
        <v>6511</v>
      </c>
      <c r="B148" s="23" t="s">
        <v>165</v>
      </c>
      <c r="C148" s="24">
        <v>0.17641190166723619</v>
      </c>
      <c r="D148" s="25">
        <v>0.17012964064951694</v>
      </c>
      <c r="E148" s="26">
        <v>0.21111301348710176</v>
      </c>
      <c r="F148" s="24">
        <v>0.35334788942016426</v>
      </c>
      <c r="G148" s="25">
        <v>0.37935706906437755</v>
      </c>
      <c r="H148" s="26">
        <v>0.82309535914663556</v>
      </c>
      <c r="I148" s="24">
        <v>-8.8367741406136124E-2</v>
      </c>
      <c r="J148" s="25">
        <v>-0.10498955167945416</v>
      </c>
      <c r="K148" s="26">
        <v>7.7551960744811368E-2</v>
      </c>
      <c r="L148" s="24">
        <v>0.25434490284643979</v>
      </c>
      <c r="M148" s="25">
        <v>0.27550860317895076</v>
      </c>
      <c r="N148" s="26">
        <v>0.1876554607522517</v>
      </c>
      <c r="O148" s="27">
        <v>136</v>
      </c>
      <c r="P148" s="28">
        <v>160</v>
      </c>
      <c r="Q148" s="29">
        <v>114</v>
      </c>
      <c r="R148" s="24">
        <v>0</v>
      </c>
      <c r="S148" s="25">
        <v>0</v>
      </c>
      <c r="T148" s="26">
        <v>0</v>
      </c>
      <c r="U148" s="27">
        <v>261.62105263157895</v>
      </c>
      <c r="V148" s="28">
        <v>261.62105263157895</v>
      </c>
      <c r="W148" s="29">
        <v>255.625</v>
      </c>
      <c r="X148" s="24">
        <v>0.53552607294127053</v>
      </c>
      <c r="Y148" s="25">
        <v>0.5467383827029777</v>
      </c>
      <c r="Z148" s="26">
        <v>0.70983856806590084</v>
      </c>
      <c r="AA148" s="24">
        <v>0.25990961047433109</v>
      </c>
      <c r="AB148" s="25">
        <v>0.26307561583318956</v>
      </c>
      <c r="AC148" s="26">
        <v>5.7311805823395678E-2</v>
      </c>
      <c r="AD148" s="27">
        <v>2790807</v>
      </c>
      <c r="AE148" s="28">
        <v>5629591</v>
      </c>
      <c r="AF148" s="29">
        <v>3657188</v>
      </c>
      <c r="AG148" s="27">
        <v>17180973</v>
      </c>
      <c r="AH148" s="28">
        <v>36997397</v>
      </c>
      <c r="AI148" s="29">
        <v>15579879</v>
      </c>
      <c r="AJ148" s="27">
        <v>-1397963</v>
      </c>
      <c r="AK148" s="28">
        <v>-3474105</v>
      </c>
      <c r="AL148" s="29">
        <v>1343461</v>
      </c>
      <c r="AM148" s="30">
        <v>3534735</v>
      </c>
      <c r="AN148" s="30">
        <v>2007177</v>
      </c>
      <c r="AO148" s="30">
        <v>2685711</v>
      </c>
      <c r="AP148" s="27">
        <v>1691168</v>
      </c>
      <c r="AQ148" s="28">
        <v>1989638</v>
      </c>
      <c r="AR148" s="29">
        <v>1396832</v>
      </c>
      <c r="AS148" s="27">
        <v>0</v>
      </c>
      <c r="AT148" s="28">
        <v>0</v>
      </c>
      <c r="AU148" s="29">
        <v>0</v>
      </c>
      <c r="AV148" s="27">
        <v>424683.390000001</v>
      </c>
      <c r="AW148" s="28">
        <v>885883.8699999993</v>
      </c>
      <c r="AX148" s="29">
        <v>486783.19000000064</v>
      </c>
      <c r="AY148" s="27">
        <v>10158247.18</v>
      </c>
      <c r="AZ148" s="28">
        <v>8540021.6699999999</v>
      </c>
      <c r="BA148" s="29">
        <v>11544664.310000001</v>
      </c>
      <c r="BB148" s="24">
        <v>0</v>
      </c>
      <c r="BC148" s="25">
        <v>0</v>
      </c>
      <c r="BD148" s="26">
        <v>0</v>
      </c>
      <c r="BE148" s="24">
        <v>1.3620143116196423E-2</v>
      </c>
      <c r="BF148" s="25">
        <v>3.3933453367273762E-2</v>
      </c>
      <c r="BG148" s="26">
        <v>1.7983878159968523E-2</v>
      </c>
      <c r="BH148" s="24">
        <v>0.32578806626107604</v>
      </c>
      <c r="BI148" s="25">
        <v>0.32712236547940832</v>
      </c>
      <c r="BJ148" s="26">
        <v>0.42650987259600487</v>
      </c>
      <c r="BK148" s="24">
        <v>0.80313999999999997</v>
      </c>
      <c r="BL148" s="25">
        <v>0.7006</v>
      </c>
      <c r="BM148" s="26">
        <v>0.75190000000000001</v>
      </c>
    </row>
    <row r="149" spans="1:65" x14ac:dyDescent="0.2">
      <c r="A149" s="22">
        <v>6601</v>
      </c>
      <c r="B149" s="23" t="s">
        <v>166</v>
      </c>
      <c r="C149" s="24">
        <v>0.23435459953229665</v>
      </c>
      <c r="D149" s="25">
        <v>0.22207346695570135</v>
      </c>
      <c r="E149" s="26">
        <v>0.25986099772831756</v>
      </c>
      <c r="F149" s="24">
        <v>1.1239702423628068</v>
      </c>
      <c r="G149" s="25">
        <v>0.73091890243931823</v>
      </c>
      <c r="H149" s="26">
        <v>1.1776830276866861</v>
      </c>
      <c r="I149" s="24">
        <v>0.24403855917933392</v>
      </c>
      <c r="J149" s="25">
        <v>3.2246682962329104E-2</v>
      </c>
      <c r="K149" s="26">
        <v>0.21110814283640739</v>
      </c>
      <c r="L149" s="24">
        <v>0.36110068500804637</v>
      </c>
      <c r="M149" s="25">
        <v>0.39818800814448241</v>
      </c>
      <c r="N149" s="26">
        <v>0.38842500615956599</v>
      </c>
      <c r="O149" s="27">
        <v>182</v>
      </c>
      <c r="P149" s="28">
        <v>193</v>
      </c>
      <c r="Q149" s="29">
        <v>214</v>
      </c>
      <c r="R149" s="24">
        <v>0</v>
      </c>
      <c r="S149" s="25">
        <v>0</v>
      </c>
      <c r="T149" s="26">
        <v>0</v>
      </c>
      <c r="U149" s="27">
        <v>354.7725856697819</v>
      </c>
      <c r="V149" s="28">
        <v>318.10614525139664</v>
      </c>
      <c r="W149" s="29">
        <v>317.64804469273741</v>
      </c>
      <c r="X149" s="24">
        <v>0.68049226019570253</v>
      </c>
      <c r="Y149" s="25">
        <v>0.64183291863983982</v>
      </c>
      <c r="Z149" s="26">
        <v>0.67481853179863449</v>
      </c>
      <c r="AA149" s="24">
        <v>9.2930480597152004E-2</v>
      </c>
      <c r="AB149" s="25">
        <v>0.15162307808588951</v>
      </c>
      <c r="AC149" s="26">
        <v>9.6061176941990151E-2</v>
      </c>
      <c r="AD149" s="27">
        <v>11514811</v>
      </c>
      <c r="AE149" s="28">
        <v>21231877</v>
      </c>
      <c r="AF149" s="29">
        <v>14872144</v>
      </c>
      <c r="AG149" s="27">
        <v>38369058</v>
      </c>
      <c r="AH149" s="28">
        <v>95107593</v>
      </c>
      <c r="AI149" s="29">
        <v>44383258</v>
      </c>
      <c r="AJ149" s="27">
        <v>11990624</v>
      </c>
      <c r="AK149" s="28">
        <v>3083023</v>
      </c>
      <c r="AL149" s="29">
        <v>12081962</v>
      </c>
      <c r="AM149" s="30">
        <v>24385595</v>
      </c>
      <c r="AN149" s="30">
        <v>19155612</v>
      </c>
      <c r="AO149" s="30">
        <v>32396061</v>
      </c>
      <c r="AP149" s="27">
        <v>10356615</v>
      </c>
      <c r="AQ149" s="28">
        <v>10986874</v>
      </c>
      <c r="AR149" s="29">
        <v>12173820</v>
      </c>
      <c r="AS149" s="27">
        <v>0</v>
      </c>
      <c r="AT149" s="28">
        <v>0</v>
      </c>
      <c r="AU149" s="29">
        <v>0</v>
      </c>
      <c r="AV149" s="27">
        <v>474526.6900000053</v>
      </c>
      <c r="AW149" s="28">
        <v>3902163.3600000008</v>
      </c>
      <c r="AX149" s="29">
        <v>12389993.41</v>
      </c>
      <c r="AY149" s="27">
        <v>30902491.030000001</v>
      </c>
      <c r="AZ149" s="28">
        <v>60745007.890000001</v>
      </c>
      <c r="BA149" s="29">
        <v>59547393.140000001</v>
      </c>
      <c r="BB149" s="24">
        <v>0</v>
      </c>
      <c r="BC149" s="25">
        <v>0</v>
      </c>
      <c r="BD149" s="26">
        <v>0</v>
      </c>
      <c r="BE149" s="24">
        <v>4.3738829482394886E-3</v>
      </c>
      <c r="BF149" s="25">
        <v>5.2256142297026541E-2</v>
      </c>
      <c r="BG149" s="26">
        <v>0.10455085746262646</v>
      </c>
      <c r="BH149" s="24">
        <v>0.28483935977181657</v>
      </c>
      <c r="BI149" s="25">
        <v>0.81347178046739677</v>
      </c>
      <c r="BJ149" s="26">
        <v>0.50248057496352783</v>
      </c>
      <c r="BK149" s="24">
        <v>0.87124000000000001</v>
      </c>
      <c r="BL149" s="25">
        <v>0.78127000000000002</v>
      </c>
      <c r="BM149" s="26">
        <v>0.82630000000000003</v>
      </c>
    </row>
    <row r="150" spans="1:65" x14ac:dyDescent="0.2">
      <c r="A150" s="22">
        <v>6602</v>
      </c>
      <c r="B150" s="23" t="s">
        <v>167</v>
      </c>
      <c r="C150" s="24">
        <v>0.20882037821794236</v>
      </c>
      <c r="D150" s="25">
        <v>0.14479544108678649</v>
      </c>
      <c r="E150" s="26">
        <v>0.19532612457457238</v>
      </c>
      <c r="F150" s="24">
        <v>0.39307973413419856</v>
      </c>
      <c r="G150" s="25">
        <v>0.32081752604539571</v>
      </c>
      <c r="H150" s="26">
        <v>0.37724867416584029</v>
      </c>
      <c r="I150" s="24">
        <v>-0.11174063944924295</v>
      </c>
      <c r="J150" s="25">
        <v>4.8370388574182311E-3</v>
      </c>
      <c r="K150" s="26">
        <v>-0.11316000712444955</v>
      </c>
      <c r="L150" s="24">
        <v>0</v>
      </c>
      <c r="M150" s="25">
        <v>0</v>
      </c>
      <c r="N150" s="26">
        <v>0</v>
      </c>
      <c r="O150" s="27">
        <v>0</v>
      </c>
      <c r="P150" s="28">
        <v>0</v>
      </c>
      <c r="Q150" s="29">
        <v>0</v>
      </c>
      <c r="R150" s="24">
        <v>0</v>
      </c>
      <c r="S150" s="25">
        <v>0</v>
      </c>
      <c r="T150" s="26">
        <v>0</v>
      </c>
      <c r="U150" s="27">
        <v>177.79104477611941</v>
      </c>
      <c r="V150" s="28">
        <v>172.63768115942028</v>
      </c>
      <c r="W150" s="29">
        <v>175.43283582089552</v>
      </c>
      <c r="X150" s="24">
        <v>0.49981344892354368</v>
      </c>
      <c r="Y150" s="25">
        <v>0.51406393057778843</v>
      </c>
      <c r="Z150" s="26">
        <v>0.52132931582446507</v>
      </c>
      <c r="AA150" s="24">
        <v>0.2659513815859515</v>
      </c>
      <c r="AB150" s="25">
        <v>0.24009654592457655</v>
      </c>
      <c r="AC150" s="26">
        <v>0.2598828241193451</v>
      </c>
      <c r="AD150" s="27">
        <v>1611849</v>
      </c>
      <c r="AE150" s="28">
        <v>2654911</v>
      </c>
      <c r="AF150" s="29">
        <v>1618659</v>
      </c>
      <c r="AG150" s="27">
        <v>8303356</v>
      </c>
      <c r="AH150" s="28">
        <v>17927634</v>
      </c>
      <c r="AI150" s="29">
        <v>9124062</v>
      </c>
      <c r="AJ150" s="27">
        <v>-862507</v>
      </c>
      <c r="AK150" s="28">
        <v>88690</v>
      </c>
      <c r="AL150" s="29">
        <v>-937752</v>
      </c>
      <c r="AM150" s="30">
        <v>3974861</v>
      </c>
      <c r="AN150" s="30">
        <v>5132126</v>
      </c>
      <c r="AO150" s="30">
        <v>4149561</v>
      </c>
      <c r="AP150" s="27">
        <v>0</v>
      </c>
      <c r="AQ150" s="28">
        <v>0</v>
      </c>
      <c r="AR150" s="29">
        <v>0</v>
      </c>
      <c r="AS150" s="27">
        <v>0</v>
      </c>
      <c r="AT150" s="28">
        <v>0</v>
      </c>
      <c r="AU150" s="29">
        <v>0</v>
      </c>
      <c r="AV150" s="27">
        <v>306284.44999999995</v>
      </c>
      <c r="AW150" s="28">
        <v>222272.72999999943</v>
      </c>
      <c r="AX150" s="29">
        <v>310669.76999999949</v>
      </c>
      <c r="AY150" s="27">
        <v>8799167.0300000012</v>
      </c>
      <c r="AZ150" s="28">
        <v>8444153.4100000001</v>
      </c>
      <c r="BA150" s="29">
        <v>24734568.859999999</v>
      </c>
      <c r="BB150" s="24">
        <v>0</v>
      </c>
      <c r="BC150" s="25">
        <v>0</v>
      </c>
      <c r="BD150" s="26">
        <v>0</v>
      </c>
      <c r="BE150" s="24">
        <v>1.7091677481807708E-2</v>
      </c>
      <c r="BF150" s="25">
        <v>1.6422619358991482E-2</v>
      </c>
      <c r="BG150" s="26">
        <v>1.5438345067020938E-2</v>
      </c>
      <c r="BH150" s="24">
        <v>0.49102239759581612</v>
      </c>
      <c r="BI150" s="25">
        <v>0.6238962254225261</v>
      </c>
      <c r="BJ150" s="26">
        <v>1.2291534163258668</v>
      </c>
      <c r="BK150" s="24">
        <v>0.74663999999999997</v>
      </c>
      <c r="BL150" s="25">
        <v>0.72560999999999998</v>
      </c>
      <c r="BM150" s="26">
        <v>0.73609999999999998</v>
      </c>
    </row>
    <row r="151" spans="1:65" x14ac:dyDescent="0.2">
      <c r="A151" s="22">
        <v>6603</v>
      </c>
      <c r="B151" s="23" t="s">
        <v>168</v>
      </c>
      <c r="C151" s="24">
        <v>0.19494555325680826</v>
      </c>
      <c r="D151" s="25">
        <v>0.15678379460518674</v>
      </c>
      <c r="E151" s="26">
        <v>0.2132449901774057</v>
      </c>
      <c r="F151" s="24">
        <v>0.7017860741448414</v>
      </c>
      <c r="G151" s="25">
        <v>0.45906877932767548</v>
      </c>
      <c r="H151" s="26">
        <v>0.87572755968973848</v>
      </c>
      <c r="I151" s="24">
        <v>0.14967550145847866</v>
      </c>
      <c r="J151" s="25">
        <v>4.8814509569446239E-2</v>
      </c>
      <c r="K151" s="26">
        <v>0.1068892228760831</v>
      </c>
      <c r="L151" s="24">
        <v>0</v>
      </c>
      <c r="M151" s="25">
        <v>0</v>
      </c>
      <c r="N151" s="26">
        <v>0</v>
      </c>
      <c r="O151" s="27">
        <v>0</v>
      </c>
      <c r="P151" s="28">
        <v>0</v>
      </c>
      <c r="Q151" s="29">
        <v>0</v>
      </c>
      <c r="R151" s="24">
        <v>0</v>
      </c>
      <c r="S151" s="25">
        <v>0</v>
      </c>
      <c r="T151" s="26">
        <v>0</v>
      </c>
      <c r="U151" s="27">
        <v>202.50980392156862</v>
      </c>
      <c r="V151" s="28">
        <v>202.50980392156862</v>
      </c>
      <c r="W151" s="29">
        <v>200.60784313725489</v>
      </c>
      <c r="X151" s="24">
        <v>0.59556803283527482</v>
      </c>
      <c r="Y151" s="25">
        <v>0.56819015401843231</v>
      </c>
      <c r="Z151" s="26">
        <v>0.59522110471893686</v>
      </c>
      <c r="AA151" s="24">
        <v>0.10738308541461723</v>
      </c>
      <c r="AB151" s="25">
        <v>0.17332588277353025</v>
      </c>
      <c r="AC151" s="26">
        <v>8.4454328197841697E-2</v>
      </c>
      <c r="AD151" s="27">
        <v>1974546</v>
      </c>
      <c r="AE151" s="28">
        <v>3544936</v>
      </c>
      <c r="AF151" s="29">
        <v>2420842</v>
      </c>
      <c r="AG151" s="27">
        <v>8554215</v>
      </c>
      <c r="AH151" s="28">
        <v>21560796</v>
      </c>
      <c r="AI151" s="29">
        <v>10103674</v>
      </c>
      <c r="AJ151" s="27">
        <v>1516019</v>
      </c>
      <c r="AK151" s="28">
        <v>1103713</v>
      </c>
      <c r="AL151" s="29">
        <v>1213449</v>
      </c>
      <c r="AM151" s="30">
        <v>4024260</v>
      </c>
      <c r="AN151" s="30">
        <v>3616824</v>
      </c>
      <c r="AO151" s="30">
        <v>4827542</v>
      </c>
      <c r="AP151" s="27">
        <v>0</v>
      </c>
      <c r="AQ151" s="28">
        <v>0</v>
      </c>
      <c r="AR151" s="29">
        <v>0</v>
      </c>
      <c r="AS151" s="27">
        <v>0</v>
      </c>
      <c r="AT151" s="28">
        <v>0</v>
      </c>
      <c r="AU151" s="29">
        <v>0</v>
      </c>
      <c r="AV151" s="27">
        <v>135163.31999999972</v>
      </c>
      <c r="AW151" s="28">
        <v>305543.63000000105</v>
      </c>
      <c r="AX151" s="29">
        <v>1163519.2400000002</v>
      </c>
      <c r="AY151" s="27">
        <v>2875540.23</v>
      </c>
      <c r="AZ151" s="28">
        <v>5104140.8699999992</v>
      </c>
      <c r="BA151" s="29">
        <v>8532769.040000001</v>
      </c>
      <c r="BB151" s="24">
        <v>0</v>
      </c>
      <c r="BC151" s="25">
        <v>0</v>
      </c>
      <c r="BD151" s="26">
        <v>0</v>
      </c>
      <c r="BE151" s="24">
        <v>6.6604423250956023E-3</v>
      </c>
      <c r="BF151" s="25">
        <v>1.9071902728334606E-2</v>
      </c>
      <c r="BG151" s="26">
        <v>4.6251641339657541E-2</v>
      </c>
      <c r="BH151" s="24">
        <v>0.14169798326503952</v>
      </c>
      <c r="BI151" s="25">
        <v>0.31859829047771943</v>
      </c>
      <c r="BJ151" s="26">
        <v>0.33919041448099646</v>
      </c>
      <c r="BK151" s="24">
        <v>0.79420999999999997</v>
      </c>
      <c r="BL151" s="25">
        <v>0.74507999999999996</v>
      </c>
      <c r="BM151" s="26">
        <v>0.76959999999999995</v>
      </c>
    </row>
    <row r="152" spans="1:65" x14ac:dyDescent="0.2">
      <c r="A152" s="22">
        <v>6604</v>
      </c>
      <c r="B152" s="23" t="s">
        <v>169</v>
      </c>
      <c r="C152" s="24">
        <v>0.22536763865109427</v>
      </c>
      <c r="D152" s="25">
        <v>0.14695489046280449</v>
      </c>
      <c r="E152" s="26">
        <v>0.24587656833830462</v>
      </c>
      <c r="F152" s="24">
        <v>0.62723442964989784</v>
      </c>
      <c r="G152" s="25">
        <v>0.50912909866107248</v>
      </c>
      <c r="H152" s="26">
        <v>1.0667633871163105</v>
      </c>
      <c r="I152" s="24">
        <v>-1.8385835566564302E-2</v>
      </c>
      <c r="J152" s="25">
        <v>9.4374968691414124E-2</v>
      </c>
      <c r="K152" s="26">
        <v>-8.2661611940934993E-2</v>
      </c>
      <c r="L152" s="24">
        <v>0.65469518606068844</v>
      </c>
      <c r="M152" s="25">
        <v>0.58211758314733708</v>
      </c>
      <c r="N152" s="26">
        <v>0.44176108922195967</v>
      </c>
      <c r="O152" s="27">
        <v>304</v>
      </c>
      <c r="P152" s="28">
        <v>266</v>
      </c>
      <c r="Q152" s="29">
        <v>250</v>
      </c>
      <c r="R152" s="24">
        <v>3.5750858728124147E-4</v>
      </c>
      <c r="S152" s="25">
        <v>3.6388891842489119E-4</v>
      </c>
      <c r="T152" s="26">
        <v>2.9593295980559064E-4</v>
      </c>
      <c r="U152" s="27">
        <v>258.95428571428573</v>
      </c>
      <c r="V152" s="28">
        <v>260.44252873563221</v>
      </c>
      <c r="W152" s="29">
        <v>272.08484848484846</v>
      </c>
      <c r="X152" s="24">
        <v>0.4882194028848883</v>
      </c>
      <c r="Y152" s="25">
        <v>0.48824168881629731</v>
      </c>
      <c r="Z152" s="26">
        <v>0.44940824768808346</v>
      </c>
      <c r="AA152" s="24">
        <v>0.22156734865169672</v>
      </c>
      <c r="AB152" s="25">
        <v>0.25015333414270358</v>
      </c>
      <c r="AC152" s="26">
        <v>0.26112010134272118</v>
      </c>
      <c r="AD152" s="27">
        <v>9440814</v>
      </c>
      <c r="AE152" s="28">
        <v>15662480</v>
      </c>
      <c r="AF152" s="29">
        <v>11854342</v>
      </c>
      <c r="AG152" s="27">
        <v>42443307</v>
      </c>
      <c r="AH152" s="28">
        <v>97639702</v>
      </c>
      <c r="AI152" s="29">
        <v>51809937</v>
      </c>
      <c r="AJ152" s="27">
        <v>-770196</v>
      </c>
      <c r="AK152" s="28">
        <v>10058502</v>
      </c>
      <c r="AL152" s="29">
        <v>-3985329</v>
      </c>
      <c r="AM152" s="30">
        <v>23191161</v>
      </c>
      <c r="AN152" s="30">
        <v>31974679</v>
      </c>
      <c r="AO152" s="30">
        <v>27091687</v>
      </c>
      <c r="AP152" s="27">
        <v>13787641</v>
      </c>
      <c r="AQ152" s="28">
        <v>12044234</v>
      </c>
      <c r="AR152" s="29">
        <v>11239097</v>
      </c>
      <c r="AS152" s="27">
        <v>7529</v>
      </c>
      <c r="AT152" s="28">
        <v>7529</v>
      </c>
      <c r="AU152" s="29">
        <v>7529</v>
      </c>
      <c r="AV152" s="27">
        <v>1328733.0799999994</v>
      </c>
      <c r="AW152" s="28">
        <v>9169807.3400000073</v>
      </c>
      <c r="AX152" s="29">
        <v>5594496.4799999986</v>
      </c>
      <c r="AY152" s="27">
        <v>98592337.00999999</v>
      </c>
      <c r="AZ152" s="28">
        <v>116599056.17</v>
      </c>
      <c r="BA152" s="29">
        <v>104271587.74000001</v>
      </c>
      <c r="BB152" s="24">
        <v>6.8472490597128234E-5</v>
      </c>
      <c r="BC152" s="25">
        <v>7.711002641118262E-5</v>
      </c>
      <c r="BD152" s="26">
        <v>6.4070725230401437E-5</v>
      </c>
      <c r="BE152" s="24">
        <v>1.2084163013201379E-2</v>
      </c>
      <c r="BF152" s="25">
        <v>0.11547968922087802</v>
      </c>
      <c r="BG152" s="26">
        <v>4.7608373857421699E-2</v>
      </c>
      <c r="BH152" s="24">
        <v>0.89664801020934015</v>
      </c>
      <c r="BI152" s="25">
        <v>1.4683866596873658</v>
      </c>
      <c r="BJ152" s="26">
        <v>0.88733646532437727</v>
      </c>
      <c r="BK152" s="24">
        <v>0.89075000000000004</v>
      </c>
      <c r="BL152" s="25">
        <v>0.73826000000000003</v>
      </c>
      <c r="BM152" s="26">
        <v>0.8145</v>
      </c>
    </row>
    <row r="153" spans="1:65" x14ac:dyDescent="0.2">
      <c r="A153" s="22">
        <v>6605</v>
      </c>
      <c r="B153" s="23" t="s">
        <v>170</v>
      </c>
      <c r="C153" s="24">
        <v>0.23415650814260952</v>
      </c>
      <c r="D153" s="25">
        <v>0.20038903397011049</v>
      </c>
      <c r="E153" s="26">
        <v>0.17469649421829167</v>
      </c>
      <c r="F153" s="24">
        <v>0.77730932076470738</v>
      </c>
      <c r="G153" s="25">
        <v>0.58879291375403564</v>
      </c>
      <c r="H153" s="26">
        <v>0.51499532467023834</v>
      </c>
      <c r="I153" s="24">
        <v>0.15925462971250223</v>
      </c>
      <c r="J153" s="25">
        <v>6.7640818689632287E-2</v>
      </c>
      <c r="K153" s="26">
        <v>0.1244537006642225</v>
      </c>
      <c r="L153" s="24">
        <v>0.33534077526842054</v>
      </c>
      <c r="M153" s="25">
        <v>0.12258791468427747</v>
      </c>
      <c r="N153" s="26">
        <v>8.571109464488802E-2</v>
      </c>
      <c r="O153" s="27">
        <v>143</v>
      </c>
      <c r="P153" s="28">
        <v>57</v>
      </c>
      <c r="Q153" s="29">
        <v>40</v>
      </c>
      <c r="R153" s="24">
        <v>0</v>
      </c>
      <c r="S153" s="25">
        <v>0</v>
      </c>
      <c r="T153" s="26">
        <v>0</v>
      </c>
      <c r="U153" s="27">
        <v>213.40298507462686</v>
      </c>
      <c r="V153" s="28">
        <v>210.26470588235293</v>
      </c>
      <c r="W153" s="29">
        <v>195.2876712328767</v>
      </c>
      <c r="X153" s="24">
        <v>0.76116596187678254</v>
      </c>
      <c r="Y153" s="25">
        <v>0.74657743952363675</v>
      </c>
      <c r="Z153" s="26">
        <v>0.78319260781700351</v>
      </c>
      <c r="AA153" s="24">
        <v>2.4040855319336751E-2</v>
      </c>
      <c r="AB153" s="25">
        <v>4.0378142321268184E-2</v>
      </c>
      <c r="AC153" s="26">
        <v>2.7815614639106423E-2</v>
      </c>
      <c r="AD153" s="27">
        <v>1608965</v>
      </c>
      <c r="AE153" s="28">
        <v>2544667</v>
      </c>
      <c r="AF153" s="29">
        <v>1262338</v>
      </c>
      <c r="AG153" s="27">
        <v>5482958</v>
      </c>
      <c r="AH153" s="28">
        <v>11689567</v>
      </c>
      <c r="AI153" s="29">
        <v>6278416</v>
      </c>
      <c r="AJ153" s="27">
        <v>1094290</v>
      </c>
      <c r="AK153" s="28">
        <v>858946</v>
      </c>
      <c r="AL153" s="29">
        <v>899289</v>
      </c>
      <c r="AM153" s="30">
        <v>2693587</v>
      </c>
      <c r="AN153" s="30">
        <v>1831766</v>
      </c>
      <c r="AO153" s="30">
        <v>2644612</v>
      </c>
      <c r="AP153" s="27">
        <v>1020000</v>
      </c>
      <c r="AQ153" s="28">
        <v>405480</v>
      </c>
      <c r="AR153" s="29">
        <v>285480</v>
      </c>
      <c r="AS153" s="27">
        <v>0</v>
      </c>
      <c r="AT153" s="28">
        <v>0</v>
      </c>
      <c r="AU153" s="29">
        <v>0</v>
      </c>
      <c r="AV153" s="27">
        <v>390995.60999999975</v>
      </c>
      <c r="AW153" s="28">
        <v>554045.32000000076</v>
      </c>
      <c r="AX153" s="29">
        <v>1246721.8999999999</v>
      </c>
      <c r="AY153" s="27">
        <v>3586739.95</v>
      </c>
      <c r="AZ153" s="28">
        <v>10834050.530000001</v>
      </c>
      <c r="BA153" s="29">
        <v>10098541.82</v>
      </c>
      <c r="BB153" s="24">
        <v>0</v>
      </c>
      <c r="BC153" s="25">
        <v>0</v>
      </c>
      <c r="BD153" s="26">
        <v>0</v>
      </c>
      <c r="BE153" s="24">
        <v>3.152990798566379E-2</v>
      </c>
      <c r="BF153" s="25">
        <v>5.3641554048788016E-2</v>
      </c>
      <c r="BG153" s="26">
        <v>8.826979027814584E-2</v>
      </c>
      <c r="BH153" s="24">
        <v>0.28923491133827417</v>
      </c>
      <c r="BI153" s="25">
        <v>1.0489309919128902</v>
      </c>
      <c r="BJ153" s="26">
        <v>0.71499198703935918</v>
      </c>
      <c r="BK153" s="24">
        <v>0.89737</v>
      </c>
      <c r="BL153" s="25">
        <v>0.77790999999999999</v>
      </c>
      <c r="BM153" s="26">
        <v>0.83760000000000001</v>
      </c>
    </row>
    <row r="154" spans="1:65" x14ac:dyDescent="0.2">
      <c r="A154" s="22">
        <v>6606</v>
      </c>
      <c r="B154" s="23" t="s">
        <v>171</v>
      </c>
      <c r="C154" s="24">
        <v>0.16790259573713306</v>
      </c>
      <c r="D154" s="25">
        <v>0.12292573710859127</v>
      </c>
      <c r="E154" s="26">
        <v>0.14821876410447615</v>
      </c>
      <c r="F154" s="24">
        <v>0.24643401438735443</v>
      </c>
      <c r="G154" s="25">
        <v>0.12139447859387995</v>
      </c>
      <c r="H154" s="26">
        <v>0.31790216814866984</v>
      </c>
      <c r="I154" s="24">
        <v>-0.15502976155678055</v>
      </c>
      <c r="J154" s="25">
        <v>-0.43541264784758388</v>
      </c>
      <c r="K154" s="26">
        <v>-1.5727938146352951E-2</v>
      </c>
      <c r="L154" s="24">
        <v>0</v>
      </c>
      <c r="M154" s="25">
        <v>0</v>
      </c>
      <c r="N154" s="26">
        <v>0</v>
      </c>
      <c r="O154" s="27">
        <v>0</v>
      </c>
      <c r="P154" s="28">
        <v>0</v>
      </c>
      <c r="Q154" s="29">
        <v>0</v>
      </c>
      <c r="R154" s="24">
        <v>0</v>
      </c>
      <c r="S154" s="25">
        <v>0</v>
      </c>
      <c r="T154" s="26">
        <v>0</v>
      </c>
      <c r="U154" s="27">
        <v>77.2</v>
      </c>
      <c r="V154" s="28">
        <v>77.2</v>
      </c>
      <c r="W154" s="29">
        <v>74.290909090909096</v>
      </c>
      <c r="X154" s="24">
        <v>0.44023294794736617</v>
      </c>
      <c r="Y154" s="25">
        <v>0.31946575713925207</v>
      </c>
      <c r="Z154" s="26">
        <v>0.58618302189607641</v>
      </c>
      <c r="AA154" s="24">
        <v>0.39144966753535121</v>
      </c>
      <c r="AB154" s="25">
        <v>0.5612090767336877</v>
      </c>
      <c r="AC154" s="26">
        <v>0.19931572790554197</v>
      </c>
      <c r="AD154" s="27">
        <v>674932</v>
      </c>
      <c r="AE154" s="28">
        <v>1157483</v>
      </c>
      <c r="AF154" s="29">
        <v>566481</v>
      </c>
      <c r="AG154" s="27">
        <v>4602745</v>
      </c>
      <c r="AH154" s="28">
        <v>13397727</v>
      </c>
      <c r="AI154" s="29">
        <v>3805796</v>
      </c>
      <c r="AJ154" s="27">
        <v>-623186</v>
      </c>
      <c r="AK154" s="28">
        <v>-4099896</v>
      </c>
      <c r="AL154" s="29">
        <v>-60111</v>
      </c>
      <c r="AM154" s="30">
        <v>4476491</v>
      </c>
      <c r="AN154" s="30">
        <v>999781</v>
      </c>
      <c r="AO154" s="30">
        <v>939670</v>
      </c>
      <c r="AP154" s="27">
        <v>0</v>
      </c>
      <c r="AQ154" s="28">
        <v>0</v>
      </c>
      <c r="AR154" s="29">
        <v>0</v>
      </c>
      <c r="AS154" s="27">
        <v>0</v>
      </c>
      <c r="AT154" s="28">
        <v>0</v>
      </c>
      <c r="AU154" s="29">
        <v>0</v>
      </c>
      <c r="AV154" s="27">
        <v>156071.8900000001</v>
      </c>
      <c r="AW154" s="28">
        <v>421407.21000000101</v>
      </c>
      <c r="AX154" s="29">
        <v>509785.52999999997</v>
      </c>
      <c r="AY154" s="27">
        <v>6971563.0299999993</v>
      </c>
      <c r="AZ154" s="28">
        <v>9335820.3099999987</v>
      </c>
      <c r="BA154" s="29">
        <v>8758727.1100000013</v>
      </c>
      <c r="BB154" s="24">
        <v>0</v>
      </c>
      <c r="BC154" s="25">
        <v>0</v>
      </c>
      <c r="BD154" s="26">
        <v>0</v>
      </c>
      <c r="BE154" s="24">
        <v>1.3414390844735408E-2</v>
      </c>
      <c r="BF154" s="25">
        <v>4.8875557814365249E-2</v>
      </c>
      <c r="BG154" s="26">
        <v>6.1916724378707912E-2</v>
      </c>
      <c r="BH154" s="24">
        <v>0.59920637395451393</v>
      </c>
      <c r="BI154" s="25">
        <v>1.0827850460981177</v>
      </c>
      <c r="BJ154" s="26">
        <v>1.0638036202757402</v>
      </c>
      <c r="BK154" s="24">
        <v>0.97636000000000001</v>
      </c>
      <c r="BL154" s="25">
        <v>0.87763000000000002</v>
      </c>
      <c r="BM154" s="26">
        <v>0.92700000000000005</v>
      </c>
    </row>
    <row r="155" spans="1:65" x14ac:dyDescent="0.2">
      <c r="A155" s="22">
        <v>6607</v>
      </c>
      <c r="B155" s="23" t="s">
        <v>172</v>
      </c>
      <c r="C155" s="24">
        <v>0.31576121572560312</v>
      </c>
      <c r="D155" s="25">
        <v>0.23193457538635243</v>
      </c>
      <c r="E155" s="26">
        <v>0.35780927469539842</v>
      </c>
      <c r="F155" s="24">
        <v>1.1776132517152735</v>
      </c>
      <c r="G155" s="25">
        <v>0.66149340430392334</v>
      </c>
      <c r="H155" s="26">
        <v>1.0539929469325882</v>
      </c>
      <c r="I155" s="24">
        <v>0.1775763002192301</v>
      </c>
      <c r="J155" s="25">
        <v>0.10105704399221641</v>
      </c>
      <c r="K155" s="26">
        <v>0.15217609641384072</v>
      </c>
      <c r="L155" s="24">
        <v>0.46709349927594529</v>
      </c>
      <c r="M155" s="25">
        <v>0.44423925101249012</v>
      </c>
      <c r="N155" s="26">
        <v>0.33313774493726178</v>
      </c>
      <c r="O155" s="27">
        <v>278</v>
      </c>
      <c r="P155" s="28">
        <v>256</v>
      </c>
      <c r="Q155" s="29">
        <v>236</v>
      </c>
      <c r="R155" s="24">
        <v>4.1080737253014117E-5</v>
      </c>
      <c r="S155" s="25">
        <v>0</v>
      </c>
      <c r="T155" s="26">
        <v>0</v>
      </c>
      <c r="U155" s="27">
        <v>252.89336016096578</v>
      </c>
      <c r="V155" s="28">
        <v>242.17341040462426</v>
      </c>
      <c r="W155" s="29">
        <v>238.09923664122138</v>
      </c>
      <c r="X155" s="24">
        <v>0.58006777279898813</v>
      </c>
      <c r="Y155" s="25">
        <v>0.53961165055617499</v>
      </c>
      <c r="Z155" s="26">
        <v>0.53856009586860687</v>
      </c>
      <c r="AA155" s="24">
        <v>0.12115959930120253</v>
      </c>
      <c r="AB155" s="25">
        <v>0.21166731070657957</v>
      </c>
      <c r="AC155" s="26">
        <v>0.17370040991163496</v>
      </c>
      <c r="AD155" s="27">
        <v>9198164</v>
      </c>
      <c r="AE155" s="28">
        <v>15651268</v>
      </c>
      <c r="AF155" s="29">
        <v>12070069</v>
      </c>
      <c r="AG155" s="27">
        <v>23455723</v>
      </c>
      <c r="AH155" s="28">
        <v>60389632</v>
      </c>
      <c r="AI155" s="29">
        <v>28906230</v>
      </c>
      <c r="AJ155" s="27">
        <v>5172820</v>
      </c>
      <c r="AK155" s="28">
        <v>6819470</v>
      </c>
      <c r="AL155" s="29">
        <v>5133394</v>
      </c>
      <c r="AM155" s="30">
        <v>29444250</v>
      </c>
      <c r="AN155" s="30">
        <v>30461236</v>
      </c>
      <c r="AO155" s="30">
        <v>34884862</v>
      </c>
      <c r="AP155" s="27">
        <v>8720893</v>
      </c>
      <c r="AQ155" s="28">
        <v>8042893</v>
      </c>
      <c r="AR155" s="29">
        <v>7364893</v>
      </c>
      <c r="AS155" s="27">
        <v>767</v>
      </c>
      <c r="AT155" s="28">
        <v>0</v>
      </c>
      <c r="AU155" s="29">
        <v>0</v>
      </c>
      <c r="AV155" s="27">
        <v>3978070.8899999997</v>
      </c>
      <c r="AW155" s="28">
        <v>3043364.7400000007</v>
      </c>
      <c r="AX155" s="29">
        <v>7496880.4800000004</v>
      </c>
      <c r="AY155" s="27">
        <v>39905891.68</v>
      </c>
      <c r="AZ155" s="28">
        <v>44691354.229999997</v>
      </c>
      <c r="BA155" s="29">
        <v>50224227.349999994</v>
      </c>
      <c r="BB155" s="24">
        <v>1.0500938725051047E-5</v>
      </c>
      <c r="BC155" s="25">
        <v>0</v>
      </c>
      <c r="BD155" s="26">
        <v>0</v>
      </c>
      <c r="BE155" s="24">
        <v>5.4463466310038171E-2</v>
      </c>
      <c r="BF155" s="25">
        <v>6.2263818706707372E-2</v>
      </c>
      <c r="BG155" s="26">
        <v>8.6845656058032877E-2</v>
      </c>
      <c r="BH155" s="24">
        <v>0.54634853103025338</v>
      </c>
      <c r="BI155" s="25">
        <v>0.91433482847473579</v>
      </c>
      <c r="BJ155" s="26">
        <v>0.58180945872816514</v>
      </c>
      <c r="BK155" s="24">
        <v>0.87278999999999995</v>
      </c>
      <c r="BL155" s="25">
        <v>0.74792000000000003</v>
      </c>
      <c r="BM155" s="26">
        <v>0.81040000000000001</v>
      </c>
    </row>
    <row r="156" spans="1:65" x14ac:dyDescent="0.2">
      <c r="A156" s="22">
        <v>6608</v>
      </c>
      <c r="B156" s="23" t="s">
        <v>173</v>
      </c>
      <c r="C156" s="24">
        <v>0.13300549560018504</v>
      </c>
      <c r="D156" s="25">
        <v>0.2037950645129247</v>
      </c>
      <c r="E156" s="26">
        <v>0.14636937603789202</v>
      </c>
      <c r="F156" s="24">
        <v>0.46469207324541828</v>
      </c>
      <c r="G156" s="25">
        <v>0.4612126323043686</v>
      </c>
      <c r="H156" s="26">
        <v>0.53898032471991764</v>
      </c>
      <c r="I156" s="24">
        <v>0.12881731297900523</v>
      </c>
      <c r="J156" s="25">
        <v>-0.12683665880062805</v>
      </c>
      <c r="K156" s="26">
        <v>0.13606520600703823</v>
      </c>
      <c r="L156" s="24">
        <v>0</v>
      </c>
      <c r="M156" s="25">
        <v>0</v>
      </c>
      <c r="N156" s="26">
        <v>0</v>
      </c>
      <c r="O156" s="27">
        <v>0</v>
      </c>
      <c r="P156" s="28">
        <v>0</v>
      </c>
      <c r="Q156" s="29">
        <v>0</v>
      </c>
      <c r="R156" s="24">
        <v>0</v>
      </c>
      <c r="S156" s="25">
        <v>0</v>
      </c>
      <c r="T156" s="26">
        <v>0</v>
      </c>
      <c r="U156" s="27">
        <v>144.34482758620689</v>
      </c>
      <c r="V156" s="28">
        <v>149.5</v>
      </c>
      <c r="W156" s="29">
        <v>143.0344827586207</v>
      </c>
      <c r="X156" s="24">
        <v>0.55269447558858398</v>
      </c>
      <c r="Y156" s="25">
        <v>0.49447373899967756</v>
      </c>
      <c r="Z156" s="26">
        <v>0.62425408721043218</v>
      </c>
      <c r="AA156" s="24">
        <v>0.24245551664438508</v>
      </c>
      <c r="AB156" s="25">
        <v>0.32881601448787673</v>
      </c>
      <c r="AC156" s="26">
        <v>0.14523212764155127</v>
      </c>
      <c r="AD156" s="27">
        <v>777737</v>
      </c>
      <c r="AE156" s="28">
        <v>2441418</v>
      </c>
      <c r="AF156" s="29">
        <v>862548</v>
      </c>
      <c r="AG156" s="27">
        <v>4969724</v>
      </c>
      <c r="AH156" s="28">
        <v>13343018</v>
      </c>
      <c r="AI156" s="29">
        <v>5017175</v>
      </c>
      <c r="AJ156" s="27">
        <v>753247</v>
      </c>
      <c r="AK156" s="28">
        <v>-1519474</v>
      </c>
      <c r="AL156" s="29">
        <v>801826</v>
      </c>
      <c r="AM156" s="30">
        <v>4760682</v>
      </c>
      <c r="AN156" s="30">
        <v>2484572</v>
      </c>
      <c r="AO156" s="30">
        <v>3290180</v>
      </c>
      <c r="AP156" s="27">
        <v>0</v>
      </c>
      <c r="AQ156" s="28">
        <v>0</v>
      </c>
      <c r="AR156" s="29">
        <v>0</v>
      </c>
      <c r="AS156" s="27">
        <v>0</v>
      </c>
      <c r="AT156" s="28">
        <v>0</v>
      </c>
      <c r="AU156" s="29">
        <v>0</v>
      </c>
      <c r="AV156" s="27">
        <v>973349.64000000036</v>
      </c>
      <c r="AW156" s="28">
        <v>333824.47000000079</v>
      </c>
      <c r="AX156" s="29">
        <v>412823.30000000022</v>
      </c>
      <c r="AY156" s="27">
        <v>10717909.449999999</v>
      </c>
      <c r="AZ156" s="28">
        <v>15699009.129999999</v>
      </c>
      <c r="BA156" s="29">
        <v>15792347.68</v>
      </c>
      <c r="BB156" s="24">
        <v>0</v>
      </c>
      <c r="BC156" s="25">
        <v>0</v>
      </c>
      <c r="BD156" s="26">
        <v>0</v>
      </c>
      <c r="BE156" s="24">
        <v>7.3055698808208835E-2</v>
      </c>
      <c r="BF156" s="25">
        <v>3.194238525146955E-2</v>
      </c>
      <c r="BG156" s="26">
        <v>3.3460423894030485E-2</v>
      </c>
      <c r="BH156" s="24">
        <v>0.80444306183013015</v>
      </c>
      <c r="BI156" s="25">
        <v>1.5021780689018891</v>
      </c>
      <c r="BJ156" s="26">
        <v>1.2800116845505294</v>
      </c>
      <c r="BK156" s="24">
        <v>0.78051000000000004</v>
      </c>
      <c r="BL156" s="25">
        <v>0.75251999999999997</v>
      </c>
      <c r="BM156" s="26">
        <v>0.76649999999999996</v>
      </c>
    </row>
    <row r="157" spans="1:65" x14ac:dyDescent="0.2">
      <c r="A157" s="22">
        <v>6609</v>
      </c>
      <c r="B157" s="23" t="s">
        <v>174</v>
      </c>
      <c r="C157" s="24">
        <v>0.33104771056891658</v>
      </c>
      <c r="D157" s="25">
        <v>0.31175178235892032</v>
      </c>
      <c r="E157" s="26">
        <v>0.35003064038556803</v>
      </c>
      <c r="F157" s="24">
        <v>1.1314422739787859</v>
      </c>
      <c r="G157" s="25">
        <v>0.91366726447584856</v>
      </c>
      <c r="H157" s="26">
        <v>1.3212003335271765</v>
      </c>
      <c r="I157" s="24">
        <v>0.16600800499900933</v>
      </c>
      <c r="J157" s="25">
        <v>-1.7891104858523504E-2</v>
      </c>
      <c r="K157" s="26">
        <v>0.19950023867818215</v>
      </c>
      <c r="L157" s="24">
        <v>0.45124201706122929</v>
      </c>
      <c r="M157" s="25">
        <v>0.51089823123747169</v>
      </c>
      <c r="N157" s="26">
        <v>0.38545933557686562</v>
      </c>
      <c r="O157" s="27">
        <v>331</v>
      </c>
      <c r="P157" s="28">
        <v>320</v>
      </c>
      <c r="Q157" s="29">
        <v>302</v>
      </c>
      <c r="R157" s="24">
        <v>2.7178444435908907E-3</v>
      </c>
      <c r="S157" s="25">
        <v>4.0019199025963882E-2</v>
      </c>
      <c r="T157" s="26">
        <v>1.1435425705513326E-2</v>
      </c>
      <c r="U157" s="27">
        <v>446.17546264564771</v>
      </c>
      <c r="V157" s="28">
        <v>445.56468172484597</v>
      </c>
      <c r="W157" s="29">
        <v>451.97393689986285</v>
      </c>
      <c r="X157" s="24">
        <v>0.56135164728856002</v>
      </c>
      <c r="Y157" s="25">
        <v>0.58996533582359412</v>
      </c>
      <c r="Z157" s="26">
        <v>0.57224817070622824</v>
      </c>
      <c r="AA157" s="24">
        <v>0.13881599452923379</v>
      </c>
      <c r="AB157" s="25">
        <v>0.15946847901177316</v>
      </c>
      <c r="AC157" s="26">
        <v>0.10803376802285329</v>
      </c>
      <c r="AD157" s="27">
        <v>112385687</v>
      </c>
      <c r="AE157" s="28">
        <v>200377593</v>
      </c>
      <c r="AF157" s="29">
        <v>141437331</v>
      </c>
      <c r="AG157" s="27">
        <v>290755616</v>
      </c>
      <c r="AH157" s="28">
        <v>674653848</v>
      </c>
      <c r="AI157" s="29">
        <v>323579383</v>
      </c>
      <c r="AJ157" s="27">
        <v>56357205</v>
      </c>
      <c r="AK157" s="28">
        <v>-11499458</v>
      </c>
      <c r="AL157" s="29">
        <v>80612318</v>
      </c>
      <c r="AM157" s="30">
        <v>145697572</v>
      </c>
      <c r="AN157" s="30">
        <v>74741033</v>
      </c>
      <c r="AO157" s="30">
        <v>150055710</v>
      </c>
      <c r="AP157" s="27">
        <v>107894190</v>
      </c>
      <c r="AQ157" s="28">
        <v>104161468</v>
      </c>
      <c r="AR157" s="29">
        <v>99557895</v>
      </c>
      <c r="AS157" s="27">
        <v>649850</v>
      </c>
      <c r="AT157" s="28">
        <v>8159078</v>
      </c>
      <c r="AU157" s="29">
        <v>2953585</v>
      </c>
      <c r="AV157" s="27">
        <v>14541179.710000001</v>
      </c>
      <c r="AW157" s="28">
        <v>50979222.129999995</v>
      </c>
      <c r="AX157" s="29">
        <v>14445236.590000002</v>
      </c>
      <c r="AY157" s="27">
        <v>306601224.28000003</v>
      </c>
      <c r="AZ157" s="28">
        <v>392619071.20000005</v>
      </c>
      <c r="BA157" s="29">
        <v>516028991.22000003</v>
      </c>
      <c r="BB157" s="24">
        <v>8.9352037640047369E-4</v>
      </c>
      <c r="BC157" s="25">
        <v>1.2093724840060499E-2</v>
      </c>
      <c r="BD157" s="26">
        <v>3.8245921313540461E-3</v>
      </c>
      <c r="BE157" s="24">
        <v>1.999359908869144E-2</v>
      </c>
      <c r="BF157" s="25">
        <v>9.5558237689740089E-2</v>
      </c>
      <c r="BG157" s="26">
        <v>1.8705111990229353E-2</v>
      </c>
      <c r="BH157" s="24">
        <v>0.42156565564901394</v>
      </c>
      <c r="BI157" s="25">
        <v>0.73594662608977313</v>
      </c>
      <c r="BJ157" s="26">
        <v>0.66820505229088656</v>
      </c>
      <c r="BK157" s="24">
        <v>0.83167999999999997</v>
      </c>
      <c r="BL157" s="25">
        <v>0.74550000000000005</v>
      </c>
      <c r="BM157" s="26">
        <v>0.78859999999999997</v>
      </c>
    </row>
    <row r="158" spans="1:65" x14ac:dyDescent="0.2">
      <c r="A158" s="22">
        <v>6610</v>
      </c>
      <c r="B158" s="23" t="s">
        <v>175</v>
      </c>
      <c r="C158" s="24">
        <v>0.15927252898646388</v>
      </c>
      <c r="D158" s="25">
        <v>0.16042708863411742</v>
      </c>
      <c r="E158" s="26">
        <v>0.16990080942181324</v>
      </c>
      <c r="F158" s="24">
        <v>0.98425913678937227</v>
      </c>
      <c r="G158" s="25">
        <v>0.73687320521774613</v>
      </c>
      <c r="H158" s="26">
        <v>1.1527396275904125</v>
      </c>
      <c r="I158" s="24">
        <v>0.16443377874598822</v>
      </c>
      <c r="J158" s="25">
        <v>1.4444716806723809E-2</v>
      </c>
      <c r="K158" s="26">
        <v>0.18381688432650775</v>
      </c>
      <c r="L158" s="24">
        <v>0.12326939440075484</v>
      </c>
      <c r="M158" s="25">
        <v>9.2774339348434084E-2</v>
      </c>
      <c r="N158" s="26">
        <v>8.8040133719350377E-2</v>
      </c>
      <c r="O158" s="27">
        <v>49</v>
      </c>
      <c r="P158" s="28">
        <v>44</v>
      </c>
      <c r="Q158" s="29">
        <v>41</v>
      </c>
      <c r="R158" s="24">
        <v>2.0811760564273137E-2</v>
      </c>
      <c r="S158" s="25">
        <v>4.396260891522235E-2</v>
      </c>
      <c r="T158" s="26">
        <v>3.3347869554788551E-2</v>
      </c>
      <c r="U158" s="27">
        <v>282.8456375838926</v>
      </c>
      <c r="V158" s="28">
        <v>282.8456375838926</v>
      </c>
      <c r="W158" s="29">
        <v>271.33333333333331</v>
      </c>
      <c r="X158" s="24">
        <v>0.73667411091775747</v>
      </c>
      <c r="Y158" s="25">
        <v>0.71057471159356267</v>
      </c>
      <c r="Z158" s="26">
        <v>0.76581826079290838</v>
      </c>
      <c r="AA158" s="24">
        <v>2.6015702212969977E-2</v>
      </c>
      <c r="AB158" s="25">
        <v>7.5237519820703105E-2</v>
      </c>
      <c r="AC158" s="26">
        <v>1.5511249783472944E-2</v>
      </c>
      <c r="AD158" s="27">
        <v>3810012</v>
      </c>
      <c r="AE158" s="28">
        <v>7106865</v>
      </c>
      <c r="AF158" s="29">
        <v>4419485</v>
      </c>
      <c r="AG158" s="27">
        <v>19152587</v>
      </c>
      <c r="AH158" s="28">
        <v>42907156</v>
      </c>
      <c r="AI158" s="29">
        <v>21042405</v>
      </c>
      <c r="AJ158" s="27">
        <v>3933476</v>
      </c>
      <c r="AK158" s="28">
        <v>639896</v>
      </c>
      <c r="AL158" s="29">
        <v>4781472</v>
      </c>
      <c r="AM158" s="30">
        <v>7247076</v>
      </c>
      <c r="AN158" s="30">
        <v>3848129</v>
      </c>
      <c r="AO158" s="30">
        <v>8444779</v>
      </c>
      <c r="AP158" s="27">
        <v>1040327</v>
      </c>
      <c r="AQ158" s="28">
        <v>916700</v>
      </c>
      <c r="AR158" s="29">
        <v>845300</v>
      </c>
      <c r="AS158" s="27">
        <v>175640</v>
      </c>
      <c r="AT158" s="28">
        <v>434393</v>
      </c>
      <c r="AU158" s="29">
        <v>320183</v>
      </c>
      <c r="AV158" s="27">
        <v>592878.93000000017</v>
      </c>
      <c r="AW158" s="28">
        <v>672205.54000000039</v>
      </c>
      <c r="AX158" s="29">
        <v>3016001.68</v>
      </c>
      <c r="AY158" s="27">
        <v>18872868.439999998</v>
      </c>
      <c r="AZ158" s="28">
        <v>24208269.100000001</v>
      </c>
      <c r="BA158" s="29">
        <v>17401647.719999999</v>
      </c>
      <c r="BB158" s="24">
        <v>4.1819762537845286E-3</v>
      </c>
      <c r="BC158" s="25">
        <v>1.0124022202730006E-2</v>
      </c>
      <c r="BD158" s="26">
        <v>6.7854778909572601E-3</v>
      </c>
      <c r="BE158" s="24">
        <v>1.4116406323327151E-2</v>
      </c>
      <c r="BF158" s="25">
        <v>1.7799944937666689E-2</v>
      </c>
      <c r="BG158" s="26">
        <v>6.3916612433295814E-2</v>
      </c>
      <c r="BH158" s="24">
        <v>0.44936169242131324</v>
      </c>
      <c r="BI158" s="25">
        <v>0.64103288559064497</v>
      </c>
      <c r="BJ158" s="26">
        <v>0.36878440101531562</v>
      </c>
      <c r="BK158" s="24">
        <v>0.81233</v>
      </c>
      <c r="BL158" s="25">
        <v>0.77241000000000004</v>
      </c>
      <c r="BM158" s="26">
        <v>0.79239999999999999</v>
      </c>
    </row>
    <row r="159" spans="1:65" x14ac:dyDescent="0.2">
      <c r="A159" s="22">
        <v>6611</v>
      </c>
      <c r="B159" s="23" t="s">
        <v>176</v>
      </c>
      <c r="C159" s="24">
        <v>0.22459627009451891</v>
      </c>
      <c r="D159" s="25">
        <v>0.15978849194507419</v>
      </c>
      <c r="E159" s="26">
        <v>0.22521787270494431</v>
      </c>
      <c r="F159" s="24">
        <v>0.88028301163118727</v>
      </c>
      <c r="G159" s="25">
        <v>0.42875040585393387</v>
      </c>
      <c r="H159" s="26">
        <v>1.230810977767131</v>
      </c>
      <c r="I159" s="24">
        <v>0.16950506447543312</v>
      </c>
      <c r="J159" s="25">
        <v>-1.4152903291896972E-2</v>
      </c>
      <c r="K159" s="26">
        <v>0.21769883049045696</v>
      </c>
      <c r="L159" s="24">
        <v>0.76527084561768022</v>
      </c>
      <c r="M159" s="25">
        <v>0.83055225529506249</v>
      </c>
      <c r="N159" s="26">
        <v>0.79849601056455066</v>
      </c>
      <c r="O159" s="27">
        <v>326</v>
      </c>
      <c r="P159" s="28">
        <v>363</v>
      </c>
      <c r="Q159" s="29">
        <v>338</v>
      </c>
      <c r="R159" s="24">
        <v>6.4130898132601241E-2</v>
      </c>
      <c r="S159" s="25">
        <v>0</v>
      </c>
      <c r="T159" s="26">
        <v>0</v>
      </c>
      <c r="U159" s="27">
        <v>443.7217391304348</v>
      </c>
      <c r="V159" s="28">
        <v>451.57522123893807</v>
      </c>
      <c r="W159" s="29">
        <v>449.36283185840711</v>
      </c>
      <c r="X159" s="24">
        <v>0.60094891931282224</v>
      </c>
      <c r="Y159" s="25">
        <v>0.54896281078256104</v>
      </c>
      <c r="Z159" s="26">
        <v>0.69902597826522217</v>
      </c>
      <c r="AA159" s="24">
        <v>0.14609171008729485</v>
      </c>
      <c r="AB159" s="25">
        <v>0.20340651035827681</v>
      </c>
      <c r="AC159" s="26">
        <v>4.3658771298278318E-2</v>
      </c>
      <c r="AD159" s="27">
        <v>6300079</v>
      </c>
      <c r="AE159" s="28">
        <v>8968968</v>
      </c>
      <c r="AF159" s="29">
        <v>6463498</v>
      </c>
      <c r="AG159" s="27">
        <v>23074670</v>
      </c>
      <c r="AH159" s="28">
        <v>57288245</v>
      </c>
      <c r="AI159" s="29">
        <v>22899797</v>
      </c>
      <c r="AJ159" s="27">
        <v>4754733</v>
      </c>
      <c r="AK159" s="28">
        <v>-794406</v>
      </c>
      <c r="AL159" s="29">
        <v>6247710</v>
      </c>
      <c r="AM159" s="30">
        <v>12436434</v>
      </c>
      <c r="AN159" s="30">
        <v>7813653</v>
      </c>
      <c r="AO159" s="30">
        <v>13339439</v>
      </c>
      <c r="AP159" s="27">
        <v>8310083</v>
      </c>
      <c r="AQ159" s="28">
        <v>9250000</v>
      </c>
      <c r="AR159" s="29">
        <v>8581344</v>
      </c>
      <c r="AS159" s="27">
        <v>696398</v>
      </c>
      <c r="AT159" s="28">
        <v>0</v>
      </c>
      <c r="AU159" s="29">
        <v>0</v>
      </c>
      <c r="AV159" s="27">
        <v>1568445.4899999995</v>
      </c>
      <c r="AW159" s="28">
        <v>4112707.1599999974</v>
      </c>
      <c r="AX159" s="29">
        <v>5454014.9999999991</v>
      </c>
      <c r="AY159" s="27">
        <v>20790737.68</v>
      </c>
      <c r="AZ159" s="28">
        <v>27432460.630000003</v>
      </c>
      <c r="BA159" s="29">
        <v>29650928.600000001</v>
      </c>
      <c r="BB159" s="24">
        <v>1.356063494486741E-2</v>
      </c>
      <c r="BC159" s="25">
        <v>0</v>
      </c>
      <c r="BD159" s="26">
        <v>0</v>
      </c>
      <c r="BE159" s="24">
        <v>3.0541610861624647E-2</v>
      </c>
      <c r="BF159" s="25">
        <v>9.4105357911842588E-2</v>
      </c>
      <c r="BG159" s="26">
        <v>0.10299118122968789</v>
      </c>
      <c r="BH159" s="24">
        <v>0.40484838255276373</v>
      </c>
      <c r="BI159" s="25">
        <v>0.62769884301431345</v>
      </c>
      <c r="BJ159" s="26">
        <v>0.55991488125191013</v>
      </c>
      <c r="BK159" s="24">
        <v>0.93059999999999998</v>
      </c>
      <c r="BL159" s="25">
        <v>0.77956000000000003</v>
      </c>
      <c r="BM159" s="26">
        <v>0.85509999999999997</v>
      </c>
    </row>
    <row r="160" spans="1:65" x14ac:dyDescent="0.2">
      <c r="A160" s="22">
        <v>6612</v>
      </c>
      <c r="B160" s="23" t="s">
        <v>177</v>
      </c>
      <c r="C160" s="24">
        <v>0.41637735777409879</v>
      </c>
      <c r="D160" s="25">
        <v>0.37038462136650585</v>
      </c>
      <c r="E160" s="26">
        <v>0.40638855785351985</v>
      </c>
      <c r="F160" s="24">
        <v>1.054730095580164</v>
      </c>
      <c r="G160" s="25">
        <v>1.0863169276629576</v>
      </c>
      <c r="H160" s="26">
        <v>2.0697297588440278</v>
      </c>
      <c r="I160" s="24">
        <v>7.2181323687006069E-2</v>
      </c>
      <c r="J160" s="25">
        <v>3.5457361682895212E-2</v>
      </c>
      <c r="K160" s="26">
        <v>0.28614540625685136</v>
      </c>
      <c r="L160" s="24">
        <v>0.22160589674264825</v>
      </c>
      <c r="M160" s="25">
        <v>0.21242576261536378</v>
      </c>
      <c r="N160" s="26">
        <v>0.16990414204972035</v>
      </c>
      <c r="O160" s="27">
        <v>138</v>
      </c>
      <c r="P160" s="28">
        <v>148</v>
      </c>
      <c r="Q160" s="29">
        <v>136</v>
      </c>
      <c r="R160" s="24">
        <v>1.8062813952946764E-2</v>
      </c>
      <c r="S160" s="25">
        <v>1.718625514889717E-2</v>
      </c>
      <c r="T160" s="26">
        <v>1.4904109728194436E-2</v>
      </c>
      <c r="U160" s="27">
        <v>232.53956834532374</v>
      </c>
      <c r="V160" s="28">
        <v>222.15120274914091</v>
      </c>
      <c r="W160" s="29">
        <v>227.88028169014083</v>
      </c>
      <c r="X160" s="24">
        <v>0.50067623565186459</v>
      </c>
      <c r="Y160" s="25">
        <v>0.55365657434883175</v>
      </c>
      <c r="Z160" s="26">
        <v>0.61098035400222006</v>
      </c>
      <c r="AA160" s="24">
        <v>0.2814382295198094</v>
      </c>
      <c r="AB160" s="25">
        <v>0.21561056958322408</v>
      </c>
      <c r="AC160" s="26">
        <v>0.13599196053728355</v>
      </c>
      <c r="AD160" s="27">
        <v>10701994</v>
      </c>
      <c r="AE160" s="28">
        <v>19956536</v>
      </c>
      <c r="AF160" s="29">
        <v>13718411</v>
      </c>
      <c r="AG160" s="27">
        <v>23631555</v>
      </c>
      <c r="AH160" s="28">
        <v>52037435</v>
      </c>
      <c r="AI160" s="29">
        <v>24132956</v>
      </c>
      <c r="AJ160" s="27">
        <v>1855250</v>
      </c>
      <c r="AK160" s="28">
        <v>1910463</v>
      </c>
      <c r="AL160" s="29">
        <v>9659377</v>
      </c>
      <c r="AM160" s="30">
        <v>11823473</v>
      </c>
      <c r="AN160" s="30">
        <v>12185107</v>
      </c>
      <c r="AO160" s="30">
        <v>21526459</v>
      </c>
      <c r="AP160" s="27">
        <v>4462737</v>
      </c>
      <c r="AQ160" s="28">
        <v>4787617</v>
      </c>
      <c r="AR160" s="29">
        <v>4415617</v>
      </c>
      <c r="AS160" s="27">
        <v>363752</v>
      </c>
      <c r="AT160" s="28">
        <v>387341</v>
      </c>
      <c r="AU160" s="29">
        <v>387341</v>
      </c>
      <c r="AV160" s="27">
        <v>2713134.1099999989</v>
      </c>
      <c r="AW160" s="28">
        <v>7555362.7700000014</v>
      </c>
      <c r="AX160" s="29">
        <v>10020718.559999999</v>
      </c>
      <c r="AY160" s="27">
        <v>30622313.689999998</v>
      </c>
      <c r="AZ160" s="28">
        <v>24049874.949999999</v>
      </c>
      <c r="BA160" s="29">
        <v>44722507.719999999</v>
      </c>
      <c r="BB160" s="24">
        <v>6.3971929957356323E-3</v>
      </c>
      <c r="BC160" s="25">
        <v>7.4435067754588594E-3</v>
      </c>
      <c r="BD160" s="26">
        <v>5.6637072335022727E-3</v>
      </c>
      <c r="BE160" s="24">
        <v>4.7715043559852378E-2</v>
      </c>
      <c r="BF160" s="25">
        <v>0.17350299013624879</v>
      </c>
      <c r="BG160" s="26">
        <v>0.14652313128009292</v>
      </c>
      <c r="BH160" s="24">
        <v>0.53854508195387896</v>
      </c>
      <c r="BI160" s="25">
        <v>0.5522865470863243</v>
      </c>
      <c r="BJ160" s="26">
        <v>0.65393333128722553</v>
      </c>
      <c r="BK160" s="24">
        <v>0.80928999999999995</v>
      </c>
      <c r="BL160" s="25">
        <v>0.78573000000000004</v>
      </c>
      <c r="BM160" s="26">
        <v>0.79749999999999999</v>
      </c>
    </row>
    <row r="161" spans="1:65" x14ac:dyDescent="0.2">
      <c r="A161" s="22">
        <v>6613</v>
      </c>
      <c r="B161" s="23" t="s">
        <v>178</v>
      </c>
      <c r="C161" s="24">
        <v>0.19882301996085616</v>
      </c>
      <c r="D161" s="25">
        <v>0.17838220422962225</v>
      </c>
      <c r="E161" s="26">
        <v>0.26447899125232077</v>
      </c>
      <c r="F161" s="24">
        <v>0.91258071212118252</v>
      </c>
      <c r="G161" s="25">
        <v>0.58041280280300145</v>
      </c>
      <c r="H161" s="26">
        <v>1.4554681669293756</v>
      </c>
      <c r="I161" s="24">
        <v>2.4721812096450239E-2</v>
      </c>
      <c r="J161" s="25">
        <v>-0.15824224475486368</v>
      </c>
      <c r="K161" s="26">
        <v>0.21766296172872801</v>
      </c>
      <c r="L161" s="24">
        <v>1.1642031104410104E-2</v>
      </c>
      <c r="M161" s="25">
        <v>1.5971536894925746E-2</v>
      </c>
      <c r="N161" s="26">
        <v>0.40416083132142544</v>
      </c>
      <c r="O161" s="27">
        <v>5</v>
      </c>
      <c r="P161" s="28">
        <v>7</v>
      </c>
      <c r="Q161" s="29">
        <v>171</v>
      </c>
      <c r="R161" s="24">
        <v>0</v>
      </c>
      <c r="S161" s="25">
        <v>0</v>
      </c>
      <c r="T161" s="26">
        <v>0</v>
      </c>
      <c r="U161" s="27">
        <v>426.58823529411762</v>
      </c>
      <c r="V161" s="28">
        <v>426.58823529411762</v>
      </c>
      <c r="W161" s="29">
        <v>427.29411764705884</v>
      </c>
      <c r="X161" s="24">
        <v>0.55472869044853435</v>
      </c>
      <c r="Y161" s="25">
        <v>0.552417832714024</v>
      </c>
      <c r="Z161" s="26">
        <v>0.69324415896854363</v>
      </c>
      <c r="AA161" s="24">
        <v>0.20293157569572329</v>
      </c>
      <c r="AB161" s="25">
        <v>0.2249490645615348</v>
      </c>
      <c r="AC161" s="26">
        <v>6.1541960839359394E-2</v>
      </c>
      <c r="AD161" s="27">
        <v>2804888</v>
      </c>
      <c r="AE161" s="28">
        <v>4854344</v>
      </c>
      <c r="AF161" s="29">
        <v>3395239</v>
      </c>
      <c r="AG161" s="27">
        <v>13447444</v>
      </c>
      <c r="AH161" s="28">
        <v>31230221</v>
      </c>
      <c r="AI161" s="29">
        <v>12481614</v>
      </c>
      <c r="AJ161" s="27">
        <v>348762</v>
      </c>
      <c r="AK161" s="28">
        <v>-4306272</v>
      </c>
      <c r="AL161" s="29">
        <v>2794240</v>
      </c>
      <c r="AM161" s="30">
        <v>12239624</v>
      </c>
      <c r="AN161" s="30">
        <v>7825863</v>
      </c>
      <c r="AO161" s="30">
        <v>10607486</v>
      </c>
      <c r="AP161" s="27">
        <v>68807</v>
      </c>
      <c r="AQ161" s="28">
        <v>98593</v>
      </c>
      <c r="AR161" s="29">
        <v>2487618</v>
      </c>
      <c r="AS161" s="27">
        <v>0</v>
      </c>
      <c r="AT161" s="28">
        <v>0</v>
      </c>
      <c r="AU161" s="29">
        <v>0</v>
      </c>
      <c r="AV161" s="27">
        <v>135229.40000000005</v>
      </c>
      <c r="AW161" s="28">
        <v>232131.36999999982</v>
      </c>
      <c r="AX161" s="29">
        <v>174701.60000000003</v>
      </c>
      <c r="AY161" s="27">
        <v>10086732.09</v>
      </c>
      <c r="AZ161" s="28">
        <v>8364975.7699999996</v>
      </c>
      <c r="BA161" s="29">
        <v>13633125.83</v>
      </c>
      <c r="BB161" s="24">
        <v>0</v>
      </c>
      <c r="BC161" s="25">
        <v>0</v>
      </c>
      <c r="BD161" s="26">
        <v>0</v>
      </c>
      <c r="BE161" s="24">
        <v>3.8004753664560641E-3</v>
      </c>
      <c r="BF161" s="25">
        <v>9.7091391139978635E-3</v>
      </c>
      <c r="BG161" s="26">
        <v>5.1390937251504891E-3</v>
      </c>
      <c r="BH161" s="24">
        <v>0.28347664661742844</v>
      </c>
      <c r="BI161" s="25">
        <v>0.34987392456328265</v>
      </c>
      <c r="BJ161" s="26">
        <v>0.40103760587848103</v>
      </c>
      <c r="BK161" s="24">
        <v>0.82557999999999998</v>
      </c>
      <c r="BL161" s="25">
        <v>0.71828999999999998</v>
      </c>
      <c r="BM161" s="26">
        <v>0.77190000000000003</v>
      </c>
    </row>
    <row r="162" spans="1:65" x14ac:dyDescent="0.2">
      <c r="A162" s="22">
        <v>6614</v>
      </c>
      <c r="B162" s="23" t="s">
        <v>179</v>
      </c>
      <c r="C162" s="24">
        <v>0.18693323510831367</v>
      </c>
      <c r="D162" s="25">
        <v>0.19111784575282087</v>
      </c>
      <c r="E162" s="26">
        <v>0.18618962040996515</v>
      </c>
      <c r="F162" s="24">
        <v>0.70339430225082211</v>
      </c>
      <c r="G162" s="25">
        <v>0.65812776463484746</v>
      </c>
      <c r="H162" s="26">
        <v>1.0737489397794742</v>
      </c>
      <c r="I162" s="24">
        <v>0.16149441131777201</v>
      </c>
      <c r="J162" s="25">
        <v>5.8524953602210111E-3</v>
      </c>
      <c r="K162" s="26">
        <v>0.24758385158648058</v>
      </c>
      <c r="L162" s="24">
        <v>1.5510459257570322</v>
      </c>
      <c r="M162" s="25">
        <v>1.9320406831978179</v>
      </c>
      <c r="N162" s="26">
        <v>0</v>
      </c>
      <c r="O162" s="27">
        <v>879</v>
      </c>
      <c r="P162" s="28">
        <v>853</v>
      </c>
      <c r="Q162" s="29">
        <v>828</v>
      </c>
      <c r="R162" s="24">
        <v>3.698732150115349E-2</v>
      </c>
      <c r="S162" s="25">
        <v>0.16524788566310766</v>
      </c>
      <c r="T162" s="26">
        <v>0</v>
      </c>
      <c r="U162" s="27">
        <v>248.41958041958043</v>
      </c>
      <c r="V162" s="28">
        <v>248.41958041958043</v>
      </c>
      <c r="W162" s="29">
        <v>250.41134751773049</v>
      </c>
      <c r="X162" s="24">
        <v>0.69713547531777997</v>
      </c>
      <c r="Y162" s="25">
        <v>0.69433901634060402</v>
      </c>
      <c r="Z162" s="26">
        <v>0.78467326356312972</v>
      </c>
      <c r="AA162" s="24">
        <v>5.7473901518931177E-2</v>
      </c>
      <c r="AB162" s="25">
        <v>7.984836968216355E-2</v>
      </c>
      <c r="AC162" s="26">
        <v>5.4246652700111571E-3</v>
      </c>
      <c r="AD162" s="27">
        <v>2977990</v>
      </c>
      <c r="AE162" s="28">
        <v>6001448</v>
      </c>
      <c r="AF162" s="29">
        <v>3164875</v>
      </c>
      <c r="AG162" s="27">
        <v>13058327</v>
      </c>
      <c r="AH162" s="28">
        <v>30727628</v>
      </c>
      <c r="AI162" s="29">
        <v>12785305</v>
      </c>
      <c r="AJ162" s="27">
        <v>2572730</v>
      </c>
      <c r="AK162" s="28">
        <v>183779</v>
      </c>
      <c r="AL162" s="29">
        <v>4208462</v>
      </c>
      <c r="AM162" s="30">
        <v>6188926</v>
      </c>
      <c r="AN162" s="30">
        <v>3485918</v>
      </c>
      <c r="AO162" s="30">
        <v>7197149</v>
      </c>
      <c r="AP162" s="27">
        <v>15618851</v>
      </c>
      <c r="AQ162" s="28">
        <v>15152315</v>
      </c>
      <c r="AR162" s="29">
        <v>14617898</v>
      </c>
      <c r="AS162" s="27">
        <v>372458</v>
      </c>
      <c r="AT162" s="28">
        <v>1295981</v>
      </c>
      <c r="AU162" s="29">
        <v>1233436</v>
      </c>
      <c r="AV162" s="27">
        <v>1270439.0699999994</v>
      </c>
      <c r="AW162" s="28">
        <v>2322935.3199999998</v>
      </c>
      <c r="AX162" s="29">
        <v>2443933.9699999997</v>
      </c>
      <c r="AY162" s="27">
        <v>10468799.379999999</v>
      </c>
      <c r="AZ162" s="28">
        <v>9716857.7999999989</v>
      </c>
      <c r="BA162" s="29">
        <v>16179397</v>
      </c>
      <c r="BB162" s="24">
        <v>1.1983033071688753E-2</v>
      </c>
      <c r="BC162" s="25">
        <v>4.2176408800575167E-2</v>
      </c>
      <c r="BD162" s="26">
        <v>0</v>
      </c>
      <c r="BE162" s="24">
        <v>4.0873637809834919E-2</v>
      </c>
      <c r="BF162" s="25">
        <v>8.2796132104675332E-2</v>
      </c>
      <c r="BG162" s="26">
        <v>0</v>
      </c>
      <c r="BH162" s="24">
        <v>0.33681104766554809</v>
      </c>
      <c r="BI162" s="25">
        <v>0.34633691051335208</v>
      </c>
      <c r="BJ162" s="26">
        <v>0</v>
      </c>
      <c r="BK162" s="24">
        <v>0.88653999999999999</v>
      </c>
      <c r="BL162" s="25">
        <v>0.77459999999999996</v>
      </c>
      <c r="BM162" s="26">
        <v>0.8306</v>
      </c>
    </row>
    <row r="163" spans="1:65" x14ac:dyDescent="0.2">
      <c r="A163" s="22">
        <v>6615</v>
      </c>
      <c r="B163" s="23" t="s">
        <v>180</v>
      </c>
      <c r="C163" s="24">
        <v>0.22025047300313422</v>
      </c>
      <c r="D163" s="25">
        <v>0.16337960362057707</v>
      </c>
      <c r="E163" s="26">
        <v>0.20408499682166714</v>
      </c>
      <c r="F163" s="24">
        <v>0.48548228627571943</v>
      </c>
      <c r="G163" s="25">
        <v>0.3107086217185388</v>
      </c>
      <c r="H163" s="26">
        <v>0.56797683191656012</v>
      </c>
      <c r="I163" s="24">
        <v>-6.1092827823403813E-2</v>
      </c>
      <c r="J163" s="25">
        <v>-0.18764387513491207</v>
      </c>
      <c r="K163" s="26">
        <v>0.11594576726433146</v>
      </c>
      <c r="L163" s="24">
        <v>0</v>
      </c>
      <c r="M163" s="25">
        <v>0</v>
      </c>
      <c r="N163" s="26">
        <v>0</v>
      </c>
      <c r="O163" s="27">
        <v>0</v>
      </c>
      <c r="P163" s="28">
        <v>0</v>
      </c>
      <c r="Q163" s="29">
        <v>0</v>
      </c>
      <c r="R163" s="24">
        <v>0</v>
      </c>
      <c r="S163" s="25">
        <v>0</v>
      </c>
      <c r="T163" s="26">
        <v>0</v>
      </c>
      <c r="U163" s="27">
        <v>209.6046511627907</v>
      </c>
      <c r="V163" s="28">
        <v>209.6046511627907</v>
      </c>
      <c r="W163" s="29">
        <v>206</v>
      </c>
      <c r="X163" s="24">
        <v>0.53143326279447822</v>
      </c>
      <c r="Y163" s="25">
        <v>0.4694692604041355</v>
      </c>
      <c r="Z163" s="26">
        <v>0.58288423170250936</v>
      </c>
      <c r="AA163" s="24">
        <v>0.2514416555309022</v>
      </c>
      <c r="AB163" s="25">
        <v>0.30502355610311971</v>
      </c>
      <c r="AC163" s="26">
        <v>0.20671537840944645</v>
      </c>
      <c r="AD163" s="27">
        <v>2039748</v>
      </c>
      <c r="AE163" s="28">
        <v>2980291</v>
      </c>
      <c r="AF163" s="29">
        <v>1988304</v>
      </c>
      <c r="AG163" s="27">
        <v>9899036</v>
      </c>
      <c r="AH163" s="28">
        <v>21498038</v>
      </c>
      <c r="AI163" s="29">
        <v>9342169</v>
      </c>
      <c r="AJ163" s="27">
        <v>-565783</v>
      </c>
      <c r="AK163" s="28">
        <v>-3422908</v>
      </c>
      <c r="AL163" s="29">
        <v>1129605</v>
      </c>
      <c r="AM163" s="30">
        <v>5504444</v>
      </c>
      <c r="AN163" s="30">
        <v>2648450</v>
      </c>
      <c r="AO163" s="30">
        <v>3740471</v>
      </c>
      <c r="AP163" s="27">
        <v>0</v>
      </c>
      <c r="AQ163" s="28">
        <v>0</v>
      </c>
      <c r="AR163" s="29">
        <v>0</v>
      </c>
      <c r="AS163" s="27">
        <v>0</v>
      </c>
      <c r="AT163" s="28">
        <v>0</v>
      </c>
      <c r="AU163" s="29">
        <v>0</v>
      </c>
      <c r="AV163" s="27">
        <v>323715.64</v>
      </c>
      <c r="AW163" s="28">
        <v>3704964.0699999994</v>
      </c>
      <c r="AX163" s="29">
        <v>7621886.2300000004</v>
      </c>
      <c r="AY163" s="27">
        <v>23497484.359999999</v>
      </c>
      <c r="AZ163" s="28">
        <v>10847884.34</v>
      </c>
      <c r="BA163" s="29">
        <v>14842316.109999999</v>
      </c>
      <c r="BB163" s="24">
        <v>0</v>
      </c>
      <c r="BC163" s="25">
        <v>0</v>
      </c>
      <c r="BD163" s="26">
        <v>0</v>
      </c>
      <c r="BE163" s="24">
        <v>1.5795323190268874E-2</v>
      </c>
      <c r="BF163" s="25">
        <v>0.25378383517604097</v>
      </c>
      <c r="BG163" s="26">
        <v>0.4063600958665865</v>
      </c>
      <c r="BH163" s="24">
        <v>1.1465320601268698</v>
      </c>
      <c r="BI163" s="25">
        <v>0.74306191351305517</v>
      </c>
      <c r="BJ163" s="26">
        <v>0.7913165869102432</v>
      </c>
      <c r="BK163" s="24">
        <v>0.89585999999999999</v>
      </c>
      <c r="BL163" s="25">
        <v>0.74326000000000003</v>
      </c>
      <c r="BM163" s="26">
        <v>0.8196</v>
      </c>
    </row>
    <row r="164" spans="1:65" x14ac:dyDescent="0.2">
      <c r="A164" s="22">
        <v>6616</v>
      </c>
      <c r="B164" s="23" t="s">
        <v>181</v>
      </c>
      <c r="C164" s="24">
        <v>0.29819932279644706</v>
      </c>
      <c r="D164" s="25">
        <v>0.28330768076535773</v>
      </c>
      <c r="E164" s="26">
        <v>0.32804935506001998</v>
      </c>
      <c r="F164" s="24">
        <v>0.7599265958403767</v>
      </c>
      <c r="G164" s="25">
        <v>0.63831253421765932</v>
      </c>
      <c r="H164" s="26">
        <v>1.1625823021000459</v>
      </c>
      <c r="I164" s="24">
        <v>8.8869569675706889E-2</v>
      </c>
      <c r="J164" s="25">
        <v>-5.9053585355019707E-2</v>
      </c>
      <c r="K164" s="26">
        <v>0.17197967090719862</v>
      </c>
      <c r="L164" s="24">
        <v>0.55061764971283444</v>
      </c>
      <c r="M164" s="25">
        <v>0.43879159609991936</v>
      </c>
      <c r="N164" s="26">
        <v>0.36146083554134384</v>
      </c>
      <c r="O164" s="27">
        <v>417</v>
      </c>
      <c r="P164" s="28">
        <v>343</v>
      </c>
      <c r="Q164" s="29">
        <v>364</v>
      </c>
      <c r="R164" s="24">
        <v>0</v>
      </c>
      <c r="S164" s="25">
        <v>0</v>
      </c>
      <c r="T164" s="26">
        <v>0</v>
      </c>
      <c r="U164" s="27">
        <v>171.52542372881356</v>
      </c>
      <c r="V164" s="28">
        <v>168.66666666666666</v>
      </c>
      <c r="W164" s="29">
        <v>165.86666666666667</v>
      </c>
      <c r="X164" s="24">
        <v>0.58494747502091549</v>
      </c>
      <c r="Y164" s="25">
        <v>0.58795395960605501</v>
      </c>
      <c r="Z164" s="26">
        <v>0.67958978297278805</v>
      </c>
      <c r="AA164" s="24">
        <v>0.19113973974674253</v>
      </c>
      <c r="AB164" s="25">
        <v>0.20022757754341711</v>
      </c>
      <c r="AC164" s="26">
        <v>9.069357858465521E-2</v>
      </c>
      <c r="AD164" s="27">
        <v>3733989</v>
      </c>
      <c r="AE164" s="28">
        <v>6846193</v>
      </c>
      <c r="AF164" s="29">
        <v>4628139</v>
      </c>
      <c r="AG164" s="27">
        <v>11835702</v>
      </c>
      <c r="AH164" s="28">
        <v>26192391</v>
      </c>
      <c r="AI164" s="29">
        <v>11599421</v>
      </c>
      <c r="AJ164" s="27">
        <v>1112806</v>
      </c>
      <c r="AK164" s="28">
        <v>-1427043</v>
      </c>
      <c r="AL164" s="29">
        <v>2426299</v>
      </c>
      <c r="AM164" s="30">
        <v>8378435</v>
      </c>
      <c r="AN164" s="30">
        <v>5002352</v>
      </c>
      <c r="AO164" s="30">
        <v>7589985</v>
      </c>
      <c r="AP164" s="27">
        <v>4222548</v>
      </c>
      <c r="AQ164" s="28">
        <v>3467372</v>
      </c>
      <c r="AR164" s="29">
        <v>3619093</v>
      </c>
      <c r="AS164" s="27">
        <v>0</v>
      </c>
      <c r="AT164" s="28">
        <v>0</v>
      </c>
      <c r="AU164" s="29">
        <v>0</v>
      </c>
      <c r="AV164" s="27">
        <v>481779.48000000021</v>
      </c>
      <c r="AW164" s="28">
        <v>867302.15999999875</v>
      </c>
      <c r="AX164" s="29">
        <v>4049089.18</v>
      </c>
      <c r="AY164" s="27">
        <v>7982294.0499999998</v>
      </c>
      <c r="AZ164" s="28">
        <v>12392464.940000001</v>
      </c>
      <c r="BA164" s="29">
        <v>11448266.809999999</v>
      </c>
      <c r="BB164" s="24">
        <v>0</v>
      </c>
      <c r="BC164" s="25">
        <v>0</v>
      </c>
      <c r="BD164" s="26">
        <v>0</v>
      </c>
      <c r="BE164" s="24">
        <v>1.611762041735175E-2</v>
      </c>
      <c r="BF164" s="25">
        <v>4.0855645957809487E-2</v>
      </c>
      <c r="BG164" s="26">
        <v>0.12890904503551129</v>
      </c>
      <c r="BH164" s="24">
        <v>0.26704247668992737</v>
      </c>
      <c r="BI164" s="25">
        <v>0.58376674645109572</v>
      </c>
      <c r="BJ164" s="26">
        <v>0.36447336084329934</v>
      </c>
      <c r="BK164" s="24">
        <v>0.85289999999999999</v>
      </c>
      <c r="BL164" s="25">
        <v>0.79954999999999998</v>
      </c>
      <c r="BM164" s="26">
        <v>0.82620000000000005</v>
      </c>
    </row>
    <row r="165" spans="1:65" x14ac:dyDescent="0.2">
      <c r="A165" s="22">
        <v>6617</v>
      </c>
      <c r="B165" s="23" t="s">
        <v>182</v>
      </c>
      <c r="C165" s="24">
        <v>0.34657024298960803</v>
      </c>
      <c r="D165" s="25">
        <v>0.31443719513475521</v>
      </c>
      <c r="E165" s="26">
        <v>0.41029240230801622</v>
      </c>
      <c r="F165" s="24">
        <v>1.3686738169763562</v>
      </c>
      <c r="G165" s="25">
        <v>0.91900046390142909</v>
      </c>
      <c r="H165" s="26">
        <v>1.8024574939420372</v>
      </c>
      <c r="I165" s="24">
        <v>0.26758212903684553</v>
      </c>
      <c r="J165" s="25">
        <v>3.4259318732328778E-2</v>
      </c>
      <c r="K165" s="26">
        <v>0.34041435230221606</v>
      </c>
      <c r="L165" s="24">
        <v>0</v>
      </c>
      <c r="M165" s="25">
        <v>0</v>
      </c>
      <c r="N165" s="26">
        <v>0</v>
      </c>
      <c r="O165" s="27">
        <v>0</v>
      </c>
      <c r="P165" s="28">
        <v>0</v>
      </c>
      <c r="Q165" s="29">
        <v>0</v>
      </c>
      <c r="R165" s="24">
        <v>0</v>
      </c>
      <c r="S165" s="25">
        <v>0</v>
      </c>
      <c r="T165" s="26">
        <v>0.57549010769029796</v>
      </c>
      <c r="U165" s="27">
        <v>132.58064516129033</v>
      </c>
      <c r="V165" s="28">
        <v>129.78947368421052</v>
      </c>
      <c r="W165" s="29">
        <v>129.13684210526316</v>
      </c>
      <c r="X165" s="24">
        <v>0.63776581657057985</v>
      </c>
      <c r="Y165" s="25">
        <v>0.63297260978192782</v>
      </c>
      <c r="Z165" s="26">
        <v>0.66708856030282604</v>
      </c>
      <c r="AA165" s="24">
        <v>9.0957629465522022E-2</v>
      </c>
      <c r="AB165" s="25">
        <v>0.12237602799190715</v>
      </c>
      <c r="AC165" s="26">
        <v>7.2271008214274193E-2</v>
      </c>
      <c r="AD165" s="27">
        <v>2427265</v>
      </c>
      <c r="AE165" s="28">
        <v>4072988</v>
      </c>
      <c r="AF165" s="29">
        <v>3593482</v>
      </c>
      <c r="AG165" s="27">
        <v>4965125</v>
      </c>
      <c r="AH165" s="28">
        <v>12533051</v>
      </c>
      <c r="AI165" s="29">
        <v>5888530</v>
      </c>
      <c r="AJ165" s="27">
        <v>1874058</v>
      </c>
      <c r="AK165" s="28">
        <v>443770</v>
      </c>
      <c r="AL165" s="29">
        <v>2981466</v>
      </c>
      <c r="AM165" s="30">
        <v>4926481</v>
      </c>
      <c r="AN165" s="30">
        <v>3493941</v>
      </c>
      <c r="AO165" s="30">
        <v>6475407</v>
      </c>
      <c r="AP165" s="27">
        <v>0</v>
      </c>
      <c r="AQ165" s="28">
        <v>0</v>
      </c>
      <c r="AR165" s="29">
        <v>0</v>
      </c>
      <c r="AS165" s="27">
        <v>0</v>
      </c>
      <c r="AT165" s="28">
        <v>0</v>
      </c>
      <c r="AU165" s="29">
        <v>3127806</v>
      </c>
      <c r="AV165" s="27">
        <v>69251.149999999907</v>
      </c>
      <c r="AW165" s="28">
        <v>3066735.5900000017</v>
      </c>
      <c r="AX165" s="29">
        <v>3282417.87</v>
      </c>
      <c r="AY165" s="27">
        <v>3729088.1000000006</v>
      </c>
      <c r="AZ165" s="28">
        <v>5716450.3200000022</v>
      </c>
      <c r="BA165" s="29">
        <v>5409315.3800000008</v>
      </c>
      <c r="BB165" s="24">
        <v>0</v>
      </c>
      <c r="BC165" s="25">
        <v>0</v>
      </c>
      <c r="BD165" s="26">
        <v>0.17592095664640564</v>
      </c>
      <c r="BE165" s="24">
        <v>4.7997434726998528E-3</v>
      </c>
      <c r="BF165" s="25">
        <v>0.28452528564227697</v>
      </c>
      <c r="BG165" s="26">
        <v>0.18461697810019456</v>
      </c>
      <c r="BH165" s="24">
        <v>0.25846020271284625</v>
      </c>
      <c r="BI165" s="25">
        <v>0.53036025194395231</v>
      </c>
      <c r="BJ165" s="26">
        <v>0.3042426341185212</v>
      </c>
      <c r="BK165" s="24">
        <v>0.92810000000000004</v>
      </c>
      <c r="BL165" s="25">
        <v>0.74024000000000001</v>
      </c>
      <c r="BM165" s="26">
        <v>0.83420000000000005</v>
      </c>
    </row>
    <row r="166" spans="1:65" x14ac:dyDescent="0.2">
      <c r="A166" s="22">
        <v>6618</v>
      </c>
      <c r="B166" s="23" t="s">
        <v>183</v>
      </c>
      <c r="C166" s="24">
        <v>0.29444811916294272</v>
      </c>
      <c r="D166" s="25">
        <v>0.21351254998111227</v>
      </c>
      <c r="E166" s="26">
        <v>0.24705277514963259</v>
      </c>
      <c r="F166" s="24">
        <v>1.3550911022714314</v>
      </c>
      <c r="G166" s="25">
        <v>1.1874627640979434</v>
      </c>
      <c r="H166" s="26">
        <v>0.84355859477127737</v>
      </c>
      <c r="I166" s="24">
        <v>3.6016112277588892E-2</v>
      </c>
      <c r="J166" s="25">
        <v>0.11248334977352704</v>
      </c>
      <c r="K166" s="26">
        <v>8.5760321725327257E-2</v>
      </c>
      <c r="L166" s="24">
        <v>0.89286808704284437</v>
      </c>
      <c r="M166" s="25">
        <v>0.74368983198205096</v>
      </c>
      <c r="N166" s="26">
        <v>0.79687715238756029</v>
      </c>
      <c r="O166" s="27">
        <v>474</v>
      </c>
      <c r="P166" s="28">
        <v>418</v>
      </c>
      <c r="Q166" s="29">
        <v>463</v>
      </c>
      <c r="R166" s="24">
        <v>0.16762871738599894</v>
      </c>
      <c r="S166" s="25">
        <v>8.395493478122161E-2</v>
      </c>
      <c r="T166" s="26">
        <v>3.6053204696440994E-2</v>
      </c>
      <c r="U166" s="27">
        <v>205.15</v>
      </c>
      <c r="V166" s="28">
        <v>205.15</v>
      </c>
      <c r="W166" s="29">
        <v>203.47499999999999</v>
      </c>
      <c r="X166" s="24">
        <v>0.72584419885150553</v>
      </c>
      <c r="Y166" s="25">
        <v>0.71450266824290354</v>
      </c>
      <c r="Z166" s="26">
        <v>0.67127135224839274</v>
      </c>
      <c r="AA166" s="24">
        <v>3.3983144088250969E-2</v>
      </c>
      <c r="AB166" s="25">
        <v>3.0852266911124807E-2</v>
      </c>
      <c r="AC166" s="26">
        <v>0.11229817856552646</v>
      </c>
      <c r="AD166" s="27">
        <v>2400281</v>
      </c>
      <c r="AE166" s="28">
        <v>3858722</v>
      </c>
      <c r="AF166" s="29">
        <v>2326306</v>
      </c>
      <c r="AG166" s="27">
        <v>7286583</v>
      </c>
      <c r="AH166" s="28">
        <v>15132243</v>
      </c>
      <c r="AI166" s="29">
        <v>8653070</v>
      </c>
      <c r="AJ166" s="27">
        <v>293596</v>
      </c>
      <c r="AK166" s="28">
        <v>2032864</v>
      </c>
      <c r="AL166" s="29">
        <v>807539</v>
      </c>
      <c r="AM166" s="30">
        <v>2761716</v>
      </c>
      <c r="AN166" s="30">
        <v>4399448</v>
      </c>
      <c r="AO166" s="30">
        <v>5522392</v>
      </c>
      <c r="AP166" s="27">
        <v>3892712</v>
      </c>
      <c r="AQ166" s="28">
        <v>3426716</v>
      </c>
      <c r="AR166" s="29">
        <v>3771712</v>
      </c>
      <c r="AS166" s="27">
        <v>730825</v>
      </c>
      <c r="AT166" s="28">
        <v>386841</v>
      </c>
      <c r="AU166" s="29">
        <v>170644</v>
      </c>
      <c r="AV166" s="27">
        <v>560695.47</v>
      </c>
      <c r="AW166" s="28">
        <v>575737.51999999932</v>
      </c>
      <c r="AX166" s="29">
        <v>1351214.39</v>
      </c>
      <c r="AY166" s="27">
        <v>2480344.63</v>
      </c>
      <c r="AZ166" s="28">
        <v>5084246.22</v>
      </c>
      <c r="BA166" s="29">
        <v>6865887.5199999996</v>
      </c>
      <c r="BB166" s="24">
        <v>3.3936173571924765E-2</v>
      </c>
      <c r="BC166" s="25">
        <v>2.5564022465142808E-2</v>
      </c>
      <c r="BD166" s="26">
        <v>7.8359114840112626E-3</v>
      </c>
      <c r="BE166" s="24">
        <v>2.603613558774253E-2</v>
      </c>
      <c r="BF166" s="25">
        <v>4.2681545989871505E-2</v>
      </c>
      <c r="BG166" s="26">
        <v>6.2047281802830874E-2</v>
      </c>
      <c r="BH166" s="24">
        <v>0.11517587094293642</v>
      </c>
      <c r="BI166" s="25">
        <v>0.37691392574651139</v>
      </c>
      <c r="BJ166" s="26">
        <v>0.31527910073543519</v>
      </c>
      <c r="BK166" s="24">
        <v>0.88319000000000003</v>
      </c>
      <c r="BL166" s="25">
        <v>0.79095000000000004</v>
      </c>
      <c r="BM166" s="26">
        <v>0.83709999999999996</v>
      </c>
    </row>
    <row r="167" spans="1:65" x14ac:dyDescent="0.2">
      <c r="A167" s="22">
        <v>6701</v>
      </c>
      <c r="B167" s="23" t="s">
        <v>184</v>
      </c>
      <c r="C167" s="24">
        <v>0.12138160009426974</v>
      </c>
      <c r="D167" s="25">
        <v>0.14825106855079026</v>
      </c>
      <c r="E167" s="26">
        <v>0.11074169409161697</v>
      </c>
      <c r="F167" s="24">
        <v>0.69209607901560899</v>
      </c>
      <c r="G167" s="25">
        <v>0.59535642628321406</v>
      </c>
      <c r="H167" s="26">
        <v>0.69774518417594111</v>
      </c>
      <c r="I167" s="24">
        <v>0.18347493411919041</v>
      </c>
      <c r="J167" s="25">
        <v>-1.6649610049529823E-2</v>
      </c>
      <c r="K167" s="26">
        <v>0.1676481179337829</v>
      </c>
      <c r="L167" s="24">
        <v>0</v>
      </c>
      <c r="M167" s="25">
        <v>0</v>
      </c>
      <c r="N167" s="26">
        <v>0</v>
      </c>
      <c r="O167" s="27">
        <v>0</v>
      </c>
      <c r="P167" s="28">
        <v>0</v>
      </c>
      <c r="Q167" s="29">
        <v>0</v>
      </c>
      <c r="R167" s="24">
        <v>0</v>
      </c>
      <c r="S167" s="25">
        <v>0</v>
      </c>
      <c r="T167" s="26">
        <v>0</v>
      </c>
      <c r="U167" s="27">
        <v>134.36206896551724</v>
      </c>
      <c r="V167" s="28">
        <v>134.36206896551724</v>
      </c>
      <c r="W167" s="29">
        <v>134.94736842105263</v>
      </c>
      <c r="X167" s="24">
        <v>0.74930041783874013</v>
      </c>
      <c r="Y167" s="25">
        <v>0.72758314012903391</v>
      </c>
      <c r="Z167" s="26">
        <v>0.77758995425460065</v>
      </c>
      <c r="AA167" s="24">
        <v>1.8911008181640442E-2</v>
      </c>
      <c r="AB167" s="25">
        <v>7.9149695286898233E-2</v>
      </c>
      <c r="AC167" s="26">
        <v>3.9781079039036889E-4</v>
      </c>
      <c r="AD167" s="27">
        <v>938402</v>
      </c>
      <c r="AE167" s="28">
        <v>2239997</v>
      </c>
      <c r="AF167" s="29">
        <v>954581</v>
      </c>
      <c r="AG167" s="27">
        <v>6280892</v>
      </c>
      <c r="AH167" s="28">
        <v>15387425</v>
      </c>
      <c r="AI167" s="29">
        <v>7038522</v>
      </c>
      <c r="AJ167" s="27">
        <v>1418446</v>
      </c>
      <c r="AK167" s="28">
        <v>-251567</v>
      </c>
      <c r="AL167" s="29">
        <v>1445108</v>
      </c>
      <c r="AM167" s="30">
        <v>3935120</v>
      </c>
      <c r="AN167" s="30">
        <v>2276116</v>
      </c>
      <c r="AO167" s="30">
        <v>3840606</v>
      </c>
      <c r="AP167" s="27">
        <v>0</v>
      </c>
      <c r="AQ167" s="28">
        <v>0</v>
      </c>
      <c r="AR167" s="29">
        <v>0</v>
      </c>
      <c r="AS167" s="27">
        <v>0</v>
      </c>
      <c r="AT167" s="28">
        <v>0</v>
      </c>
      <c r="AU167" s="29">
        <v>0</v>
      </c>
      <c r="AV167" s="27">
        <v>170487.39999999991</v>
      </c>
      <c r="AW167" s="28">
        <v>36609.49000000026</v>
      </c>
      <c r="AX167" s="29">
        <v>219827.91000000003</v>
      </c>
      <c r="AY167" s="27">
        <v>1347236.3399999999</v>
      </c>
      <c r="AZ167" s="28">
        <v>3959901.53</v>
      </c>
      <c r="BA167" s="29">
        <v>3728521.9699999997</v>
      </c>
      <c r="BB167" s="24">
        <v>0</v>
      </c>
      <c r="BC167" s="25">
        <v>0</v>
      </c>
      <c r="BD167" s="26">
        <v>0</v>
      </c>
      <c r="BE167" s="24">
        <v>1.088782501761339E-2</v>
      </c>
      <c r="BF167" s="25">
        <v>2.9520311240823667E-3</v>
      </c>
      <c r="BG167" s="26">
        <v>1.2917137213643069E-2</v>
      </c>
      <c r="BH167" s="24">
        <v>8.6038461066858349E-2</v>
      </c>
      <c r="BI167" s="25">
        <v>0.31930935298091562</v>
      </c>
      <c r="BJ167" s="26">
        <v>0.21908878581692723</v>
      </c>
      <c r="BK167" s="24">
        <v>0.80571999999999999</v>
      </c>
      <c r="BL167" s="25">
        <v>0.67315000000000003</v>
      </c>
      <c r="BM167" s="26">
        <v>0.73939999999999995</v>
      </c>
    </row>
    <row r="168" spans="1:65" x14ac:dyDescent="0.2">
      <c r="A168" s="22">
        <v>6702</v>
      </c>
      <c r="B168" s="23" t="s">
        <v>185</v>
      </c>
      <c r="C168" s="24">
        <v>0.14223432317748072</v>
      </c>
      <c r="D168" s="25">
        <v>0.14194040020495319</v>
      </c>
      <c r="E168" s="26">
        <v>0.1327189824963714</v>
      </c>
      <c r="F168" s="24">
        <v>0.88396593526780098</v>
      </c>
      <c r="G168" s="25">
        <v>0.48155965024310021</v>
      </c>
      <c r="H168" s="26">
        <v>1.1799373105389324</v>
      </c>
      <c r="I168" s="24">
        <v>0.10837535573665834</v>
      </c>
      <c r="J168" s="25">
        <v>-8.2289268665764789E-2</v>
      </c>
      <c r="K168" s="26">
        <v>0.22555978270475116</v>
      </c>
      <c r="L168" s="24">
        <v>0</v>
      </c>
      <c r="M168" s="25">
        <v>0</v>
      </c>
      <c r="N168" s="26">
        <v>0</v>
      </c>
      <c r="O168" s="27">
        <v>0</v>
      </c>
      <c r="P168" s="28">
        <v>0</v>
      </c>
      <c r="Q168" s="29">
        <v>0</v>
      </c>
      <c r="R168" s="24">
        <v>0</v>
      </c>
      <c r="S168" s="25">
        <v>0</v>
      </c>
      <c r="T168" s="26">
        <v>0</v>
      </c>
      <c r="U168" s="27">
        <v>168.24107142857142</v>
      </c>
      <c r="V168" s="28">
        <v>168.24107142857142</v>
      </c>
      <c r="W168" s="29">
        <v>166.97321428571428</v>
      </c>
      <c r="X168" s="24">
        <v>0.72313895078455193</v>
      </c>
      <c r="Y168" s="25">
        <v>0.6491635774613026</v>
      </c>
      <c r="Z168" s="26">
        <v>0.77504510172448349</v>
      </c>
      <c r="AA168" s="24">
        <v>7.2860739323338516E-2</v>
      </c>
      <c r="AB168" s="25">
        <v>0.15353192721325126</v>
      </c>
      <c r="AC168" s="26">
        <v>2.1023960668029171E-2</v>
      </c>
      <c r="AD168" s="27">
        <v>3302449</v>
      </c>
      <c r="AE168" s="28">
        <v>6215501</v>
      </c>
      <c r="AF168" s="29">
        <v>3319061</v>
      </c>
      <c r="AG168" s="27">
        <v>18729099</v>
      </c>
      <c r="AH168" s="28">
        <v>46906615</v>
      </c>
      <c r="AI168" s="29">
        <v>19650579</v>
      </c>
      <c r="AJ168" s="27">
        <v>2516299</v>
      </c>
      <c r="AK168" s="28">
        <v>-3603407</v>
      </c>
      <c r="AL168" s="29">
        <v>5640841</v>
      </c>
      <c r="AM168" s="30">
        <v>14046183</v>
      </c>
      <c r="AN168" s="30">
        <v>7875858</v>
      </c>
      <c r="AO168" s="30">
        <v>13465875</v>
      </c>
      <c r="AP168" s="27">
        <v>0</v>
      </c>
      <c r="AQ168" s="28">
        <v>0</v>
      </c>
      <c r="AR168" s="29">
        <v>0</v>
      </c>
      <c r="AS168" s="27">
        <v>0</v>
      </c>
      <c r="AT168" s="28">
        <v>0</v>
      </c>
      <c r="AU168" s="29">
        <v>0</v>
      </c>
      <c r="AV168" s="27">
        <v>218280.87000000011</v>
      </c>
      <c r="AW168" s="28">
        <v>1263133.6300000024</v>
      </c>
      <c r="AX168" s="29">
        <v>1159518.8700000001</v>
      </c>
      <c r="AY168" s="27">
        <v>7643368.6600000001</v>
      </c>
      <c r="AZ168" s="28">
        <v>6945744.6399999987</v>
      </c>
      <c r="BA168" s="29">
        <v>12741856.370000001</v>
      </c>
      <c r="BB168" s="24">
        <v>0</v>
      </c>
      <c r="BC168" s="25">
        <v>0</v>
      </c>
      <c r="BD168" s="26">
        <v>0</v>
      </c>
      <c r="BE168" s="24">
        <v>4.1943093893818551E-3</v>
      </c>
      <c r="BF168" s="25">
        <v>3.5312534447395426E-2</v>
      </c>
      <c r="BG168" s="26">
        <v>2.1796933447892419E-2</v>
      </c>
      <c r="BH168" s="24">
        <v>0.14686881602196744</v>
      </c>
      <c r="BI168" s="25">
        <v>0.19417727549761429</v>
      </c>
      <c r="BJ168" s="26">
        <v>0.2395246877694143</v>
      </c>
      <c r="BK168" s="24">
        <v>0.88134000000000001</v>
      </c>
      <c r="BL168" s="25">
        <v>0.73163</v>
      </c>
      <c r="BM168" s="26">
        <v>0.80649999999999999</v>
      </c>
    </row>
    <row r="169" spans="1:65" x14ac:dyDescent="0.2">
      <c r="A169" s="22">
        <v>6703</v>
      </c>
      <c r="B169" s="23" t="s">
        <v>186</v>
      </c>
      <c r="C169" s="24">
        <v>0.15697234441565269</v>
      </c>
      <c r="D169" s="25">
        <v>0.16726473455912086</v>
      </c>
      <c r="E169" s="26">
        <v>0.15369430907670098</v>
      </c>
      <c r="F169" s="24">
        <v>0.78414273061540385</v>
      </c>
      <c r="G169" s="25">
        <v>0.84699891138747407</v>
      </c>
      <c r="H169" s="26">
        <v>0.96610363065387728</v>
      </c>
      <c r="I169" s="24">
        <v>6.1435583658742139E-2</v>
      </c>
      <c r="J169" s="25">
        <v>2.6786712529168057E-2</v>
      </c>
      <c r="K169" s="26">
        <v>0.1073850312264846</v>
      </c>
      <c r="L169" s="24">
        <v>0.30927631073124784</v>
      </c>
      <c r="M169" s="25">
        <v>0.23920933939531533</v>
      </c>
      <c r="N169" s="26">
        <v>0.20371165775329803</v>
      </c>
      <c r="O169" s="27">
        <v>146</v>
      </c>
      <c r="P169" s="28">
        <v>123</v>
      </c>
      <c r="Q169" s="29">
        <v>109</v>
      </c>
      <c r="R169" s="24">
        <v>3.501749714620393E-3</v>
      </c>
      <c r="S169" s="25">
        <v>3.871327166366461E-2</v>
      </c>
      <c r="T169" s="26">
        <v>5.760325801162005E-3</v>
      </c>
      <c r="U169" s="27">
        <v>190.33333333333334</v>
      </c>
      <c r="V169" s="28">
        <v>190.33333333333334</v>
      </c>
      <c r="W169" s="29">
        <v>207.07692307692307</v>
      </c>
      <c r="X169" s="24">
        <v>0.71965006541058318</v>
      </c>
      <c r="Y169" s="25">
        <v>0.72815936125682612</v>
      </c>
      <c r="Z169" s="26">
        <v>0.75348944683639085</v>
      </c>
      <c r="AA169" s="24">
        <v>3.5397399005140828E-2</v>
      </c>
      <c r="AB169" s="25">
        <v>7.2292526305405239E-2</v>
      </c>
      <c r="AC169" s="26">
        <v>1.3055653981922233E-2</v>
      </c>
      <c r="AD169" s="27">
        <v>2343507</v>
      </c>
      <c r="AE169" s="28">
        <v>5079134</v>
      </c>
      <c r="AF169" s="29">
        <v>2622326</v>
      </c>
      <c r="AG169" s="27">
        <v>13714906</v>
      </c>
      <c r="AH169" s="28">
        <v>29629937</v>
      </c>
      <c r="AI169" s="29">
        <v>14359296</v>
      </c>
      <c r="AJ169" s="27">
        <v>917198</v>
      </c>
      <c r="AK169" s="28">
        <v>813401</v>
      </c>
      <c r="AL169" s="29">
        <v>1832199</v>
      </c>
      <c r="AM169" s="30">
        <v>3008337</v>
      </c>
      <c r="AN169" s="30">
        <v>2627959</v>
      </c>
      <c r="AO169" s="30">
        <v>4267938</v>
      </c>
      <c r="AP169" s="27">
        <v>1999223</v>
      </c>
      <c r="AQ169" s="28">
        <v>1692175</v>
      </c>
      <c r="AR169" s="29">
        <v>1467419</v>
      </c>
      <c r="AS169" s="27">
        <v>22636</v>
      </c>
      <c r="AT169" s="28">
        <v>273859</v>
      </c>
      <c r="AU169" s="29">
        <v>41494</v>
      </c>
      <c r="AV169" s="27">
        <v>1459510.0899999999</v>
      </c>
      <c r="AW169" s="28">
        <v>1266294.0099999995</v>
      </c>
      <c r="AX169" s="29">
        <v>1878582.98</v>
      </c>
      <c r="AY169" s="27">
        <v>6437564.7599999998</v>
      </c>
      <c r="AZ169" s="28">
        <v>7080117.1200000001</v>
      </c>
      <c r="BA169" s="29">
        <v>10789126.879999999</v>
      </c>
      <c r="BB169" s="24">
        <v>7.6874204377795077E-4</v>
      </c>
      <c r="BC169" s="25">
        <v>9.2426453691076028E-3</v>
      </c>
      <c r="BD169" s="26">
        <v>1.2759474134020727E-3</v>
      </c>
      <c r="BE169" s="24">
        <v>4.956647682899544E-2</v>
      </c>
      <c r="BF169" s="25">
        <v>5.0194251841088895E-2</v>
      </c>
      <c r="BG169" s="26">
        <v>5.7766739629637E-2</v>
      </c>
      <c r="BH169" s="24">
        <v>0.21862637791815306</v>
      </c>
      <c r="BI169" s="25">
        <v>0.28064665786872445</v>
      </c>
      <c r="BJ169" s="26">
        <v>0.33176744915898138</v>
      </c>
      <c r="BK169" s="24">
        <v>0.81572</v>
      </c>
      <c r="BL169" s="25">
        <v>0.77020999999999995</v>
      </c>
      <c r="BM169" s="26">
        <v>0.79300000000000004</v>
      </c>
    </row>
    <row r="170" spans="1:65" x14ac:dyDescent="0.2">
      <c r="A170" s="22">
        <v>6704</v>
      </c>
      <c r="B170" s="23" t="s">
        <v>187</v>
      </c>
      <c r="C170" s="24">
        <v>0.16600659639883872</v>
      </c>
      <c r="D170" s="25">
        <v>0.15943562822042018</v>
      </c>
      <c r="E170" s="26">
        <v>0.12634990282169661</v>
      </c>
      <c r="F170" s="24">
        <v>0.51665474432725789</v>
      </c>
      <c r="G170" s="25">
        <v>0.55359651828244405</v>
      </c>
      <c r="H170" s="26">
        <v>0.70830153572021448</v>
      </c>
      <c r="I170" s="24">
        <v>-1.9794425147711507E-2</v>
      </c>
      <c r="J170" s="25">
        <v>-6.2960392332241474E-2</v>
      </c>
      <c r="K170" s="26">
        <v>4.1304773443426847E-2</v>
      </c>
      <c r="L170" s="24">
        <v>7.4783598700440532E-2</v>
      </c>
      <c r="M170" s="25">
        <v>2.6027114527372327E-2</v>
      </c>
      <c r="N170" s="26">
        <v>0</v>
      </c>
      <c r="O170" s="27">
        <v>33</v>
      </c>
      <c r="P170" s="28">
        <v>13</v>
      </c>
      <c r="Q170" s="29">
        <v>0</v>
      </c>
      <c r="R170" s="24">
        <v>2.114281902458855E-3</v>
      </c>
      <c r="S170" s="25">
        <v>8.7332160898580924E-2</v>
      </c>
      <c r="T170" s="26">
        <v>2.2281488417002539E-2</v>
      </c>
      <c r="U170" s="27">
        <v>120.66666666666667</v>
      </c>
      <c r="V170" s="28">
        <v>120.66666666666667</v>
      </c>
      <c r="W170" s="29">
        <v>117.34375</v>
      </c>
      <c r="X170" s="24">
        <v>0.57327439991326112</v>
      </c>
      <c r="Y170" s="25">
        <v>0.62779216682234096</v>
      </c>
      <c r="Z170" s="26">
        <v>0.68903329353110621</v>
      </c>
      <c r="AA170" s="24">
        <v>7.8952057100574652E-2</v>
      </c>
      <c r="AB170" s="25">
        <v>5.1806795638542909E-2</v>
      </c>
      <c r="AC170" s="26">
        <v>2.6038117327317343E-2</v>
      </c>
      <c r="AD170" s="27">
        <v>1555727</v>
      </c>
      <c r="AE170" s="28">
        <v>2681647</v>
      </c>
      <c r="AF170" s="29">
        <v>1186160</v>
      </c>
      <c r="AG170" s="27">
        <v>9462882</v>
      </c>
      <c r="AH170" s="28">
        <v>17802124</v>
      </c>
      <c r="AI170" s="29">
        <v>8899837</v>
      </c>
      <c r="AJ170" s="27">
        <v>-185503</v>
      </c>
      <c r="AK170" s="28">
        <v>-1058970</v>
      </c>
      <c r="AL170" s="29">
        <v>387765</v>
      </c>
      <c r="AM170" s="30">
        <v>1975891</v>
      </c>
      <c r="AN170" s="30">
        <v>916822</v>
      </c>
      <c r="AO170" s="30">
        <v>1201247</v>
      </c>
      <c r="AP170" s="27">
        <v>250000</v>
      </c>
      <c r="AQ170" s="28">
        <v>100000</v>
      </c>
      <c r="AR170" s="29">
        <v>0</v>
      </c>
      <c r="AS170" s="27">
        <v>7068</v>
      </c>
      <c r="AT170" s="28">
        <v>335543</v>
      </c>
      <c r="AU170" s="29">
        <v>76152</v>
      </c>
      <c r="AV170" s="27">
        <v>288291.65000000026</v>
      </c>
      <c r="AW170" s="28">
        <v>529473.41999999981</v>
      </c>
      <c r="AX170" s="29">
        <v>344009.77999999985</v>
      </c>
      <c r="AY170" s="27">
        <v>2490831.34</v>
      </c>
      <c r="AZ170" s="28">
        <v>1935833.4300000002</v>
      </c>
      <c r="BA170" s="29">
        <v>2089709.3399999999</v>
      </c>
      <c r="BB170" s="24">
        <v>4.1523157296804861E-4</v>
      </c>
      <c r="BC170" s="25">
        <v>1.8848481226172786E-2</v>
      </c>
      <c r="BD170" s="26">
        <v>4.2636987250503893E-3</v>
      </c>
      <c r="BE170" s="24">
        <v>1.6936586771796016E-2</v>
      </c>
      <c r="BF170" s="25">
        <v>3.6351518083333659E-2</v>
      </c>
      <c r="BG170" s="26">
        <v>1.9260873783890957E-2</v>
      </c>
      <c r="BH170" s="24">
        <v>0.14633160940949522</v>
      </c>
      <c r="BI170" s="25">
        <v>0.13290654691781667</v>
      </c>
      <c r="BJ170" s="26">
        <v>0.11700140572386659</v>
      </c>
      <c r="BK170" s="24">
        <v>0.68750999999999995</v>
      </c>
      <c r="BL170" s="25">
        <v>0.65747</v>
      </c>
      <c r="BM170" s="26">
        <v>0.67249999999999999</v>
      </c>
    </row>
    <row r="171" spans="1:65" x14ac:dyDescent="0.2">
      <c r="A171" s="22">
        <v>6705</v>
      </c>
      <c r="B171" s="23" t="s">
        <v>188</v>
      </c>
      <c r="C171" s="24">
        <v>0.24397224479648499</v>
      </c>
      <c r="D171" s="25">
        <v>0.24142904060476431</v>
      </c>
      <c r="E171" s="26">
        <v>0.25905801385809296</v>
      </c>
      <c r="F171" s="24">
        <v>0.76459804099319228</v>
      </c>
      <c r="G171" s="25">
        <v>0.61604183503329146</v>
      </c>
      <c r="H171" s="26">
        <v>1.0204974341203656</v>
      </c>
      <c r="I171" s="24">
        <v>0.18225013109584709</v>
      </c>
      <c r="J171" s="25">
        <v>-3.2863415685256037E-3</v>
      </c>
      <c r="K171" s="26">
        <v>0.22324660286810447</v>
      </c>
      <c r="L171" s="24">
        <v>6.6124212870199803E-2</v>
      </c>
      <c r="M171" s="25">
        <v>4.5854946066814728E-2</v>
      </c>
      <c r="N171" s="26">
        <v>3.3448465685583711E-2</v>
      </c>
      <c r="O171" s="27">
        <v>44</v>
      </c>
      <c r="P171" s="28">
        <v>30</v>
      </c>
      <c r="Q171" s="29">
        <v>25</v>
      </c>
      <c r="R171" s="24">
        <v>0</v>
      </c>
      <c r="S171" s="25">
        <v>0</v>
      </c>
      <c r="T171" s="26">
        <v>0</v>
      </c>
      <c r="U171" s="27">
        <v>257.61818181818182</v>
      </c>
      <c r="V171" s="28">
        <v>262.38888888888891</v>
      </c>
      <c r="W171" s="29">
        <v>258.34461538461539</v>
      </c>
      <c r="X171" s="24">
        <v>0.68298650402651218</v>
      </c>
      <c r="Y171" s="25">
        <v>0.64830790099988056</v>
      </c>
      <c r="Z171" s="26">
        <v>0.76796442849808655</v>
      </c>
      <c r="AA171" s="24">
        <v>0.10292619133867141</v>
      </c>
      <c r="AB171" s="25">
        <v>0.11339217880431458</v>
      </c>
      <c r="AC171" s="26">
        <v>1.4481830380031402E-2</v>
      </c>
      <c r="AD171" s="27">
        <v>13330500</v>
      </c>
      <c r="AE171" s="28">
        <v>24735897</v>
      </c>
      <c r="AF171" s="29">
        <v>15236988</v>
      </c>
      <c r="AG171" s="27">
        <v>46355752</v>
      </c>
      <c r="AH171" s="28">
        <v>104013329</v>
      </c>
      <c r="AI171" s="29">
        <v>46315278</v>
      </c>
      <c r="AJ171" s="27">
        <v>9958040</v>
      </c>
      <c r="AK171" s="28">
        <v>-336706</v>
      </c>
      <c r="AL171" s="29">
        <v>13130672</v>
      </c>
      <c r="AM171" s="30">
        <v>21115036</v>
      </c>
      <c r="AN171" s="30">
        <v>9843921</v>
      </c>
      <c r="AO171" s="30">
        <v>22867888</v>
      </c>
      <c r="AP171" s="27">
        <v>1886718</v>
      </c>
      <c r="AQ171" s="28">
        <v>1293976</v>
      </c>
      <c r="AR171" s="29">
        <v>1051234</v>
      </c>
      <c r="AS171" s="27">
        <v>0</v>
      </c>
      <c r="AT171" s="28">
        <v>0</v>
      </c>
      <c r="AU171" s="29">
        <v>0</v>
      </c>
      <c r="AV171" s="27">
        <v>1737140.5599999991</v>
      </c>
      <c r="AW171" s="28">
        <v>3290744.5200000033</v>
      </c>
      <c r="AX171" s="29">
        <v>5192560.68</v>
      </c>
      <c r="AY171" s="27">
        <v>20315756.520000003</v>
      </c>
      <c r="AZ171" s="28">
        <v>9338821.4800000004</v>
      </c>
      <c r="BA171" s="29">
        <v>9416866.9100000001</v>
      </c>
      <c r="BB171" s="24">
        <v>0</v>
      </c>
      <c r="BC171" s="25">
        <v>0</v>
      </c>
      <c r="BD171" s="26">
        <v>0</v>
      </c>
      <c r="BE171" s="24">
        <v>1.5976404878907769E-2</v>
      </c>
      <c r="BF171" s="25">
        <v>3.9793172622943372E-2</v>
      </c>
      <c r="BG171" s="26">
        <v>4.5296251293774049E-2</v>
      </c>
      <c r="BH171" s="24">
        <v>0.18684311394170114</v>
      </c>
      <c r="BI171" s="25">
        <v>0.11292925749474199</v>
      </c>
      <c r="BJ171" s="26">
        <v>8.2146131021310576E-2</v>
      </c>
      <c r="BK171" s="24">
        <v>0.88485999999999998</v>
      </c>
      <c r="BL171" s="25">
        <v>0.69799</v>
      </c>
      <c r="BM171" s="26">
        <v>0.79139999999999999</v>
      </c>
    </row>
    <row r="172" spans="1:65" x14ac:dyDescent="0.2">
      <c r="A172" s="22">
        <v>6706</v>
      </c>
      <c r="B172" s="23" t="s">
        <v>189</v>
      </c>
      <c r="C172" s="24">
        <v>7.1917463177633409E-2</v>
      </c>
      <c r="D172" s="25">
        <v>7.9213687797399956E-2</v>
      </c>
      <c r="E172" s="26">
        <v>7.1865120019079562E-2</v>
      </c>
      <c r="F172" s="24">
        <v>0.4317099345254603</v>
      </c>
      <c r="G172" s="25">
        <v>0.39855946370556106</v>
      </c>
      <c r="H172" s="26">
        <v>0.50716603533855797</v>
      </c>
      <c r="I172" s="24">
        <v>0.15190736047706399</v>
      </c>
      <c r="J172" s="25">
        <v>-3.3823190199597036E-2</v>
      </c>
      <c r="K172" s="26">
        <v>0.16399135331103587</v>
      </c>
      <c r="L172" s="24">
        <v>0</v>
      </c>
      <c r="M172" s="25">
        <v>0</v>
      </c>
      <c r="N172" s="26">
        <v>0</v>
      </c>
      <c r="O172" s="27">
        <v>0</v>
      </c>
      <c r="P172" s="28">
        <v>0</v>
      </c>
      <c r="Q172" s="29">
        <v>0</v>
      </c>
      <c r="R172" s="24">
        <v>0</v>
      </c>
      <c r="S172" s="25">
        <v>0</v>
      </c>
      <c r="T172" s="26">
        <v>0</v>
      </c>
      <c r="U172" s="27">
        <v>126.06451612903226</v>
      </c>
      <c r="V172" s="28">
        <v>126.06451612903226</v>
      </c>
      <c r="W172" s="29">
        <v>133.44827586206895</v>
      </c>
      <c r="X172" s="24">
        <v>0.68904190131627863</v>
      </c>
      <c r="Y172" s="25">
        <v>0.70844568765345217</v>
      </c>
      <c r="Z172" s="26">
        <v>0.72383047091261599</v>
      </c>
      <c r="AA172" s="24">
        <v>0.10337544039772537</v>
      </c>
      <c r="AB172" s="25">
        <v>0.10933764272777871</v>
      </c>
      <c r="AC172" s="26">
        <v>7.8472780479642651E-2</v>
      </c>
      <c r="AD172" s="27">
        <v>680257</v>
      </c>
      <c r="AE172" s="28">
        <v>1377783</v>
      </c>
      <c r="AF172" s="29">
        <v>769592</v>
      </c>
      <c r="AG172" s="27">
        <v>7854264</v>
      </c>
      <c r="AH172" s="28">
        <v>17772644</v>
      </c>
      <c r="AI172" s="29">
        <v>8797216</v>
      </c>
      <c r="AJ172" s="27">
        <v>1436870</v>
      </c>
      <c r="AK172" s="28">
        <v>-588295</v>
      </c>
      <c r="AL172" s="29">
        <v>1756157</v>
      </c>
      <c r="AM172" s="30">
        <v>5152215</v>
      </c>
      <c r="AN172" s="30">
        <v>3122147</v>
      </c>
      <c r="AO172" s="30">
        <v>4917909</v>
      </c>
      <c r="AP172" s="27">
        <v>0</v>
      </c>
      <c r="AQ172" s="28">
        <v>0</v>
      </c>
      <c r="AR172" s="29">
        <v>0</v>
      </c>
      <c r="AS172" s="27">
        <v>0</v>
      </c>
      <c r="AT172" s="28">
        <v>0</v>
      </c>
      <c r="AU172" s="29">
        <v>0</v>
      </c>
      <c r="AV172" s="27">
        <v>745087.89</v>
      </c>
      <c r="AW172" s="28">
        <v>470382.89999999921</v>
      </c>
      <c r="AX172" s="29">
        <v>770619.91999999993</v>
      </c>
      <c r="AY172" s="27">
        <v>5553402.5800000001</v>
      </c>
      <c r="AZ172" s="28">
        <v>7307451</v>
      </c>
      <c r="BA172" s="29">
        <v>8387886.8699999992</v>
      </c>
      <c r="BB172" s="24">
        <v>0</v>
      </c>
      <c r="BC172" s="25">
        <v>0</v>
      </c>
      <c r="BD172" s="26">
        <v>0</v>
      </c>
      <c r="BE172" s="24">
        <v>3.4587271426573363E-2</v>
      </c>
      <c r="BF172" s="25">
        <v>3.2931361029680063E-2</v>
      </c>
      <c r="BG172" s="26">
        <v>3.0144895561746324E-2</v>
      </c>
      <c r="BH172" s="24">
        <v>0.25779112095821716</v>
      </c>
      <c r="BI172" s="25">
        <v>0.51159237950124681</v>
      </c>
      <c r="BJ172" s="26">
        <v>0.32811502417416522</v>
      </c>
      <c r="BK172" s="24">
        <v>0.79718</v>
      </c>
      <c r="BL172" s="25">
        <v>0.69464000000000004</v>
      </c>
      <c r="BM172" s="26">
        <v>0.74590000000000001</v>
      </c>
    </row>
    <row r="173" spans="1:65" x14ac:dyDescent="0.2">
      <c r="A173" s="22">
        <v>6707</v>
      </c>
      <c r="B173" s="23" t="s">
        <v>190</v>
      </c>
      <c r="C173" s="24">
        <v>9.7907686927010296E-2</v>
      </c>
      <c r="D173" s="25">
        <v>0.12288179613398649</v>
      </c>
      <c r="E173" s="26">
        <v>0.1026496604697254</v>
      </c>
      <c r="F173" s="24">
        <v>0.34746099047344686</v>
      </c>
      <c r="G173" s="25">
        <v>0.44575569665619313</v>
      </c>
      <c r="H173" s="26">
        <v>0.60042717234983256</v>
      </c>
      <c r="I173" s="24">
        <v>-0.5823623070604097</v>
      </c>
      <c r="J173" s="25">
        <v>-0.44627898107818093</v>
      </c>
      <c r="K173" s="26">
        <v>0.17965065143232914</v>
      </c>
      <c r="L173" s="24">
        <v>0</v>
      </c>
      <c r="M173" s="25">
        <v>0</v>
      </c>
      <c r="N173" s="26">
        <v>0</v>
      </c>
      <c r="O173" s="27">
        <v>0</v>
      </c>
      <c r="P173" s="28">
        <v>0</v>
      </c>
      <c r="Q173" s="29">
        <v>0</v>
      </c>
      <c r="R173" s="24">
        <v>1.75649654917974E-2</v>
      </c>
      <c r="S173" s="25">
        <v>9.8807470988505411E-3</v>
      </c>
      <c r="T173" s="26">
        <v>8.7952660205528933E-5</v>
      </c>
      <c r="U173" s="27">
        <v>132.87878787878788</v>
      </c>
      <c r="V173" s="28">
        <v>132.87878787878788</v>
      </c>
      <c r="W173" s="29">
        <v>134.6875</v>
      </c>
      <c r="X173" s="24">
        <v>0.38095334929741725</v>
      </c>
      <c r="Y173" s="25">
        <v>0.47398146269068286</v>
      </c>
      <c r="Z173" s="26">
        <v>0.69749392499193796</v>
      </c>
      <c r="AA173" s="24">
        <v>0.43516670229914683</v>
      </c>
      <c r="AB173" s="25">
        <v>0.34532167638251365</v>
      </c>
      <c r="AC173" s="26">
        <v>1.490316396202741E-2</v>
      </c>
      <c r="AD173" s="27">
        <v>453504</v>
      </c>
      <c r="AE173" s="28">
        <v>1110681</v>
      </c>
      <c r="AF173" s="29">
        <v>561953</v>
      </c>
      <c r="AG173" s="27">
        <v>7278004</v>
      </c>
      <c r="AH173" s="28">
        <v>12910180</v>
      </c>
      <c r="AI173" s="29">
        <v>4518101</v>
      </c>
      <c r="AJ173" s="27">
        <v>-2697476</v>
      </c>
      <c r="AK173" s="28">
        <v>-4033743</v>
      </c>
      <c r="AL173" s="29">
        <v>983493</v>
      </c>
      <c r="AM173" s="30">
        <v>1771604</v>
      </c>
      <c r="AN173" s="30">
        <v>433870</v>
      </c>
      <c r="AO173" s="30">
        <v>1396490</v>
      </c>
      <c r="AP173" s="27">
        <v>0</v>
      </c>
      <c r="AQ173" s="28">
        <v>0</v>
      </c>
      <c r="AR173" s="29">
        <v>0</v>
      </c>
      <c r="AS173" s="27">
        <v>30851</v>
      </c>
      <c r="AT173" s="28">
        <v>19041</v>
      </c>
      <c r="AU173" s="29">
        <v>182</v>
      </c>
      <c r="AV173" s="27">
        <v>218464.40999999919</v>
      </c>
      <c r="AW173" s="28">
        <v>103911.17000000027</v>
      </c>
      <c r="AX173" s="29">
        <v>598411.06000000006</v>
      </c>
      <c r="AY173" s="27">
        <v>1021767.1100000001</v>
      </c>
      <c r="AZ173" s="28">
        <v>2016889.9799999995</v>
      </c>
      <c r="BA173" s="29">
        <v>3544370.84</v>
      </c>
      <c r="BB173" s="24">
        <v>2.4645710423327684E-3</v>
      </c>
      <c r="BC173" s="25">
        <v>1.4748826120162539E-3</v>
      </c>
      <c r="BD173" s="26">
        <v>1.8870426630277849E-5</v>
      </c>
      <c r="BE173" s="24">
        <v>1.7452304906366446E-2</v>
      </c>
      <c r="BF173" s="25">
        <v>1.151407175254701E-2</v>
      </c>
      <c r="BG173" s="26">
        <v>6.2045450563059323E-2</v>
      </c>
      <c r="BH173" s="24">
        <v>8.1625154170498218E-2</v>
      </c>
      <c r="BI173" s="25">
        <v>0.22348527060866541</v>
      </c>
      <c r="BJ173" s="26">
        <v>0.36749335102591352</v>
      </c>
      <c r="BK173" s="24">
        <v>0.70837000000000006</v>
      </c>
      <c r="BL173" s="25">
        <v>0.46761999999999998</v>
      </c>
      <c r="BM173" s="26">
        <v>0.58799999999999997</v>
      </c>
    </row>
    <row r="174" spans="1:65" x14ac:dyDescent="0.2">
      <c r="A174" s="22">
        <v>6801</v>
      </c>
      <c r="B174" s="23" t="s">
        <v>191</v>
      </c>
      <c r="C174" s="24">
        <v>0.18157095962084283</v>
      </c>
      <c r="D174" s="25">
        <v>0.18347077098293876</v>
      </c>
      <c r="E174" s="26">
        <v>0.20024132563763411</v>
      </c>
      <c r="F174" s="24">
        <v>0.59198134898587318</v>
      </c>
      <c r="G174" s="25">
        <v>0.51160243356322876</v>
      </c>
      <c r="H174" s="26">
        <v>1.003920238797972</v>
      </c>
      <c r="I174" s="24">
        <v>8.0292482741431581E-2</v>
      </c>
      <c r="J174" s="25">
        <v>-7.1856127315127638E-2</v>
      </c>
      <c r="K174" s="26">
        <v>0.17008597538979517</v>
      </c>
      <c r="L174" s="24">
        <v>0</v>
      </c>
      <c r="M174" s="25">
        <v>0</v>
      </c>
      <c r="N174" s="26">
        <v>0</v>
      </c>
      <c r="O174" s="27">
        <v>0</v>
      </c>
      <c r="P174" s="28">
        <v>0</v>
      </c>
      <c r="Q174" s="29">
        <v>0</v>
      </c>
      <c r="R174" s="24">
        <v>0</v>
      </c>
      <c r="S174" s="25">
        <v>0</v>
      </c>
      <c r="T174" s="26">
        <v>0</v>
      </c>
      <c r="U174" s="27">
        <v>75.588235294117652</v>
      </c>
      <c r="V174" s="28">
        <v>77.099999999999994</v>
      </c>
      <c r="W174" s="29">
        <v>76.319999999999993</v>
      </c>
      <c r="X174" s="24">
        <v>0.6203075675263805</v>
      </c>
      <c r="Y174" s="25">
        <v>0.61091401525868683</v>
      </c>
      <c r="Z174" s="26">
        <v>0.69890269997713161</v>
      </c>
      <c r="AA174" s="24">
        <v>0.16143695239342681</v>
      </c>
      <c r="AB174" s="25">
        <v>0.17287034810829358</v>
      </c>
      <c r="AC174" s="26">
        <v>3.2901301325380418E-2</v>
      </c>
      <c r="AD174" s="27">
        <v>939755</v>
      </c>
      <c r="AE174" s="28">
        <v>1777181</v>
      </c>
      <c r="AF174" s="29">
        <v>1198997</v>
      </c>
      <c r="AG174" s="27">
        <v>4764027</v>
      </c>
      <c r="AH174" s="28">
        <v>10352267</v>
      </c>
      <c r="AI174" s="29">
        <v>4971931</v>
      </c>
      <c r="AJ174" s="27">
        <v>415569</v>
      </c>
      <c r="AK174" s="28">
        <v>-696031</v>
      </c>
      <c r="AL174" s="29">
        <v>1018434</v>
      </c>
      <c r="AM174" s="30">
        <v>4061415</v>
      </c>
      <c r="AN174" s="30">
        <v>2881872</v>
      </c>
      <c r="AO174" s="30">
        <v>3969978</v>
      </c>
      <c r="AP174" s="27">
        <v>0</v>
      </c>
      <c r="AQ174" s="28">
        <v>0</v>
      </c>
      <c r="AR174" s="29">
        <v>0</v>
      </c>
      <c r="AS174" s="27">
        <v>0</v>
      </c>
      <c r="AT174" s="28">
        <v>0</v>
      </c>
      <c r="AU174" s="29">
        <v>0</v>
      </c>
      <c r="AV174" s="27">
        <v>19099.010000000068</v>
      </c>
      <c r="AW174" s="28">
        <v>53633.900000000125</v>
      </c>
      <c r="AX174" s="29">
        <v>13973.669999999966</v>
      </c>
      <c r="AY174" s="27">
        <v>4485638.7899999991</v>
      </c>
      <c r="AZ174" s="28">
        <v>12098502.32</v>
      </c>
      <c r="BA174" s="29">
        <v>15864353.220000001</v>
      </c>
      <c r="BB174" s="24">
        <v>0</v>
      </c>
      <c r="BC174" s="25">
        <v>0</v>
      </c>
      <c r="BD174" s="26">
        <v>0</v>
      </c>
      <c r="BE174" s="24">
        <v>9.4595892393823939E-4</v>
      </c>
      <c r="BF174" s="25">
        <v>5.8169005820490598E-3</v>
      </c>
      <c r="BG174" s="26">
        <v>1.0279634888524655E-3</v>
      </c>
      <c r="BH174" s="24">
        <v>0.2221701566187991</v>
      </c>
      <c r="BI174" s="25">
        <v>1.3121511802634107</v>
      </c>
      <c r="BJ174" s="26">
        <v>1.1670503085029977</v>
      </c>
      <c r="BK174" s="24">
        <v>0.77278999999999998</v>
      </c>
      <c r="BL174" s="25">
        <v>0.65654999999999997</v>
      </c>
      <c r="BM174" s="26">
        <v>0.7147</v>
      </c>
    </row>
    <row r="175" spans="1:65" x14ac:dyDescent="0.2">
      <c r="A175" s="22">
        <v>6802</v>
      </c>
      <c r="B175" s="23" t="s">
        <v>50</v>
      </c>
      <c r="C175" s="24">
        <v>0.23869584923400733</v>
      </c>
      <c r="D175" s="25">
        <v>0.25380651810781513</v>
      </c>
      <c r="E175" s="26">
        <v>0.25412483234452826</v>
      </c>
      <c r="F175" s="24">
        <v>0.51838254455406108</v>
      </c>
      <c r="G175" s="25">
        <v>0.25331910205101377</v>
      </c>
      <c r="H175" s="26">
        <v>0.64817678509377108</v>
      </c>
      <c r="I175" s="24">
        <v>-3.3979726281346961E-2</v>
      </c>
      <c r="J175" s="25">
        <v>-0.54842035404151634</v>
      </c>
      <c r="K175" s="26">
        <v>1.2960590504708975E-2</v>
      </c>
      <c r="L175" s="24">
        <v>1.0127978929062866</v>
      </c>
      <c r="M175" s="25">
        <v>0.9187325833015747</v>
      </c>
      <c r="N175" s="26">
        <v>0.71282120184520814</v>
      </c>
      <c r="O175" s="27">
        <v>596</v>
      </c>
      <c r="P175" s="28">
        <v>560</v>
      </c>
      <c r="Q175" s="29">
        <v>536</v>
      </c>
      <c r="R175" s="24">
        <v>0</v>
      </c>
      <c r="S175" s="25">
        <v>1.5639773592492884E-2</v>
      </c>
      <c r="T175" s="26">
        <v>0</v>
      </c>
      <c r="U175" s="27">
        <v>193.71153846153845</v>
      </c>
      <c r="V175" s="28">
        <v>193.71153846153845</v>
      </c>
      <c r="W175" s="29">
        <v>174.49122807017545</v>
      </c>
      <c r="X175" s="24">
        <v>0.57312967257806824</v>
      </c>
      <c r="Y175" s="25">
        <v>0.40880915364788389</v>
      </c>
      <c r="Z175" s="26">
        <v>0.62916173075944493</v>
      </c>
      <c r="AA175" s="24">
        <v>0.20965371379895781</v>
      </c>
      <c r="AB175" s="25">
        <v>0.43164743651635834</v>
      </c>
      <c r="AC175" s="26">
        <v>0.14734964748922597</v>
      </c>
      <c r="AD175" s="27">
        <v>2615848</v>
      </c>
      <c r="AE175" s="28">
        <v>5006829</v>
      </c>
      <c r="AF175" s="29">
        <v>3128142</v>
      </c>
      <c r="AG175" s="27">
        <v>11051581</v>
      </c>
      <c r="AH175" s="28">
        <v>32593869</v>
      </c>
      <c r="AI175" s="29">
        <v>11810561</v>
      </c>
      <c r="AJ175" s="27">
        <v>-372381</v>
      </c>
      <c r="AK175" s="28">
        <v>-10818662</v>
      </c>
      <c r="AL175" s="29">
        <v>159538</v>
      </c>
      <c r="AM175" s="30">
        <v>13249998</v>
      </c>
      <c r="AN175" s="30">
        <v>2436830</v>
      </c>
      <c r="AO175" s="30">
        <v>2297452</v>
      </c>
      <c r="AP175" s="27">
        <v>5998650</v>
      </c>
      <c r="AQ175" s="28">
        <v>5638656</v>
      </c>
      <c r="AR175" s="29">
        <v>5331842</v>
      </c>
      <c r="AS175" s="27">
        <v>0</v>
      </c>
      <c r="AT175" s="28">
        <v>95988</v>
      </c>
      <c r="AU175" s="29">
        <v>0</v>
      </c>
      <c r="AV175" s="27">
        <v>396388.9099999998</v>
      </c>
      <c r="AW175" s="28">
        <v>609137.50999999954</v>
      </c>
      <c r="AX175" s="29">
        <v>671745.4700000002</v>
      </c>
      <c r="AY175" s="27">
        <v>16163193.41</v>
      </c>
      <c r="AZ175" s="28">
        <v>14232077.010000002</v>
      </c>
      <c r="BA175" s="29">
        <v>12991043.450000001</v>
      </c>
      <c r="BB175" s="24">
        <v>0</v>
      </c>
      <c r="BC175" s="25">
        <v>2.9449710312083538E-3</v>
      </c>
      <c r="BD175" s="26">
        <v>0</v>
      </c>
      <c r="BE175" s="24">
        <v>1.2316295480296446E-2</v>
      </c>
      <c r="BF175" s="25">
        <v>2.9497554555856679E-2</v>
      </c>
      <c r="BG175" s="26">
        <v>2.852338806209076E-2</v>
      </c>
      <c r="BH175" s="24">
        <v>0.50221048298939641</v>
      </c>
      <c r="BI175" s="25">
        <v>0.68918997952634531</v>
      </c>
      <c r="BJ175" s="26">
        <v>0.55162050241415439</v>
      </c>
      <c r="BK175" s="24">
        <v>0.85723000000000005</v>
      </c>
      <c r="BL175" s="25">
        <v>0.82750000000000001</v>
      </c>
      <c r="BM175" s="26">
        <v>0.84240000000000004</v>
      </c>
    </row>
    <row r="176" spans="1:65" x14ac:dyDescent="0.2">
      <c r="A176" s="22">
        <v>6803</v>
      </c>
      <c r="B176" s="23" t="s">
        <v>192</v>
      </c>
      <c r="C176" s="24">
        <v>0.27055515937689989</v>
      </c>
      <c r="D176" s="25">
        <v>0.1563385089648246</v>
      </c>
      <c r="E176" s="26">
        <v>0.25701236215304335</v>
      </c>
      <c r="F176" s="24">
        <v>0.64334200207260095</v>
      </c>
      <c r="G176" s="25">
        <v>0.2432421454146334</v>
      </c>
      <c r="H176" s="26">
        <v>0.54437306448192246</v>
      </c>
      <c r="I176" s="24">
        <v>-7.3452286173504869E-2</v>
      </c>
      <c r="J176" s="25">
        <v>-0.15968798463660486</v>
      </c>
      <c r="K176" s="26">
        <v>-9.4322163298084669E-2</v>
      </c>
      <c r="L176" s="24">
        <v>0.29173973163305555</v>
      </c>
      <c r="M176" s="25">
        <v>0.26118931313158783</v>
      </c>
      <c r="N176" s="26">
        <v>0.22804970047108189</v>
      </c>
      <c r="O176" s="27">
        <v>162</v>
      </c>
      <c r="P176" s="28">
        <v>152</v>
      </c>
      <c r="Q176" s="29">
        <v>143</v>
      </c>
      <c r="R176" s="24">
        <v>1.4030689501838504E-3</v>
      </c>
      <c r="S176" s="25">
        <v>1.3417833780977086E-3</v>
      </c>
      <c r="T176" s="26">
        <v>1.2572553212859879E-3</v>
      </c>
      <c r="U176" s="27">
        <v>111.40571428571428</v>
      </c>
      <c r="V176" s="28">
        <v>108.91620111731844</v>
      </c>
      <c r="W176" s="29">
        <v>107.37430167597765</v>
      </c>
      <c r="X176" s="24">
        <v>0.53663983246203095</v>
      </c>
      <c r="Y176" s="25">
        <v>0.38710551673819144</v>
      </c>
      <c r="Z176" s="26">
        <v>0.54192997151438072</v>
      </c>
      <c r="AA176" s="24">
        <v>0.24158819479964247</v>
      </c>
      <c r="AB176" s="25">
        <v>0.43479503568299338</v>
      </c>
      <c r="AC176" s="26">
        <v>0.24428530611490704</v>
      </c>
      <c r="AD176" s="27">
        <v>2835223</v>
      </c>
      <c r="AE176" s="28">
        <v>4287613</v>
      </c>
      <c r="AF176" s="29">
        <v>2890241</v>
      </c>
      <c r="AG176" s="27">
        <v>11101006</v>
      </c>
      <c r="AH176" s="28">
        <v>31617723</v>
      </c>
      <c r="AI176" s="29">
        <v>12393271</v>
      </c>
      <c r="AJ176" s="27">
        <v>-769727</v>
      </c>
      <c r="AK176" s="28">
        <v>-4379473</v>
      </c>
      <c r="AL176" s="29">
        <v>-1060703</v>
      </c>
      <c r="AM176" s="30">
        <v>7443700</v>
      </c>
      <c r="AN176" s="30">
        <v>4143201</v>
      </c>
      <c r="AO176" s="30">
        <v>2574730</v>
      </c>
      <c r="AP176" s="27">
        <v>1579850</v>
      </c>
      <c r="AQ176" s="28">
        <v>1479014</v>
      </c>
      <c r="AR176" s="29">
        <v>1378178</v>
      </c>
      <c r="AS176" s="27">
        <v>7598</v>
      </c>
      <c r="AT176" s="28">
        <v>7598</v>
      </c>
      <c r="AU176" s="29">
        <v>7598</v>
      </c>
      <c r="AV176" s="27">
        <v>442041.2300000001</v>
      </c>
      <c r="AW176" s="28">
        <v>340370.27000000293</v>
      </c>
      <c r="AX176" s="29">
        <v>1104399.9600000002</v>
      </c>
      <c r="AY176" s="27">
        <v>14778955.260000002</v>
      </c>
      <c r="AZ176" s="28">
        <v>10245179.159999998</v>
      </c>
      <c r="BA176" s="29">
        <v>9854395.25</v>
      </c>
      <c r="BB176" s="24">
        <v>3.0068640635856376E-4</v>
      </c>
      <c r="BC176" s="25">
        <v>2.4030826002239313E-4</v>
      </c>
      <c r="BD176" s="26">
        <v>3.3308244746246894E-4</v>
      </c>
      <c r="BE176" s="24">
        <v>1.7493523152279464E-2</v>
      </c>
      <c r="BF176" s="25">
        <v>1.5538978233897613E-2</v>
      </c>
      <c r="BG176" s="26">
        <v>4.8414877817090397E-2</v>
      </c>
      <c r="BH176" s="24">
        <v>0.58486851103756166</v>
      </c>
      <c r="BI176" s="25">
        <v>0.46772479855429216</v>
      </c>
      <c r="BJ176" s="26">
        <v>0.43199869546361258</v>
      </c>
      <c r="BK176" s="24">
        <v>0.86573</v>
      </c>
      <c r="BL176" s="25">
        <v>0.54552</v>
      </c>
      <c r="BM176" s="26">
        <v>0.7056</v>
      </c>
    </row>
    <row r="177" spans="1:65" x14ac:dyDescent="0.2">
      <c r="A177" s="22">
        <v>6804</v>
      </c>
      <c r="B177" s="23" t="s">
        <v>193</v>
      </c>
      <c r="C177" s="24">
        <v>0.19807305010903548</v>
      </c>
      <c r="D177" s="25">
        <v>0.19653918825344294</v>
      </c>
      <c r="E177" s="26">
        <v>0.16639159949814353</v>
      </c>
      <c r="F177" s="24">
        <v>0.5060542702737526</v>
      </c>
      <c r="G177" s="25">
        <v>0.52600676704970795</v>
      </c>
      <c r="H177" s="26">
        <v>0.78963374441749634</v>
      </c>
      <c r="I177" s="24">
        <v>-9.3302868447252149E-2</v>
      </c>
      <c r="J177" s="25">
        <v>-5.1346089068429836E-2</v>
      </c>
      <c r="K177" s="26">
        <v>6.0416597693748575E-2</v>
      </c>
      <c r="L177" s="24">
        <v>0</v>
      </c>
      <c r="M177" s="25">
        <v>0</v>
      </c>
      <c r="N177" s="26">
        <v>0</v>
      </c>
      <c r="O177" s="27">
        <v>0</v>
      </c>
      <c r="P177" s="28">
        <v>0</v>
      </c>
      <c r="Q177" s="29">
        <v>0</v>
      </c>
      <c r="R177" s="24">
        <v>2.16016068019519E-3</v>
      </c>
      <c r="S177" s="25">
        <v>2.3273037324160889E-3</v>
      </c>
      <c r="T177" s="26">
        <v>2.2814262094583763E-2</v>
      </c>
      <c r="U177" s="27">
        <v>129.55339805825244</v>
      </c>
      <c r="V177" s="28">
        <v>129.55339805825244</v>
      </c>
      <c r="W177" s="29">
        <v>132.08080808080808</v>
      </c>
      <c r="X177" s="24">
        <v>0.6403592286833496</v>
      </c>
      <c r="Y177" s="25">
        <v>0.64162374388997023</v>
      </c>
      <c r="Z177" s="26">
        <v>0.78551392554547628</v>
      </c>
      <c r="AA177" s="24">
        <v>0.14165370501089633</v>
      </c>
      <c r="AB177" s="25">
        <v>0.15486890086499036</v>
      </c>
      <c r="AC177" s="26">
        <v>2.8932693368112663E-3</v>
      </c>
      <c r="AD177" s="27">
        <v>1382518</v>
      </c>
      <c r="AE177" s="28">
        <v>3037556</v>
      </c>
      <c r="AF177" s="29">
        <v>1311753</v>
      </c>
      <c r="AG177" s="27">
        <v>7498399</v>
      </c>
      <c r="AH177" s="28">
        <v>16200412</v>
      </c>
      <c r="AI177" s="29">
        <v>7299355</v>
      </c>
      <c r="AJ177" s="27">
        <v>-651239</v>
      </c>
      <c r="AK177" s="28">
        <v>-793565</v>
      </c>
      <c r="AL177" s="29">
        <v>476296</v>
      </c>
      <c r="AM177" s="30">
        <v>1777478</v>
      </c>
      <c r="AN177" s="30">
        <v>1673551</v>
      </c>
      <c r="AO177" s="30">
        <v>2136903</v>
      </c>
      <c r="AP177" s="27">
        <v>0</v>
      </c>
      <c r="AQ177" s="28">
        <v>0</v>
      </c>
      <c r="AR177" s="29">
        <v>0</v>
      </c>
      <c r="AS177" s="27">
        <v>9472</v>
      </c>
      <c r="AT177" s="28">
        <v>9597</v>
      </c>
      <c r="AU177" s="29">
        <v>109740</v>
      </c>
      <c r="AV177" s="27">
        <v>40263.299999999814</v>
      </c>
      <c r="AW177" s="28">
        <v>42761.80000000057</v>
      </c>
      <c r="AX177" s="29">
        <v>143375.63000000012</v>
      </c>
      <c r="AY177" s="27">
        <v>4668459.0599999996</v>
      </c>
      <c r="AZ177" s="28">
        <v>8583322.5</v>
      </c>
      <c r="BA177" s="29">
        <v>8453360.9699999988</v>
      </c>
      <c r="BB177" s="24">
        <v>5.5428363170942428E-4</v>
      </c>
      <c r="BC177" s="25">
        <v>5.9239234162686727E-4</v>
      </c>
      <c r="BD177" s="26">
        <v>6.1483186919981427E-3</v>
      </c>
      <c r="BE177" s="24">
        <v>2.356132617040325E-3</v>
      </c>
      <c r="BF177" s="25">
        <v>3.0165441594023098E-3</v>
      </c>
      <c r="BG177" s="26">
        <v>8.0327962994897976E-3</v>
      </c>
      <c r="BH177" s="24">
        <v>0.27318944702951486</v>
      </c>
      <c r="BI177" s="25">
        <v>0.60549301843330006</v>
      </c>
      <c r="BJ177" s="26">
        <v>0.47360996229322533</v>
      </c>
      <c r="BK177" s="24">
        <v>0.81642000000000003</v>
      </c>
      <c r="BL177" s="25">
        <v>0.62594000000000005</v>
      </c>
      <c r="BM177" s="26">
        <v>0.72119999999999995</v>
      </c>
    </row>
    <row r="178" spans="1:65" x14ac:dyDescent="0.2">
      <c r="A178" s="22">
        <v>6805</v>
      </c>
      <c r="B178" s="23" t="s">
        <v>194</v>
      </c>
      <c r="C178" s="24">
        <v>0.256573258411539</v>
      </c>
      <c r="D178" s="25">
        <v>0.17976868090078982</v>
      </c>
      <c r="E178" s="26">
        <v>0.27444714643694001</v>
      </c>
      <c r="F178" s="24">
        <v>0.43238473434948738</v>
      </c>
      <c r="G178" s="25">
        <v>0.21551801318686983</v>
      </c>
      <c r="H178" s="26">
        <v>1.096523084760652</v>
      </c>
      <c r="I178" s="24">
        <v>-1.8802488771179397E-2</v>
      </c>
      <c r="J178" s="25">
        <v>-0.184508674526213</v>
      </c>
      <c r="K178" s="26">
        <v>0.16740017412481947</v>
      </c>
      <c r="L178" s="24">
        <v>0</v>
      </c>
      <c r="M178" s="25">
        <v>0</v>
      </c>
      <c r="N178" s="26">
        <v>0</v>
      </c>
      <c r="O178" s="27">
        <v>0</v>
      </c>
      <c r="P178" s="28">
        <v>0</v>
      </c>
      <c r="Q178" s="29">
        <v>0</v>
      </c>
      <c r="R178" s="24">
        <v>0</v>
      </c>
      <c r="S178" s="25">
        <v>0</v>
      </c>
      <c r="T178" s="26">
        <v>0</v>
      </c>
      <c r="U178" s="27">
        <v>107.02985074626865</v>
      </c>
      <c r="V178" s="28">
        <v>107.02985074626865</v>
      </c>
      <c r="W178" s="29">
        <v>106.71212121212122</v>
      </c>
      <c r="X178" s="24">
        <v>0.3932848665954054</v>
      </c>
      <c r="Y178" s="25">
        <v>0.27349804324790056</v>
      </c>
      <c r="Z178" s="26">
        <v>0.59270707447927262</v>
      </c>
      <c r="AA178" s="24">
        <v>0.42298198393121073</v>
      </c>
      <c r="AB178" s="25">
        <v>0.56445827156860107</v>
      </c>
      <c r="AC178" s="26">
        <v>0.10821401623874016</v>
      </c>
      <c r="AD178" s="27">
        <v>2145228</v>
      </c>
      <c r="AE178" s="28">
        <v>3745641</v>
      </c>
      <c r="AF178" s="29">
        <v>1889806</v>
      </c>
      <c r="AG178" s="27">
        <v>8370139</v>
      </c>
      <c r="AH178" s="28">
        <v>24679672</v>
      </c>
      <c r="AI178" s="29">
        <v>5762516</v>
      </c>
      <c r="AJ178" s="27">
        <v>-157209</v>
      </c>
      <c r="AK178" s="28">
        <v>-3844403</v>
      </c>
      <c r="AL178" s="29">
        <v>1152695</v>
      </c>
      <c r="AM178" s="30">
        <v>11864866</v>
      </c>
      <c r="AN178" s="30">
        <v>8189450</v>
      </c>
      <c r="AO178" s="30">
        <v>9867544</v>
      </c>
      <c r="AP178" s="27">
        <v>0</v>
      </c>
      <c r="AQ178" s="28">
        <v>0</v>
      </c>
      <c r="AR178" s="29">
        <v>0</v>
      </c>
      <c r="AS178" s="27">
        <v>0</v>
      </c>
      <c r="AT178" s="28">
        <v>0</v>
      </c>
      <c r="AU178" s="29">
        <v>0</v>
      </c>
      <c r="AV178" s="27">
        <v>2109974.0499999998</v>
      </c>
      <c r="AW178" s="28">
        <v>134545.23999999976</v>
      </c>
      <c r="AX178" s="29">
        <v>2363820.5599999996</v>
      </c>
      <c r="AY178" s="27">
        <v>17572623.84</v>
      </c>
      <c r="AZ178" s="28">
        <v>10026499.210000001</v>
      </c>
      <c r="BA178" s="29">
        <v>8751987.0300000012</v>
      </c>
      <c r="BB178" s="24">
        <v>0</v>
      </c>
      <c r="BC178" s="25">
        <v>0</v>
      </c>
      <c r="BD178" s="26">
        <v>0</v>
      </c>
      <c r="BE178" s="24">
        <v>8.4785880670723221E-2</v>
      </c>
      <c r="BF178" s="25">
        <v>8.9645662898661469E-3</v>
      </c>
      <c r="BG178" s="26">
        <v>0.11221509183489684</v>
      </c>
      <c r="BH178" s="24">
        <v>0.7061273516466926</v>
      </c>
      <c r="BI178" s="25">
        <v>0.66805200112122676</v>
      </c>
      <c r="BJ178" s="26">
        <v>0.4154735959777236</v>
      </c>
      <c r="BK178" s="24">
        <v>0.75932999999999995</v>
      </c>
      <c r="BL178" s="25">
        <v>0.60004999999999997</v>
      </c>
      <c r="BM178" s="26">
        <v>0.67969999999999997</v>
      </c>
    </row>
    <row r="179" spans="1:65" x14ac:dyDescent="0.2">
      <c r="A179" s="22">
        <v>6806</v>
      </c>
      <c r="B179" s="23" t="s">
        <v>195</v>
      </c>
      <c r="C179" s="24">
        <v>0.30969451369420392</v>
      </c>
      <c r="D179" s="25">
        <v>0.26306469441102909</v>
      </c>
      <c r="E179" s="26">
        <v>0.28217143127102623</v>
      </c>
      <c r="F179" s="24">
        <v>1.2747258981717227</v>
      </c>
      <c r="G179" s="25">
        <v>0.86570140162530218</v>
      </c>
      <c r="H179" s="26">
        <v>1.0491233908213904</v>
      </c>
      <c r="I179" s="24">
        <v>0.33340009377944069</v>
      </c>
      <c r="J179" s="25">
        <v>8.373329938056602E-2</v>
      </c>
      <c r="K179" s="26">
        <v>7.2539296530811564E-2</v>
      </c>
      <c r="L179" s="24">
        <v>0.27707039978766768</v>
      </c>
      <c r="M179" s="25">
        <v>0.27572143148486933</v>
      </c>
      <c r="N179" s="26">
        <v>0.36188562778581546</v>
      </c>
      <c r="O179" s="27">
        <v>129</v>
      </c>
      <c r="P179" s="28">
        <v>145</v>
      </c>
      <c r="Q179" s="29">
        <v>173</v>
      </c>
      <c r="R179" s="24">
        <v>0</v>
      </c>
      <c r="S179" s="25">
        <v>0</v>
      </c>
      <c r="T179" s="26">
        <v>0</v>
      </c>
      <c r="U179" s="27">
        <v>454.2236842105263</v>
      </c>
      <c r="V179" s="28">
        <v>464.92929292929296</v>
      </c>
      <c r="W179" s="29">
        <v>443.88025889967639</v>
      </c>
      <c r="X179" s="24">
        <v>0.5959740878623152</v>
      </c>
      <c r="Y179" s="25">
        <v>0.56162134907261152</v>
      </c>
      <c r="Z179" s="26">
        <v>0.54321857995560963</v>
      </c>
      <c r="AA179" s="24">
        <v>7.4209449149032269E-2</v>
      </c>
      <c r="AB179" s="25">
        <v>0.11550772274561064</v>
      </c>
      <c r="AC179" s="26">
        <v>7.4145394764221467E-2</v>
      </c>
      <c r="AD179" s="27">
        <v>40398566</v>
      </c>
      <c r="AE179" s="28">
        <v>64901048</v>
      </c>
      <c r="AF179" s="29">
        <v>42454465</v>
      </c>
      <c r="AG179" s="27">
        <v>114198220</v>
      </c>
      <c r="AH179" s="28">
        <v>256055113</v>
      </c>
      <c r="AI179" s="29">
        <v>138045755</v>
      </c>
      <c r="AJ179" s="27">
        <v>43490876</v>
      </c>
      <c r="AK179" s="28">
        <v>20657956</v>
      </c>
      <c r="AL179" s="29">
        <v>10913993</v>
      </c>
      <c r="AM179" s="30">
        <v>90723098</v>
      </c>
      <c r="AN179" s="30">
        <v>71901089</v>
      </c>
      <c r="AO179" s="30">
        <v>86259885</v>
      </c>
      <c r="AP179" s="27">
        <v>17863428</v>
      </c>
      <c r="AQ179" s="28">
        <v>20044272</v>
      </c>
      <c r="AR179" s="29">
        <v>23660116</v>
      </c>
      <c r="AS179" s="27">
        <v>0</v>
      </c>
      <c r="AT179" s="28">
        <v>0</v>
      </c>
      <c r="AU179" s="29">
        <v>0</v>
      </c>
      <c r="AV179" s="27">
        <v>1331983.8399999999</v>
      </c>
      <c r="AW179" s="28">
        <v>2475942.0200000019</v>
      </c>
      <c r="AX179" s="29">
        <v>829683.69000000134</v>
      </c>
      <c r="AY179" s="27">
        <v>69404909.120000005</v>
      </c>
      <c r="AZ179" s="28">
        <v>99458777.420000002</v>
      </c>
      <c r="BA179" s="29">
        <v>119046558.93000001</v>
      </c>
      <c r="BB179" s="24">
        <v>0</v>
      </c>
      <c r="BC179" s="25">
        <v>0</v>
      </c>
      <c r="BD179" s="26">
        <v>0</v>
      </c>
      <c r="BE179" s="24">
        <v>4.5763607977361547E-3</v>
      </c>
      <c r="BF179" s="25">
        <v>1.2614088440810406E-2</v>
      </c>
      <c r="BG179" s="26">
        <v>2.6315201304193988E-3</v>
      </c>
      <c r="BH179" s="24">
        <v>0.23845777683549718</v>
      </c>
      <c r="BI179" s="25">
        <v>0.50670888270265557</v>
      </c>
      <c r="BJ179" s="26">
        <v>0.37758174598015032</v>
      </c>
      <c r="BK179" s="24">
        <v>0.85458999999999996</v>
      </c>
      <c r="BL179" s="25">
        <v>0.57238</v>
      </c>
      <c r="BM179" s="26">
        <v>0.71350000000000002</v>
      </c>
    </row>
    <row r="180" spans="1:65" x14ac:dyDescent="0.2">
      <c r="A180" s="22">
        <v>6807</v>
      </c>
      <c r="B180" s="23" t="s">
        <v>196</v>
      </c>
      <c r="C180" s="24">
        <v>0.19118349588604996</v>
      </c>
      <c r="D180" s="25">
        <v>0.24647968849291446</v>
      </c>
      <c r="E180" s="26">
        <v>0.19496332688797777</v>
      </c>
      <c r="F180" s="24">
        <v>0.50048931039632338</v>
      </c>
      <c r="G180" s="25">
        <v>0.63951917498214539</v>
      </c>
      <c r="H180" s="26">
        <v>0.7616978741684608</v>
      </c>
      <c r="I180" s="24">
        <v>6.5444699976916029E-2</v>
      </c>
      <c r="J180" s="25">
        <v>-2.0526656069430955E-2</v>
      </c>
      <c r="K180" s="26">
        <v>7.9444530277319569E-2</v>
      </c>
      <c r="L180" s="24">
        <v>0</v>
      </c>
      <c r="M180" s="25">
        <v>0</v>
      </c>
      <c r="N180" s="26">
        <v>0</v>
      </c>
      <c r="O180" s="27">
        <v>0</v>
      </c>
      <c r="P180" s="28">
        <v>0</v>
      </c>
      <c r="Q180" s="29">
        <v>0</v>
      </c>
      <c r="R180" s="24">
        <v>0</v>
      </c>
      <c r="S180" s="25">
        <v>0</v>
      </c>
      <c r="T180" s="26">
        <v>0</v>
      </c>
      <c r="U180" s="27">
        <v>121.73134328358209</v>
      </c>
      <c r="V180" s="28">
        <v>125.47692307692307</v>
      </c>
      <c r="W180" s="29">
        <v>143.375</v>
      </c>
      <c r="X180" s="24">
        <v>0.56256079822649152</v>
      </c>
      <c r="Y180" s="25">
        <v>0.55785971607551366</v>
      </c>
      <c r="Z180" s="26">
        <v>0.66247306768078129</v>
      </c>
      <c r="AA180" s="24">
        <v>0.17467895767612795</v>
      </c>
      <c r="AB180" s="25">
        <v>0.17720832531588737</v>
      </c>
      <c r="AC180" s="26">
        <v>4.2001879684863755E-2</v>
      </c>
      <c r="AD180" s="27">
        <v>1799698</v>
      </c>
      <c r="AE180" s="28">
        <v>4543542</v>
      </c>
      <c r="AF180" s="29">
        <v>1812096</v>
      </c>
      <c r="AG180" s="27">
        <v>8668016</v>
      </c>
      <c r="AH180" s="28">
        <v>18709200</v>
      </c>
      <c r="AI180" s="29">
        <v>8493977</v>
      </c>
      <c r="AJ180" s="27">
        <v>616061</v>
      </c>
      <c r="AK180" s="28">
        <v>-378383</v>
      </c>
      <c r="AL180" s="29">
        <v>738401</v>
      </c>
      <c r="AM180" s="30">
        <v>5620810</v>
      </c>
      <c r="AN180" s="30">
        <v>4651339</v>
      </c>
      <c r="AO180" s="30">
        <v>5402101</v>
      </c>
      <c r="AP180" s="27">
        <v>0</v>
      </c>
      <c r="AQ180" s="28">
        <v>0</v>
      </c>
      <c r="AR180" s="29">
        <v>0</v>
      </c>
      <c r="AS180" s="27">
        <v>0</v>
      </c>
      <c r="AT180" s="28">
        <v>0</v>
      </c>
      <c r="AU180" s="29">
        <v>0</v>
      </c>
      <c r="AV180" s="27">
        <v>205160.52999999991</v>
      </c>
      <c r="AW180" s="28">
        <v>3287341.8600000003</v>
      </c>
      <c r="AX180" s="29">
        <v>4201555.51</v>
      </c>
      <c r="AY180" s="27">
        <v>6503539.6100000003</v>
      </c>
      <c r="AZ180" s="28">
        <v>10587256.530000001</v>
      </c>
      <c r="BA180" s="29">
        <v>10120838.579999998</v>
      </c>
      <c r="BB180" s="24">
        <v>0</v>
      </c>
      <c r="BC180" s="25">
        <v>0</v>
      </c>
      <c r="BD180" s="26">
        <v>0</v>
      </c>
      <c r="BE180" s="24">
        <v>1.0574874048709649E-2</v>
      </c>
      <c r="BF180" s="25">
        <v>0.22270728067324722</v>
      </c>
      <c r="BG180" s="26">
        <v>0.20119651853933304</v>
      </c>
      <c r="BH180" s="24">
        <v>0.33522097182408478</v>
      </c>
      <c r="BI180" s="25">
        <v>0.71725400399530681</v>
      </c>
      <c r="BJ180" s="26">
        <v>0.48464847891407886</v>
      </c>
      <c r="BK180" s="24">
        <v>0.89459</v>
      </c>
      <c r="BL180" s="25">
        <v>0.69208999999999998</v>
      </c>
      <c r="BM180" s="26">
        <v>0.79330000000000001</v>
      </c>
    </row>
    <row r="181" spans="1:65" x14ac:dyDescent="0.2">
      <c r="A181" s="22">
        <v>6808</v>
      </c>
      <c r="B181" s="23" t="s">
        <v>197</v>
      </c>
      <c r="C181" s="24">
        <v>0.16518217346306116</v>
      </c>
      <c r="D181" s="25">
        <v>0.18753390831137301</v>
      </c>
      <c r="E181" s="26">
        <v>0.17647561021732913</v>
      </c>
      <c r="F181" s="24">
        <v>0.45748517401379635</v>
      </c>
      <c r="G181" s="25">
        <v>0.35317306639110535</v>
      </c>
      <c r="H181" s="26">
        <v>0.69308933732098355</v>
      </c>
      <c r="I181" s="24">
        <v>-0.31812756085694144</v>
      </c>
      <c r="J181" s="25">
        <v>-0.31921641498703579</v>
      </c>
      <c r="K181" s="26">
        <v>8.4096627982356398E-2</v>
      </c>
      <c r="L181" s="24">
        <v>0</v>
      </c>
      <c r="M181" s="25">
        <v>0</v>
      </c>
      <c r="N181" s="26">
        <v>0</v>
      </c>
      <c r="O181" s="27">
        <v>0</v>
      </c>
      <c r="P181" s="28">
        <v>0</v>
      </c>
      <c r="Q181" s="29">
        <v>0</v>
      </c>
      <c r="R181" s="24">
        <v>0</v>
      </c>
      <c r="S181" s="25">
        <v>0</v>
      </c>
      <c r="T181" s="26">
        <v>0</v>
      </c>
      <c r="U181" s="27">
        <v>100.51851851851852</v>
      </c>
      <c r="V181" s="28">
        <v>100.51851851851852</v>
      </c>
      <c r="W181" s="29">
        <v>92.988235294117644</v>
      </c>
      <c r="X181" s="24">
        <v>0.50785682151095124</v>
      </c>
      <c r="Y181" s="25">
        <v>0.40669713370982569</v>
      </c>
      <c r="Z181" s="26">
        <v>0.75328949375414123</v>
      </c>
      <c r="AA181" s="24">
        <v>0.2519382004836167</v>
      </c>
      <c r="AB181" s="25">
        <v>0.42219254527057681</v>
      </c>
      <c r="AC181" s="26">
        <v>1.0380926000270897E-2</v>
      </c>
      <c r="AD181" s="27">
        <v>680705</v>
      </c>
      <c r="AE181" s="28">
        <v>2034576</v>
      </c>
      <c r="AF181" s="29">
        <v>797899</v>
      </c>
      <c r="AG181" s="27">
        <v>5383602</v>
      </c>
      <c r="AH181" s="28">
        <v>14198074</v>
      </c>
      <c r="AI181" s="29">
        <v>4097515</v>
      </c>
      <c r="AJ181" s="27">
        <v>-1310983</v>
      </c>
      <c r="AK181" s="28">
        <v>-3463214</v>
      </c>
      <c r="AL181" s="29">
        <v>380226</v>
      </c>
      <c r="AM181" s="30">
        <v>3149458</v>
      </c>
      <c r="AN181" s="30">
        <v>1000764</v>
      </c>
      <c r="AO181" s="30">
        <v>1398023</v>
      </c>
      <c r="AP181" s="27">
        <v>0</v>
      </c>
      <c r="AQ181" s="28">
        <v>0</v>
      </c>
      <c r="AR181" s="29">
        <v>0</v>
      </c>
      <c r="AS181" s="27">
        <v>0</v>
      </c>
      <c r="AT181" s="28">
        <v>0</v>
      </c>
      <c r="AU181" s="29">
        <v>0</v>
      </c>
      <c r="AV181" s="27">
        <v>350260.43999999989</v>
      </c>
      <c r="AW181" s="28">
        <v>2755894.4599999995</v>
      </c>
      <c r="AX181" s="29">
        <v>3846703.1700000004</v>
      </c>
      <c r="AY181" s="27">
        <v>3912257.27</v>
      </c>
      <c r="AZ181" s="28">
        <v>5203001.28</v>
      </c>
      <c r="BA181" s="29">
        <v>5504922.3300000001</v>
      </c>
      <c r="BB181" s="24">
        <v>0</v>
      </c>
      <c r="BC181" s="25">
        <v>0</v>
      </c>
      <c r="BD181" s="26">
        <v>0</v>
      </c>
      <c r="BE181" s="24">
        <v>2.7004117224520525E-2</v>
      </c>
      <c r="BF181" s="25">
        <v>0.24885938481879746</v>
      </c>
      <c r="BG181" s="26">
        <v>0.38648816407974912</v>
      </c>
      <c r="BH181" s="24">
        <v>0.30162428258116353</v>
      </c>
      <c r="BI181" s="25">
        <v>0.46983500875872297</v>
      </c>
      <c r="BJ181" s="26">
        <v>0.55309370926151158</v>
      </c>
      <c r="BK181" s="24">
        <v>0.83701000000000003</v>
      </c>
      <c r="BL181" s="25">
        <v>0.77214000000000005</v>
      </c>
      <c r="BM181" s="26">
        <v>0.80459999999999998</v>
      </c>
    </row>
    <row r="182" spans="1:65" x14ac:dyDescent="0.2">
      <c r="A182" s="22">
        <v>6901</v>
      </c>
      <c r="B182" s="23" t="s">
        <v>198</v>
      </c>
      <c r="C182" s="24">
        <v>0.11363047690092107</v>
      </c>
      <c r="D182" s="25">
        <v>0.11099898524593002</v>
      </c>
      <c r="E182" s="26">
        <v>8.9260369708013612E-2</v>
      </c>
      <c r="F182" s="24">
        <v>0.2315930712125378</v>
      </c>
      <c r="G182" s="25">
        <v>0.27127694504533739</v>
      </c>
      <c r="H182" s="26">
        <v>0.54541763929767584</v>
      </c>
      <c r="I182" s="24">
        <v>-7.8061271183221259E-2</v>
      </c>
      <c r="J182" s="25">
        <v>-0.11658328054948269</v>
      </c>
      <c r="K182" s="26">
        <v>0.21393770609486878</v>
      </c>
      <c r="L182" s="24">
        <v>0</v>
      </c>
      <c r="M182" s="25">
        <v>0</v>
      </c>
      <c r="N182" s="26">
        <v>0</v>
      </c>
      <c r="O182" s="27">
        <v>0</v>
      </c>
      <c r="P182" s="28">
        <v>0</v>
      </c>
      <c r="Q182" s="29">
        <v>0</v>
      </c>
      <c r="R182" s="24">
        <v>0</v>
      </c>
      <c r="S182" s="25">
        <v>0</v>
      </c>
      <c r="T182" s="26">
        <v>0</v>
      </c>
      <c r="U182" s="27">
        <v>117.47368421052632</v>
      </c>
      <c r="V182" s="28">
        <v>117.47368421052632</v>
      </c>
      <c r="W182" s="29">
        <v>103.9047619047619</v>
      </c>
      <c r="X182" s="24">
        <v>0.45719670119279093</v>
      </c>
      <c r="Y182" s="25">
        <v>0.55572313061571188</v>
      </c>
      <c r="Z182" s="26">
        <v>0.68983879678266946</v>
      </c>
      <c r="AA182" s="24">
        <v>0.37255380146208805</v>
      </c>
      <c r="AB182" s="25">
        <v>0.26440046449068932</v>
      </c>
      <c r="AC182" s="26">
        <v>0.11042974805179297</v>
      </c>
      <c r="AD182" s="27">
        <v>526440</v>
      </c>
      <c r="AE182" s="28">
        <v>987310</v>
      </c>
      <c r="AF182" s="29">
        <v>537400</v>
      </c>
      <c r="AG182" s="27">
        <v>4830352</v>
      </c>
      <c r="AH182" s="28">
        <v>9935183</v>
      </c>
      <c r="AI182" s="29">
        <v>4455122</v>
      </c>
      <c r="AJ182" s="27">
        <v>-361651</v>
      </c>
      <c r="AK182" s="28">
        <v>-1036981</v>
      </c>
      <c r="AL182" s="29">
        <v>1288031</v>
      </c>
      <c r="AM182" s="30">
        <v>3191337</v>
      </c>
      <c r="AN182" s="30">
        <v>2524161</v>
      </c>
      <c r="AO182" s="30">
        <v>3791342</v>
      </c>
      <c r="AP182" s="27">
        <v>0</v>
      </c>
      <c r="AQ182" s="28">
        <v>0</v>
      </c>
      <c r="AR182" s="29">
        <v>0</v>
      </c>
      <c r="AS182" s="27">
        <v>0</v>
      </c>
      <c r="AT182" s="28">
        <v>0</v>
      </c>
      <c r="AU182" s="29">
        <v>0</v>
      </c>
      <c r="AV182" s="27">
        <v>128413.84000000008</v>
      </c>
      <c r="AW182" s="28">
        <v>26258.590000000244</v>
      </c>
      <c r="AX182" s="29">
        <v>145520.65000000002</v>
      </c>
      <c r="AY182" s="27">
        <v>2464181.5300000003</v>
      </c>
      <c r="AZ182" s="28">
        <v>1543791.1</v>
      </c>
      <c r="BA182" s="29">
        <v>3185042.99</v>
      </c>
      <c r="BB182" s="24">
        <v>0</v>
      </c>
      <c r="BC182" s="25">
        <v>0</v>
      </c>
      <c r="BD182" s="26">
        <v>0</v>
      </c>
      <c r="BE182" s="24">
        <v>1.1362036607827872E-2</v>
      </c>
      <c r="BF182" s="25">
        <v>3.3622387002675011E-3</v>
      </c>
      <c r="BG182" s="26">
        <v>1.1534734241369896E-2</v>
      </c>
      <c r="BH182" s="24">
        <v>0.21803039884324993</v>
      </c>
      <c r="BI182" s="25">
        <v>0.19767223531608086</v>
      </c>
      <c r="BJ182" s="26">
        <v>0.25246330632104896</v>
      </c>
      <c r="BK182" s="24">
        <v>0.74782999999999999</v>
      </c>
      <c r="BL182" s="25">
        <v>0.58645000000000003</v>
      </c>
      <c r="BM182" s="26">
        <v>0.66710000000000003</v>
      </c>
    </row>
    <row r="183" spans="1:65" x14ac:dyDescent="0.2">
      <c r="A183" s="22">
        <v>6902</v>
      </c>
      <c r="B183" s="23" t="s">
        <v>199</v>
      </c>
      <c r="C183" s="24">
        <v>0.1114177778620902</v>
      </c>
      <c r="D183" s="25">
        <v>0.17116054108266768</v>
      </c>
      <c r="E183" s="26">
        <v>0.11386400634276597</v>
      </c>
      <c r="F183" s="24">
        <v>0.30928795761787831</v>
      </c>
      <c r="G183" s="25">
        <v>0.56511993334337107</v>
      </c>
      <c r="H183" s="26">
        <v>0.51170395126466062</v>
      </c>
      <c r="I183" s="24">
        <v>2.8717748059223492E-2</v>
      </c>
      <c r="J183" s="25">
        <v>-3.2729272395726145E-3</v>
      </c>
      <c r="K183" s="26">
        <v>8.9446791011059609E-2</v>
      </c>
      <c r="L183" s="24">
        <v>0.47525263917666821</v>
      </c>
      <c r="M183" s="25">
        <v>0.41480831565452947</v>
      </c>
      <c r="N183" s="26">
        <v>0.39566979845130834</v>
      </c>
      <c r="O183" s="27">
        <v>277</v>
      </c>
      <c r="P183" s="28">
        <v>255</v>
      </c>
      <c r="Q183" s="29">
        <v>234</v>
      </c>
      <c r="R183" s="24">
        <v>0</v>
      </c>
      <c r="S183" s="25">
        <v>0</v>
      </c>
      <c r="T183" s="26">
        <v>0</v>
      </c>
      <c r="U183" s="27">
        <v>111.68831168831169</v>
      </c>
      <c r="V183" s="28">
        <v>111.68831168831169</v>
      </c>
      <c r="W183" s="29">
        <v>165.37864077669903</v>
      </c>
      <c r="X183" s="24">
        <v>0.58260046695127377</v>
      </c>
      <c r="Y183" s="25">
        <v>0.63251079017036127</v>
      </c>
      <c r="Z183" s="26">
        <v>0.6865692183687564</v>
      </c>
      <c r="AA183" s="24">
        <v>0.14037482070486201</v>
      </c>
      <c r="AB183" s="25">
        <v>0.11352746680374794</v>
      </c>
      <c r="AC183" s="26">
        <v>5.7540844300990823E-2</v>
      </c>
      <c r="AD183" s="27">
        <v>1256881</v>
      </c>
      <c r="AE183" s="28">
        <v>3768335</v>
      </c>
      <c r="AF183" s="29">
        <v>1375538</v>
      </c>
      <c r="AG183" s="27">
        <v>11066251</v>
      </c>
      <c r="AH183" s="28">
        <v>22192189</v>
      </c>
      <c r="AI183" s="29">
        <v>10884199</v>
      </c>
      <c r="AJ183" s="27">
        <v>323959</v>
      </c>
      <c r="AK183" s="28">
        <v>-72058</v>
      </c>
      <c r="AL183" s="29">
        <v>1080565</v>
      </c>
      <c r="AM183" s="30">
        <v>1587922</v>
      </c>
      <c r="AN183" s="30">
        <v>1024387</v>
      </c>
      <c r="AO183" s="30">
        <v>1841420</v>
      </c>
      <c r="AP183" s="27">
        <v>2382902</v>
      </c>
      <c r="AQ183" s="28">
        <v>2188958</v>
      </c>
      <c r="AR183" s="29">
        <v>1996678</v>
      </c>
      <c r="AS183" s="27">
        <v>0</v>
      </c>
      <c r="AT183" s="28">
        <v>0</v>
      </c>
      <c r="AU183" s="29">
        <v>0</v>
      </c>
      <c r="AV183" s="27">
        <v>126137.64000000073</v>
      </c>
      <c r="AW183" s="28">
        <v>526826.51000000024</v>
      </c>
      <c r="AX183" s="29">
        <v>160656.86000000016</v>
      </c>
      <c r="AY183" s="27">
        <v>6660100.5499999998</v>
      </c>
      <c r="AZ183" s="28">
        <v>10676136.6</v>
      </c>
      <c r="BA183" s="29">
        <v>15854029.859999999</v>
      </c>
      <c r="BB183" s="24">
        <v>0</v>
      </c>
      <c r="BC183" s="25">
        <v>0</v>
      </c>
      <c r="BD183" s="26">
        <v>0</v>
      </c>
      <c r="BE183" s="24">
        <v>5.8728854551271413E-3</v>
      </c>
      <c r="BF183" s="25">
        <v>2.7178517608218902E-2</v>
      </c>
      <c r="BG183" s="26">
        <v>7.0793192281478883E-3</v>
      </c>
      <c r="BH183" s="24">
        <v>0.31008989584535629</v>
      </c>
      <c r="BI183" s="25">
        <v>0.55077252390136966</v>
      </c>
      <c r="BJ183" s="26">
        <v>0.69860532834719069</v>
      </c>
      <c r="BK183" s="24">
        <v>0.73594999999999999</v>
      </c>
      <c r="BL183" s="25">
        <v>0.64868000000000003</v>
      </c>
      <c r="BM183" s="26">
        <v>0.69230000000000003</v>
      </c>
    </row>
    <row r="184" spans="1:65" x14ac:dyDescent="0.2">
      <c r="A184" s="22">
        <v>6903</v>
      </c>
      <c r="B184" s="23" t="s">
        <v>200</v>
      </c>
      <c r="C184" s="24">
        <v>0.11702021921730492</v>
      </c>
      <c r="D184" s="25">
        <v>0.14264892415085911</v>
      </c>
      <c r="E184" s="26">
        <v>0.12080176093500579</v>
      </c>
      <c r="F184" s="24">
        <v>0.75590709827437885</v>
      </c>
      <c r="G184" s="25">
        <v>0.61874094031300331</v>
      </c>
      <c r="H184" s="26">
        <v>0.85394189611946014</v>
      </c>
      <c r="I184" s="24">
        <v>0.15347984294792763</v>
      </c>
      <c r="J184" s="25">
        <v>-8.6809608461373811E-2</v>
      </c>
      <c r="K184" s="26">
        <v>0.13709337508886407</v>
      </c>
      <c r="L184" s="24">
        <v>0</v>
      </c>
      <c r="M184" s="25">
        <v>0</v>
      </c>
      <c r="N184" s="26">
        <v>0</v>
      </c>
      <c r="O184" s="27">
        <v>0</v>
      </c>
      <c r="P184" s="28">
        <v>0</v>
      </c>
      <c r="Q184" s="29">
        <v>0</v>
      </c>
      <c r="R184" s="24">
        <v>3.3308741305910525E-3</v>
      </c>
      <c r="S184" s="25">
        <v>7.0647134527821426E-2</v>
      </c>
      <c r="T184" s="26">
        <v>7.0558614126179087E-3</v>
      </c>
      <c r="U184" s="27">
        <v>288.25454545454545</v>
      </c>
      <c r="V184" s="28">
        <v>288.25454545454545</v>
      </c>
      <c r="W184" s="29">
        <v>286.16969696969699</v>
      </c>
      <c r="X184" s="24">
        <v>0.77003400234200692</v>
      </c>
      <c r="Y184" s="25">
        <v>0.73561798434310421</v>
      </c>
      <c r="Z184" s="26">
        <v>0.77311609245071078</v>
      </c>
      <c r="AA184" s="24">
        <v>1.4976834170257358E-2</v>
      </c>
      <c r="AB184" s="25">
        <v>7.8277757658876873E-2</v>
      </c>
      <c r="AC184" s="26">
        <v>2.5256362122165005E-2</v>
      </c>
      <c r="AD184" s="27">
        <v>2975143</v>
      </c>
      <c r="AE184" s="28">
        <v>6496236</v>
      </c>
      <c r="AF184" s="29">
        <v>3601219</v>
      </c>
      <c r="AG184" s="27">
        <v>21298827</v>
      </c>
      <c r="AH184" s="28">
        <v>49395232</v>
      </c>
      <c r="AI184" s="29">
        <v>25550869</v>
      </c>
      <c r="AJ184" s="27">
        <v>3902099</v>
      </c>
      <c r="AK184" s="28">
        <v>-3953312</v>
      </c>
      <c r="AL184" s="29">
        <v>4086888</v>
      </c>
      <c r="AM184" s="30">
        <v>12870009</v>
      </c>
      <c r="AN184" s="30">
        <v>5053785</v>
      </c>
      <c r="AO184" s="30">
        <v>9133677</v>
      </c>
      <c r="AP184" s="27">
        <v>0</v>
      </c>
      <c r="AQ184" s="28">
        <v>0</v>
      </c>
      <c r="AR184" s="29">
        <v>0</v>
      </c>
      <c r="AS184" s="27">
        <v>25703</v>
      </c>
      <c r="AT184" s="28">
        <v>667731</v>
      </c>
      <c r="AU184" s="29">
        <v>58570</v>
      </c>
      <c r="AV184" s="27">
        <v>380760.93999999954</v>
      </c>
      <c r="AW184" s="28">
        <v>595262.13000000059</v>
      </c>
      <c r="AX184" s="29">
        <v>236288.53999999934</v>
      </c>
      <c r="AY184" s="27">
        <v>5566175.5700000003</v>
      </c>
      <c r="AZ184" s="28">
        <v>4394488.6900000004</v>
      </c>
      <c r="BA184" s="29">
        <v>3626510.2600000002</v>
      </c>
      <c r="BB184" s="24">
        <v>5.0629504404262613E-4</v>
      </c>
      <c r="BC184" s="25">
        <v>1.3518126607847495E-2</v>
      </c>
      <c r="BD184" s="26">
        <v>1.1063865573712149E-3</v>
      </c>
      <c r="BE184" s="24">
        <v>7.5001897399918881E-3</v>
      </c>
      <c r="BF184" s="25">
        <v>1.509419383775391E-2</v>
      </c>
      <c r="BG184" s="26">
        <v>4.4634875246178912E-3</v>
      </c>
      <c r="BH184" s="24">
        <v>0.10964195250990702</v>
      </c>
      <c r="BI184" s="25">
        <v>0.11143202424900975</v>
      </c>
      <c r="BJ184" s="26">
        <v>6.8504732829653234E-2</v>
      </c>
      <c r="BK184" s="24">
        <v>0.84687000000000001</v>
      </c>
      <c r="BL184" s="25">
        <v>0.66420999999999997</v>
      </c>
      <c r="BM184" s="26">
        <v>0.75549999999999995</v>
      </c>
    </row>
    <row r="185" spans="1:65" x14ac:dyDescent="0.2">
      <c r="A185" s="22">
        <v>6904</v>
      </c>
      <c r="B185" s="23" t="s">
        <v>201</v>
      </c>
      <c r="C185" s="24">
        <v>9.1034167703160154E-2</v>
      </c>
      <c r="D185" s="25">
        <v>9.9283127967250195E-2</v>
      </c>
      <c r="E185" s="26">
        <v>9.3112329653115777E-2</v>
      </c>
      <c r="F185" s="24">
        <v>0.53900039093218455</v>
      </c>
      <c r="G185" s="25">
        <v>0.39093187412468433</v>
      </c>
      <c r="H185" s="26">
        <v>0.30966408352682345</v>
      </c>
      <c r="I185" s="24">
        <v>0.11499711549320478</v>
      </c>
      <c r="J185" s="25">
        <v>-4.9028030885053517E-2</v>
      </c>
      <c r="K185" s="26">
        <v>0.17034266126141179</v>
      </c>
      <c r="L185" s="24">
        <v>0</v>
      </c>
      <c r="M185" s="25">
        <v>0</v>
      </c>
      <c r="N185" s="26">
        <v>0</v>
      </c>
      <c r="O185" s="27">
        <v>0</v>
      </c>
      <c r="P185" s="28">
        <v>0</v>
      </c>
      <c r="Q185" s="29">
        <v>0</v>
      </c>
      <c r="R185" s="24">
        <v>0</v>
      </c>
      <c r="S185" s="25">
        <v>0</v>
      </c>
      <c r="T185" s="26">
        <v>0</v>
      </c>
      <c r="U185" s="27">
        <v>139.25</v>
      </c>
      <c r="V185" s="28">
        <v>139.25</v>
      </c>
      <c r="W185" s="29">
        <v>138.96428571428572</v>
      </c>
      <c r="X185" s="24">
        <v>0.70647663388611404</v>
      </c>
      <c r="Y185" s="25">
        <v>0.68890154939021642</v>
      </c>
      <c r="Z185" s="26">
        <v>0.59238379451967416</v>
      </c>
      <c r="AA185" s="24">
        <v>2.3991233024337508E-2</v>
      </c>
      <c r="AB185" s="25">
        <v>0.11040414207903616</v>
      </c>
      <c r="AC185" s="26">
        <v>0.21629461919692042</v>
      </c>
      <c r="AD185" s="27">
        <v>714196</v>
      </c>
      <c r="AE185" s="28">
        <v>1557860</v>
      </c>
      <c r="AF185" s="29">
        <v>915036</v>
      </c>
      <c r="AG185" s="27">
        <v>6206017</v>
      </c>
      <c r="AH185" s="28">
        <v>16069225</v>
      </c>
      <c r="AI185" s="29">
        <v>8339796</v>
      </c>
      <c r="AJ185" s="27">
        <v>902194</v>
      </c>
      <c r="AK185" s="28">
        <v>-769303</v>
      </c>
      <c r="AL185" s="29">
        <v>1673996</v>
      </c>
      <c r="AM185" s="30">
        <v>6280564</v>
      </c>
      <c r="AN185" s="30">
        <v>4692328</v>
      </c>
      <c r="AO185" s="30">
        <v>6273128</v>
      </c>
      <c r="AP185" s="27">
        <v>0</v>
      </c>
      <c r="AQ185" s="28">
        <v>0</v>
      </c>
      <c r="AR185" s="29">
        <v>0</v>
      </c>
      <c r="AS185" s="27">
        <v>0</v>
      </c>
      <c r="AT185" s="28">
        <v>0</v>
      </c>
      <c r="AU185" s="29">
        <v>0</v>
      </c>
      <c r="AV185" s="27">
        <v>974372.66</v>
      </c>
      <c r="AW185" s="28">
        <v>74108.289999999775</v>
      </c>
      <c r="AX185" s="29">
        <v>1038579.7599999997</v>
      </c>
      <c r="AY185" s="27">
        <v>1230380.0099999998</v>
      </c>
      <c r="AZ185" s="28">
        <v>4186725.8800000004</v>
      </c>
      <c r="BA185" s="29">
        <v>10132948.67</v>
      </c>
      <c r="BB185" s="24">
        <v>0</v>
      </c>
      <c r="BC185" s="25">
        <v>0</v>
      </c>
      <c r="BD185" s="26">
        <v>0</v>
      </c>
      <c r="BE185" s="24">
        <v>5.3851633371285873E-2</v>
      </c>
      <c r="BF185" s="25">
        <v>5.4172271212632184E-3</v>
      </c>
      <c r="BG185" s="26">
        <v>5.0352850622734736E-2</v>
      </c>
      <c r="BH185" s="24">
        <v>6.8000648956918638E-2</v>
      </c>
      <c r="BI185" s="25">
        <v>0.30604464070660226</v>
      </c>
      <c r="BJ185" s="26">
        <v>0.49126978052061093</v>
      </c>
      <c r="BK185" s="24">
        <v>0.62546000000000002</v>
      </c>
      <c r="BL185" s="25">
        <v>0.33354</v>
      </c>
      <c r="BM185" s="26">
        <v>0.47949999999999998</v>
      </c>
    </row>
    <row r="186" spans="1:65" x14ac:dyDescent="0.2">
      <c r="A186" s="22">
        <v>6905</v>
      </c>
      <c r="B186" s="23" t="s">
        <v>202</v>
      </c>
      <c r="C186" s="24">
        <v>0.15376410256890141</v>
      </c>
      <c r="D186" s="25">
        <v>0.14965436292808121</v>
      </c>
      <c r="E186" s="26">
        <v>0.15300927917107884</v>
      </c>
      <c r="F186" s="24">
        <v>0.63728967216552068</v>
      </c>
      <c r="G186" s="25">
        <v>0.50989489527812382</v>
      </c>
      <c r="H186" s="26">
        <v>0.57267866499025066</v>
      </c>
      <c r="I186" s="24">
        <v>0.19027227506297084</v>
      </c>
      <c r="J186" s="25">
        <v>2.4547555660668345E-2</v>
      </c>
      <c r="K186" s="26">
        <v>0.16650878763013327</v>
      </c>
      <c r="L186" s="24">
        <v>0.24512459882976761</v>
      </c>
      <c r="M186" s="25">
        <v>0.27054269852682117</v>
      </c>
      <c r="N186" s="26">
        <v>0.17393963219517961</v>
      </c>
      <c r="O186" s="27">
        <v>119</v>
      </c>
      <c r="P186" s="28">
        <v>131</v>
      </c>
      <c r="Q186" s="29">
        <v>85</v>
      </c>
      <c r="R186" s="24">
        <v>1.8151131897778294E-2</v>
      </c>
      <c r="S186" s="25">
        <v>7.4500699033204151E-2</v>
      </c>
      <c r="T186" s="26">
        <v>0.43979729397876371</v>
      </c>
      <c r="U186" s="27">
        <v>282.71830985915494</v>
      </c>
      <c r="V186" s="28">
        <v>282.71830985915494</v>
      </c>
      <c r="W186" s="29">
        <v>286.79710144927537</v>
      </c>
      <c r="X186" s="24">
        <v>0.65107302333930994</v>
      </c>
      <c r="Y186" s="25">
        <v>0.62286880045355897</v>
      </c>
      <c r="Z186" s="26">
        <v>0.6360639033178076</v>
      </c>
      <c r="AA186" s="24">
        <v>0.10252251803266441</v>
      </c>
      <c r="AB186" s="25">
        <v>0.13326040055290253</v>
      </c>
      <c r="AC186" s="26">
        <v>0.16616382809672112</v>
      </c>
      <c r="AD186" s="27">
        <v>7887234</v>
      </c>
      <c r="AE186" s="28">
        <v>14923434</v>
      </c>
      <c r="AF186" s="29">
        <v>9486252</v>
      </c>
      <c r="AG186" s="27">
        <v>43260662</v>
      </c>
      <c r="AH186" s="28">
        <v>99158887</v>
      </c>
      <c r="AI186" s="29">
        <v>51783352</v>
      </c>
      <c r="AJ186" s="27">
        <v>9759898</v>
      </c>
      <c r="AK186" s="28">
        <v>2447866</v>
      </c>
      <c r="AL186" s="29">
        <v>10323193</v>
      </c>
      <c r="AM186" s="30">
        <v>19798961</v>
      </c>
      <c r="AN186" s="30">
        <v>13112961</v>
      </c>
      <c r="AO186" s="30">
        <v>24952555</v>
      </c>
      <c r="AP186" s="27">
        <v>4790962</v>
      </c>
      <c r="AQ186" s="28">
        <v>5250756</v>
      </c>
      <c r="AR186" s="29">
        <v>3350285</v>
      </c>
      <c r="AS186" s="27">
        <v>354764</v>
      </c>
      <c r="AT186" s="28">
        <v>1445927</v>
      </c>
      <c r="AU186" s="29">
        <v>8471021</v>
      </c>
      <c r="AV186" s="27">
        <v>4243122.9300000006</v>
      </c>
      <c r="AW186" s="28">
        <v>14842538.239999998</v>
      </c>
      <c r="AX186" s="29">
        <v>10259195.779999997</v>
      </c>
      <c r="AY186" s="27">
        <v>41341511.060000002</v>
      </c>
      <c r="AZ186" s="28">
        <v>32961150.859999999</v>
      </c>
      <c r="BA186" s="29">
        <v>29404759.57</v>
      </c>
      <c r="BB186" s="24">
        <v>3.7407846020598608E-3</v>
      </c>
      <c r="BC186" s="25">
        <v>1.4581920428372698E-2</v>
      </c>
      <c r="BD186" s="26">
        <v>7.6323393317941773E-2</v>
      </c>
      <c r="BE186" s="24">
        <v>4.4741317949936084E-2</v>
      </c>
      <c r="BF186" s="25">
        <v>0.1987879682701871</v>
      </c>
      <c r="BG186" s="26">
        <v>9.2434741295377293E-2</v>
      </c>
      <c r="BH186" s="24">
        <v>0.43592272045397912</v>
      </c>
      <c r="BI186" s="25">
        <v>0.44145280984679686</v>
      </c>
      <c r="BJ186" s="26">
        <v>0.26493512766414135</v>
      </c>
      <c r="BK186" s="24">
        <v>0.84675</v>
      </c>
      <c r="BL186" s="25">
        <v>0.53261000000000003</v>
      </c>
      <c r="BM186" s="26">
        <v>0.68969999999999998</v>
      </c>
    </row>
    <row r="187" spans="1:65" x14ac:dyDescent="0.2">
      <c r="A187" s="22">
        <v>6906</v>
      </c>
      <c r="B187" s="23" t="s">
        <v>203</v>
      </c>
      <c r="C187" s="24">
        <v>0.11676043354396429</v>
      </c>
      <c r="D187" s="25">
        <v>0.12321112300635428</v>
      </c>
      <c r="E187" s="26">
        <v>0.10212991095418777</v>
      </c>
      <c r="F187" s="24">
        <v>0.50531293528954235</v>
      </c>
      <c r="G187" s="25">
        <v>0.54199459143473372</v>
      </c>
      <c r="H187" s="26">
        <v>0.50615436247698353</v>
      </c>
      <c r="I187" s="24">
        <v>0.11857581860089751</v>
      </c>
      <c r="J187" s="25">
        <v>7.2532195037074915E-3</v>
      </c>
      <c r="K187" s="26">
        <v>0.1284487495588115</v>
      </c>
      <c r="L187" s="24">
        <v>3.9439037687480423E-2</v>
      </c>
      <c r="M187" s="25">
        <v>7.4219541403471465E-2</v>
      </c>
      <c r="N187" s="26">
        <v>7.4741404839445358E-2</v>
      </c>
      <c r="O187" s="27">
        <v>20</v>
      </c>
      <c r="P187" s="28">
        <v>42</v>
      </c>
      <c r="Q187" s="29">
        <v>43</v>
      </c>
      <c r="R187" s="24">
        <v>0</v>
      </c>
      <c r="S187" s="25">
        <v>0</v>
      </c>
      <c r="T187" s="26">
        <v>0</v>
      </c>
      <c r="U187" s="27">
        <v>84.5631067961165</v>
      </c>
      <c r="V187" s="28">
        <v>84.5631067961165</v>
      </c>
      <c r="W187" s="29">
        <v>83.087378640776706</v>
      </c>
      <c r="X187" s="24">
        <v>0.58660528505701393</v>
      </c>
      <c r="Y187" s="25">
        <v>0.61534793590150783</v>
      </c>
      <c r="Z187" s="26">
        <v>0.71235032638383444</v>
      </c>
      <c r="AA187" s="24">
        <v>0.18247937653392726</v>
      </c>
      <c r="AB187" s="25">
        <v>0.15355029669839593</v>
      </c>
      <c r="AC187" s="26">
        <v>5.8585677676639948E-2</v>
      </c>
      <c r="AD187" s="27">
        <v>854325</v>
      </c>
      <c r="AE187" s="28">
        <v>1621605</v>
      </c>
      <c r="AF187" s="29">
        <v>725426</v>
      </c>
      <c r="AG187" s="27">
        <v>6253556</v>
      </c>
      <c r="AH187" s="28">
        <v>13025517</v>
      </c>
      <c r="AI187" s="29">
        <v>6119482</v>
      </c>
      <c r="AJ187" s="27">
        <v>867608</v>
      </c>
      <c r="AK187" s="28">
        <v>95461</v>
      </c>
      <c r="AL187" s="29">
        <v>912368</v>
      </c>
      <c r="AM187" s="30">
        <v>1748096</v>
      </c>
      <c r="AN187" s="30">
        <v>1083483</v>
      </c>
      <c r="AO187" s="30">
        <v>2019866</v>
      </c>
      <c r="AP187" s="27">
        <v>85000</v>
      </c>
      <c r="AQ187" s="28">
        <v>185000</v>
      </c>
      <c r="AR187" s="29">
        <v>185000</v>
      </c>
      <c r="AS187" s="27">
        <v>0</v>
      </c>
      <c r="AT187" s="28">
        <v>0</v>
      </c>
      <c r="AU187" s="29">
        <v>0</v>
      </c>
      <c r="AV187" s="27">
        <v>352088.75</v>
      </c>
      <c r="AW187" s="28">
        <v>817541.78000000026</v>
      </c>
      <c r="AX187" s="29">
        <v>2097444.9099999992</v>
      </c>
      <c r="AY187" s="27">
        <v>3184847.41</v>
      </c>
      <c r="AZ187" s="28">
        <v>11768704.08</v>
      </c>
      <c r="BA187" s="29">
        <v>10822608.59</v>
      </c>
      <c r="BB187" s="24">
        <v>0</v>
      </c>
      <c r="BC187" s="25">
        <v>0</v>
      </c>
      <c r="BD187" s="26">
        <v>0</v>
      </c>
      <c r="BE187" s="24">
        <v>3.1128652616742587E-2</v>
      </c>
      <c r="BF187" s="25">
        <v>7.9698529761565912E-2</v>
      </c>
      <c r="BG187" s="26">
        <v>0.15849173490176385</v>
      </c>
      <c r="BH187" s="24">
        <v>0.28157675774424024</v>
      </c>
      <c r="BI187" s="25">
        <v>1.1472788734723036</v>
      </c>
      <c r="BJ187" s="26">
        <v>0.81780169930271629</v>
      </c>
      <c r="BK187" s="24">
        <v>0.82137000000000004</v>
      </c>
      <c r="BL187" s="25">
        <v>0.56389999999999996</v>
      </c>
      <c r="BM187" s="26">
        <v>0.69259999999999999</v>
      </c>
    </row>
    <row r="188" spans="1:65" x14ac:dyDescent="0.2">
      <c r="A188" s="22">
        <v>6907</v>
      </c>
      <c r="B188" s="23" t="s">
        <v>204</v>
      </c>
      <c r="C188" s="24">
        <v>0.12903258494457887</v>
      </c>
      <c r="D188" s="25">
        <v>0.1443883878489288</v>
      </c>
      <c r="E188" s="26">
        <v>0.16899382964091592</v>
      </c>
      <c r="F188" s="24">
        <v>0.41698855511930411</v>
      </c>
      <c r="G188" s="25">
        <v>0.43760349112435287</v>
      </c>
      <c r="H188" s="26">
        <v>0.72060024686745705</v>
      </c>
      <c r="I188" s="24">
        <v>7.8755867272750163E-2</v>
      </c>
      <c r="J188" s="25">
        <v>4.0835975589588042E-2</v>
      </c>
      <c r="K188" s="26">
        <v>3.7609006040825697E-2</v>
      </c>
      <c r="L188" s="24">
        <v>1.6339928769848884</v>
      </c>
      <c r="M188" s="25">
        <v>1.4272308648834355</v>
      </c>
      <c r="N188" s="26">
        <v>1.2755253860153701</v>
      </c>
      <c r="O188" s="27">
        <v>792</v>
      </c>
      <c r="P188" s="28">
        <v>773</v>
      </c>
      <c r="Q188" s="29">
        <v>826</v>
      </c>
      <c r="R188" s="24">
        <v>0.19259440881685219</v>
      </c>
      <c r="S188" s="25">
        <v>0.26031281814674789</v>
      </c>
      <c r="T188" s="26">
        <v>0.23672693632484748</v>
      </c>
      <c r="U188" s="27">
        <v>173.71851851851852</v>
      </c>
      <c r="V188" s="28">
        <v>186.12698412698413</v>
      </c>
      <c r="W188" s="29">
        <v>134.42105263157896</v>
      </c>
      <c r="X188" s="24">
        <v>0.52754310477834787</v>
      </c>
      <c r="Y188" s="25">
        <v>0.54366577408067773</v>
      </c>
      <c r="Z188" s="26">
        <v>0.60205821749721034</v>
      </c>
      <c r="AA188" s="24">
        <v>0.1296658741513827</v>
      </c>
      <c r="AB188" s="25">
        <v>0.13379335345806193</v>
      </c>
      <c r="AC188" s="26">
        <v>8.3565233511745357E-2</v>
      </c>
      <c r="AD188" s="27">
        <v>2202903</v>
      </c>
      <c r="AE188" s="28">
        <v>4758289</v>
      </c>
      <c r="AF188" s="29">
        <v>2951085</v>
      </c>
      <c r="AG188" s="27">
        <v>15944172</v>
      </c>
      <c r="AH188" s="28">
        <v>32555967</v>
      </c>
      <c r="AI188" s="29">
        <v>15794152</v>
      </c>
      <c r="AJ188" s="27">
        <v>1344556</v>
      </c>
      <c r="AK188" s="28">
        <v>1345741</v>
      </c>
      <c r="AL188" s="29">
        <v>656754</v>
      </c>
      <c r="AM188" s="30">
        <v>2573760</v>
      </c>
      <c r="AN188" s="30">
        <v>2317798</v>
      </c>
      <c r="AO188" s="30">
        <v>3405261</v>
      </c>
      <c r="AP188" s="27">
        <v>9283207</v>
      </c>
      <c r="AQ188" s="28">
        <v>9060474</v>
      </c>
      <c r="AR188" s="29">
        <v>9492951</v>
      </c>
      <c r="AS188" s="27">
        <v>1094187</v>
      </c>
      <c r="AT188" s="28">
        <v>1652541</v>
      </c>
      <c r="AU188" s="29">
        <v>1761813</v>
      </c>
      <c r="AV188" s="27">
        <v>1400079.76</v>
      </c>
      <c r="AW188" s="28">
        <v>2451067.100000001</v>
      </c>
      <c r="AX188" s="29">
        <v>13817356.019999996</v>
      </c>
      <c r="AY188" s="27">
        <v>13616092.83</v>
      </c>
      <c r="AZ188" s="28">
        <v>5600648.1699999981</v>
      </c>
      <c r="BA188" s="29">
        <v>6574131.3999999994</v>
      </c>
      <c r="BB188" s="24">
        <v>3.5076607811296248E-2</v>
      </c>
      <c r="BC188" s="25">
        <v>5.0760003534835875E-2</v>
      </c>
      <c r="BD188" s="26">
        <v>5.3740930484188237E-2</v>
      </c>
      <c r="BE188" s="24">
        <v>4.488268334942179E-2</v>
      </c>
      <c r="BF188" s="25">
        <v>9.3429522829494571E-2</v>
      </c>
      <c r="BG188" s="26">
        <v>0.42147354421048072</v>
      </c>
      <c r="BH188" s="24">
        <v>0.43649426297343402</v>
      </c>
      <c r="BI188" s="25">
        <v>0.21348492909842476</v>
      </c>
      <c r="BJ188" s="26">
        <v>0.20053203067596792</v>
      </c>
      <c r="BK188" s="24">
        <v>0.86407999999999996</v>
      </c>
      <c r="BL188" s="25">
        <v>0.78986000000000001</v>
      </c>
      <c r="BM188" s="26">
        <v>0.82699999999999996</v>
      </c>
    </row>
    <row r="189" spans="1:65" x14ac:dyDescent="0.2">
      <c r="A189" s="22">
        <v>7001</v>
      </c>
      <c r="B189" s="23" t="s">
        <v>205</v>
      </c>
      <c r="C189" s="24">
        <v>0.11971777350821292</v>
      </c>
      <c r="D189" s="25">
        <v>0.1154250747232821</v>
      </c>
      <c r="E189" s="26">
        <v>8.0350784408347128E-2</v>
      </c>
      <c r="F189" s="24">
        <v>0.6193390983446404</v>
      </c>
      <c r="G189" s="25">
        <v>0.33768595394411477</v>
      </c>
      <c r="H189" s="26">
        <v>0.1950355219256506</v>
      </c>
      <c r="I189" s="24">
        <v>0.21503849799359215</v>
      </c>
      <c r="J189" s="25">
        <v>-2.5742133868189555E-2</v>
      </c>
      <c r="K189" s="26">
        <v>0.11713639249330421</v>
      </c>
      <c r="L189" s="24">
        <v>0</v>
      </c>
      <c r="M189" s="25">
        <v>0</v>
      </c>
      <c r="N189" s="26">
        <v>0.13306047093155698</v>
      </c>
      <c r="O189" s="27">
        <v>0</v>
      </c>
      <c r="P189" s="28">
        <v>0</v>
      </c>
      <c r="Q189" s="29">
        <v>56</v>
      </c>
      <c r="R189" s="24">
        <v>3.1906239963882623E-3</v>
      </c>
      <c r="S189" s="25">
        <v>2.8159811007483827E-3</v>
      </c>
      <c r="T189" s="26">
        <v>2.7538184199285515E-3</v>
      </c>
      <c r="U189" s="27">
        <v>152.64423076923077</v>
      </c>
      <c r="V189" s="28">
        <v>152.64423076923077</v>
      </c>
      <c r="W189" s="29">
        <v>150.65714285714284</v>
      </c>
      <c r="X189" s="24">
        <v>0.72463494453648958</v>
      </c>
      <c r="Y189" s="25">
        <v>0.61713392856045246</v>
      </c>
      <c r="Z189" s="26">
        <v>0.50015444145918797</v>
      </c>
      <c r="AA189" s="24">
        <v>7.7369688307828449E-2</v>
      </c>
      <c r="AB189" s="25">
        <v>0.2058973173702198</v>
      </c>
      <c r="AC189" s="26">
        <v>0.37600358471251677</v>
      </c>
      <c r="AD189" s="27">
        <v>1914558</v>
      </c>
      <c r="AE189" s="28">
        <v>3762272</v>
      </c>
      <c r="AF189" s="29">
        <v>1952281</v>
      </c>
      <c r="AG189" s="27">
        <v>12455847</v>
      </c>
      <c r="AH189" s="28">
        <v>33351639</v>
      </c>
      <c r="AI189" s="29">
        <v>21069472</v>
      </c>
      <c r="AJ189" s="27">
        <v>3438952</v>
      </c>
      <c r="AK189" s="28">
        <v>-839063</v>
      </c>
      <c r="AL189" s="29">
        <v>2846060</v>
      </c>
      <c r="AM189" s="30">
        <v>13185011</v>
      </c>
      <c r="AN189" s="30">
        <v>8909847</v>
      </c>
      <c r="AO189" s="30">
        <v>12611508</v>
      </c>
      <c r="AP189" s="27">
        <v>0</v>
      </c>
      <c r="AQ189" s="28">
        <v>0</v>
      </c>
      <c r="AR189" s="29">
        <v>883746</v>
      </c>
      <c r="AS189" s="27">
        <v>18290</v>
      </c>
      <c r="AT189" s="28">
        <v>18290</v>
      </c>
      <c r="AU189" s="29">
        <v>18290</v>
      </c>
      <c r="AV189" s="27">
        <v>82526.040000000503</v>
      </c>
      <c r="AW189" s="28">
        <v>5406427.1799999997</v>
      </c>
      <c r="AX189" s="29">
        <v>866737.06000000052</v>
      </c>
      <c r="AY189" s="27">
        <v>18979201.41</v>
      </c>
      <c r="AZ189" s="28">
        <v>14223396.710000001</v>
      </c>
      <c r="BA189" s="29">
        <v>11375662.790000001</v>
      </c>
      <c r="BB189" s="24">
        <v>4.8516277277341853E-4</v>
      </c>
      <c r="BC189" s="25">
        <v>5.4839883581133753E-4</v>
      </c>
      <c r="BD189" s="26">
        <v>3.8648655364889795E-4</v>
      </c>
      <c r="BE189" s="24">
        <v>2.1890958115041168E-3</v>
      </c>
      <c r="BF189" s="25">
        <v>0.20089993458076413</v>
      </c>
      <c r="BG189" s="26">
        <v>1.83150475253788E-2</v>
      </c>
      <c r="BH189" s="24">
        <v>0.50344461351015712</v>
      </c>
      <c r="BI189" s="25">
        <v>0.52853379383818055</v>
      </c>
      <c r="BJ189" s="26">
        <v>0.24037948098300205</v>
      </c>
      <c r="BK189" s="24">
        <v>0.73863000000000001</v>
      </c>
      <c r="BL189" s="25">
        <v>0.64429999999999998</v>
      </c>
      <c r="BM189" s="26">
        <v>0.6915</v>
      </c>
    </row>
    <row r="190" spans="1:65" x14ac:dyDescent="0.2">
      <c r="A190" s="22">
        <v>7002</v>
      </c>
      <c r="B190" s="23" t="s">
        <v>206</v>
      </c>
      <c r="C190" s="24">
        <v>0.18645814484912548</v>
      </c>
      <c r="D190" s="25">
        <v>0.18382705700224714</v>
      </c>
      <c r="E190" s="26">
        <v>0.22371955955499806</v>
      </c>
      <c r="F190" s="24">
        <v>1.0198538964182218</v>
      </c>
      <c r="G190" s="25">
        <v>0.74607888829961055</v>
      </c>
      <c r="H190" s="26">
        <v>1.3579481383410528</v>
      </c>
      <c r="I190" s="24">
        <v>0.23665322779532552</v>
      </c>
      <c r="J190" s="25">
        <v>3.5322969040946631E-2</v>
      </c>
      <c r="K190" s="26">
        <v>0.20302532909223805</v>
      </c>
      <c r="L190" s="24">
        <v>0.42416489424582804</v>
      </c>
      <c r="M190" s="25">
        <v>0.36753739586350448</v>
      </c>
      <c r="N190" s="26">
        <v>0.32741590456479297</v>
      </c>
      <c r="O190" s="27">
        <v>174</v>
      </c>
      <c r="P190" s="28">
        <v>162</v>
      </c>
      <c r="Q190" s="29">
        <v>152</v>
      </c>
      <c r="R190" s="24">
        <v>0</v>
      </c>
      <c r="S190" s="25">
        <v>0</v>
      </c>
      <c r="T190" s="26">
        <v>0</v>
      </c>
      <c r="U190" s="27">
        <v>196.7672131147541</v>
      </c>
      <c r="V190" s="28">
        <v>195.48534201954396</v>
      </c>
      <c r="W190" s="29">
        <v>195.07189542483661</v>
      </c>
      <c r="X190" s="24">
        <v>0.68958647611995871</v>
      </c>
      <c r="Y190" s="25">
        <v>0.67520727031301486</v>
      </c>
      <c r="Z190" s="26">
        <v>0.68031935300360424</v>
      </c>
      <c r="AA190" s="24">
        <v>4.9128738113743103E-2</v>
      </c>
      <c r="AB190" s="25">
        <v>4.7684021245686631E-2</v>
      </c>
      <c r="AC190" s="26">
        <v>1.1223683768083852E-2</v>
      </c>
      <c r="AD190" s="27">
        <v>5530530</v>
      </c>
      <c r="AE190" s="28">
        <v>10445235</v>
      </c>
      <c r="AF190" s="29">
        <v>7360231</v>
      </c>
      <c r="AG190" s="27">
        <v>22840664</v>
      </c>
      <c r="AH190" s="28">
        <v>55130061</v>
      </c>
      <c r="AI190" s="29">
        <v>25427035</v>
      </c>
      <c r="AJ190" s="27">
        <v>7019365</v>
      </c>
      <c r="AK190" s="28">
        <v>2007086</v>
      </c>
      <c r="AL190" s="29">
        <v>6679404</v>
      </c>
      <c r="AM190" s="30">
        <v>14802117</v>
      </c>
      <c r="AN190" s="30">
        <v>9499658</v>
      </c>
      <c r="AO190" s="30">
        <v>15903967</v>
      </c>
      <c r="AP190" s="27">
        <v>5209863</v>
      </c>
      <c r="AQ190" s="28">
        <v>4866355</v>
      </c>
      <c r="AR190" s="29">
        <v>4522848</v>
      </c>
      <c r="AS190" s="27">
        <v>0</v>
      </c>
      <c r="AT190" s="28">
        <v>0</v>
      </c>
      <c r="AU190" s="29">
        <v>0</v>
      </c>
      <c r="AV190" s="27">
        <v>1921257.3099999987</v>
      </c>
      <c r="AW190" s="28">
        <v>1488969.3200000008</v>
      </c>
      <c r="AX190" s="29">
        <v>3185995.25</v>
      </c>
      <c r="AY190" s="27">
        <v>7571102.0300000003</v>
      </c>
      <c r="AZ190" s="28">
        <v>6031254.8499999996</v>
      </c>
      <c r="BA190" s="29">
        <v>5699331.4499999993</v>
      </c>
      <c r="BB190" s="24">
        <v>0</v>
      </c>
      <c r="BC190" s="25">
        <v>0</v>
      </c>
      <c r="BD190" s="26">
        <v>0</v>
      </c>
      <c r="BE190" s="24">
        <v>3.3234657150246004E-2</v>
      </c>
      <c r="BF190" s="25">
        <v>3.0627028619645332E-2</v>
      </c>
      <c r="BG190" s="26">
        <v>4.935374994332288E-2</v>
      </c>
      <c r="BH190" s="24">
        <v>0.13096787135533747</v>
      </c>
      <c r="BI190" s="25">
        <v>0.12405857691099009</v>
      </c>
      <c r="BJ190" s="26">
        <v>8.8287444630501491E-2</v>
      </c>
      <c r="BK190" s="24">
        <v>0.87122999999999995</v>
      </c>
      <c r="BL190" s="25">
        <v>0.72809999999999997</v>
      </c>
      <c r="BM190" s="26">
        <v>0.79969999999999997</v>
      </c>
    </row>
    <row r="191" spans="1:65" x14ac:dyDescent="0.2">
      <c r="A191" s="22">
        <v>7003</v>
      </c>
      <c r="B191" s="23" t="s">
        <v>207</v>
      </c>
      <c r="C191" s="24">
        <v>0.20544830311705292</v>
      </c>
      <c r="D191" s="25">
        <v>0.18941032015613996</v>
      </c>
      <c r="E191" s="26">
        <v>0.21192764106174788</v>
      </c>
      <c r="F191" s="24">
        <v>1.0371721846137563</v>
      </c>
      <c r="G191" s="25">
        <v>0.84004306502957704</v>
      </c>
      <c r="H191" s="26">
        <v>1.3239722774620006</v>
      </c>
      <c r="I191" s="24">
        <v>0.16715959938318378</v>
      </c>
      <c r="J191" s="25">
        <v>3.4891971410732976E-2</v>
      </c>
      <c r="K191" s="26">
        <v>0.20466594134968033</v>
      </c>
      <c r="L191" s="24">
        <v>0.47200858049324446</v>
      </c>
      <c r="M191" s="25">
        <v>0.3455444588424238</v>
      </c>
      <c r="N191" s="26">
        <v>0.33357829835133518</v>
      </c>
      <c r="O191" s="27">
        <v>187</v>
      </c>
      <c r="P191" s="28">
        <v>141</v>
      </c>
      <c r="Q191" s="29">
        <v>141</v>
      </c>
      <c r="R191" s="24">
        <v>0</v>
      </c>
      <c r="S191" s="25">
        <v>0</v>
      </c>
      <c r="T191" s="26">
        <v>0</v>
      </c>
      <c r="U191" s="27">
        <v>401.34538878842676</v>
      </c>
      <c r="V191" s="28">
        <v>405.7477148080439</v>
      </c>
      <c r="W191" s="29">
        <v>383.57638888888891</v>
      </c>
      <c r="X191" s="24">
        <v>0.67823152155413824</v>
      </c>
      <c r="Y191" s="25">
        <v>0.65881364170178303</v>
      </c>
      <c r="Z191" s="26">
        <v>0.71091549770266727</v>
      </c>
      <c r="AA191" s="24">
        <v>4.8559893149184082E-2</v>
      </c>
      <c r="AB191" s="25">
        <v>5.9566324093365916E-2</v>
      </c>
      <c r="AC191" s="26">
        <v>1.3004627298099824E-2</v>
      </c>
      <c r="AD191" s="27">
        <v>21950681</v>
      </c>
      <c r="AE191" s="28">
        <v>37919633</v>
      </c>
      <c r="AF191" s="29">
        <v>26253323</v>
      </c>
      <c r="AG191" s="27">
        <v>90514985</v>
      </c>
      <c r="AH191" s="28">
        <v>198555462</v>
      </c>
      <c r="AI191" s="29">
        <v>98919713</v>
      </c>
      <c r="AJ191" s="27">
        <v>17859807</v>
      </c>
      <c r="AK191" s="28">
        <v>6985315</v>
      </c>
      <c r="AL191" s="29">
        <v>25353753</v>
      </c>
      <c r="AM191" s="30">
        <v>51875743</v>
      </c>
      <c r="AN191" s="30">
        <v>36101629</v>
      </c>
      <c r="AO191" s="30">
        <v>61158277</v>
      </c>
      <c r="AP191" s="27">
        <v>20797989</v>
      </c>
      <c r="AQ191" s="28">
        <v>15661814</v>
      </c>
      <c r="AR191" s="29">
        <v>15622772</v>
      </c>
      <c r="AS191" s="27">
        <v>0</v>
      </c>
      <c r="AT191" s="28">
        <v>0</v>
      </c>
      <c r="AU191" s="29">
        <v>0</v>
      </c>
      <c r="AV191" s="27">
        <v>1452763.5800000019</v>
      </c>
      <c r="AW191" s="28">
        <v>2032503.9999999991</v>
      </c>
      <c r="AX191" s="29">
        <v>795818.50000000186</v>
      </c>
      <c r="AY191" s="27">
        <v>65298884.490000002</v>
      </c>
      <c r="AZ191" s="28">
        <v>75229097.560000002</v>
      </c>
      <c r="BA191" s="29">
        <v>97128801.75999999</v>
      </c>
      <c r="BB191" s="24">
        <v>0</v>
      </c>
      <c r="BC191" s="25">
        <v>0</v>
      </c>
      <c r="BD191" s="26">
        <v>0</v>
      </c>
      <c r="BE191" s="24">
        <v>6.7794505949128787E-3</v>
      </c>
      <c r="BF191" s="25">
        <v>1.2761501166489947E-2</v>
      </c>
      <c r="BG191" s="26">
        <v>3.3257722876591164E-3</v>
      </c>
      <c r="BH191" s="24">
        <v>0.30472305845034836</v>
      </c>
      <c r="BI191" s="25">
        <v>0.4723416122506654</v>
      </c>
      <c r="BJ191" s="26">
        <v>0.4059069715355238</v>
      </c>
      <c r="BK191" s="24">
        <v>0.82016</v>
      </c>
      <c r="BL191" s="25">
        <v>0.73089000000000004</v>
      </c>
      <c r="BM191" s="26">
        <v>0.77549999999999997</v>
      </c>
    </row>
    <row r="192" spans="1:65" x14ac:dyDescent="0.2">
      <c r="A192" s="22">
        <v>7004</v>
      </c>
      <c r="B192" s="23" t="s">
        <v>208</v>
      </c>
      <c r="C192" s="24">
        <v>8.918837754867788E-2</v>
      </c>
      <c r="D192" s="25">
        <v>8.5186621480234731E-2</v>
      </c>
      <c r="E192" s="26">
        <v>8.9548289857463867E-2</v>
      </c>
      <c r="F192" s="24">
        <v>0.61103828258448178</v>
      </c>
      <c r="G192" s="25">
        <v>0.38657390533374225</v>
      </c>
      <c r="H192" s="26">
        <v>0.52352729602345649</v>
      </c>
      <c r="I192" s="24">
        <v>0.24072134790939662</v>
      </c>
      <c r="J192" s="25">
        <v>5.3376273711504343E-2</v>
      </c>
      <c r="K192" s="26">
        <v>0.2014094550916094</v>
      </c>
      <c r="L192" s="24">
        <v>4.2063244190803081E-2</v>
      </c>
      <c r="M192" s="25">
        <v>0</v>
      </c>
      <c r="N192" s="26">
        <v>0</v>
      </c>
      <c r="O192" s="27">
        <v>15</v>
      </c>
      <c r="P192" s="28">
        <v>0</v>
      </c>
      <c r="Q192" s="29">
        <v>0</v>
      </c>
      <c r="R192" s="24">
        <v>0</v>
      </c>
      <c r="S192" s="25">
        <v>0</v>
      </c>
      <c r="T192" s="26">
        <v>0</v>
      </c>
      <c r="U192" s="27">
        <v>261.32673267326732</v>
      </c>
      <c r="V192" s="28">
        <v>272.10309278350513</v>
      </c>
      <c r="W192" s="29">
        <v>274.25</v>
      </c>
      <c r="X192" s="24">
        <v>0.75443268181473133</v>
      </c>
      <c r="Y192" s="25">
        <v>0.67541786459732822</v>
      </c>
      <c r="Z192" s="26">
        <v>0.7185574176046936</v>
      </c>
      <c r="AA192" s="24">
        <v>3.6140114649683391E-2</v>
      </c>
      <c r="AB192" s="25">
        <v>0.11589904751052296</v>
      </c>
      <c r="AC192" s="26">
        <v>7.7534986298461048E-2</v>
      </c>
      <c r="AD192" s="27">
        <v>1593652</v>
      </c>
      <c r="AE192" s="28">
        <v>2996252</v>
      </c>
      <c r="AF192" s="29">
        <v>1762674</v>
      </c>
      <c r="AG192" s="27">
        <v>13674002</v>
      </c>
      <c r="AH192" s="28">
        <v>33014223</v>
      </c>
      <c r="AI192" s="29">
        <v>15625617</v>
      </c>
      <c r="AJ192" s="27">
        <v>4301301</v>
      </c>
      <c r="AK192" s="28">
        <v>1877393</v>
      </c>
      <c r="AL192" s="29">
        <v>3964556</v>
      </c>
      <c r="AM192" s="30">
        <v>11419122</v>
      </c>
      <c r="AN192" s="30">
        <v>9011517</v>
      </c>
      <c r="AO192" s="30">
        <v>12981618</v>
      </c>
      <c r="AP192" s="27">
        <v>200000</v>
      </c>
      <c r="AQ192" s="28">
        <v>0</v>
      </c>
      <c r="AR192" s="29">
        <v>0</v>
      </c>
      <c r="AS192" s="27">
        <v>0</v>
      </c>
      <c r="AT192" s="28">
        <v>0</v>
      </c>
      <c r="AU192" s="29">
        <v>0</v>
      </c>
      <c r="AV192" s="27">
        <v>316733.41000000061</v>
      </c>
      <c r="AW192" s="28">
        <v>592808.1799999997</v>
      </c>
      <c r="AX192" s="29">
        <v>3066251.05</v>
      </c>
      <c r="AY192" s="27">
        <v>8426369.6699999999</v>
      </c>
      <c r="AZ192" s="28">
        <v>18255060.43</v>
      </c>
      <c r="BA192" s="29">
        <v>17730369.509999998</v>
      </c>
      <c r="BB192" s="24">
        <v>0</v>
      </c>
      <c r="BC192" s="25">
        <v>0</v>
      </c>
      <c r="BD192" s="26">
        <v>0</v>
      </c>
      <c r="BE192" s="24">
        <v>8.3445043140383257E-3</v>
      </c>
      <c r="BF192" s="25">
        <v>2.19217588167206E-2</v>
      </c>
      <c r="BG192" s="26">
        <v>7.2113368408699266E-2</v>
      </c>
      <c r="BH192" s="24">
        <v>0.22199703549744426</v>
      </c>
      <c r="BI192" s="25">
        <v>0.67506327583253001</v>
      </c>
      <c r="BJ192" s="26">
        <v>0.41699020975369866</v>
      </c>
      <c r="BK192" s="24">
        <v>0.77295000000000003</v>
      </c>
      <c r="BL192" s="25">
        <v>0.68727000000000005</v>
      </c>
      <c r="BM192" s="26">
        <v>0.73009999999999997</v>
      </c>
    </row>
    <row r="193" spans="1:65" x14ac:dyDescent="0.2">
      <c r="A193" s="22">
        <v>7101</v>
      </c>
      <c r="B193" s="23" t="s">
        <v>209</v>
      </c>
      <c r="C193" s="24">
        <v>0.16281013102907357</v>
      </c>
      <c r="D193" s="25">
        <v>0.10642611675056032</v>
      </c>
      <c r="E193" s="26">
        <v>0.13045174130854786</v>
      </c>
      <c r="F193" s="24">
        <v>0.2800420780787668</v>
      </c>
      <c r="G193" s="25">
        <v>0.15423348059240258</v>
      </c>
      <c r="H193" s="26">
        <v>0.36470595128925559</v>
      </c>
      <c r="I193" s="24">
        <v>-0.32245627195242771</v>
      </c>
      <c r="J193" s="25">
        <v>-0.29993906969650214</v>
      </c>
      <c r="K193" s="26">
        <v>0.16219104616005006</v>
      </c>
      <c r="L193" s="24">
        <v>0.20933561827061167</v>
      </c>
      <c r="M193" s="25">
        <v>0.21226892327317914</v>
      </c>
      <c r="N193" s="26">
        <v>0.12207889259551044</v>
      </c>
      <c r="O193" s="27">
        <v>149</v>
      </c>
      <c r="P193" s="28">
        <v>125</v>
      </c>
      <c r="Q193" s="29">
        <v>106</v>
      </c>
      <c r="R193" s="24">
        <v>0</v>
      </c>
      <c r="S193" s="25">
        <v>0</v>
      </c>
      <c r="T193" s="26">
        <v>0</v>
      </c>
      <c r="U193" s="27">
        <v>71.581395348837205</v>
      </c>
      <c r="V193" s="28">
        <v>71.581395348837205</v>
      </c>
      <c r="W193" s="29">
        <v>68.767441860465112</v>
      </c>
      <c r="X193" s="24">
        <v>0.49411094514009896</v>
      </c>
      <c r="Y193" s="25">
        <v>0.43878559187692406</v>
      </c>
      <c r="Z193" s="26">
        <v>0.54192021515495958</v>
      </c>
      <c r="AA193" s="24">
        <v>0.28523558094056822</v>
      </c>
      <c r="AB193" s="25">
        <v>0.39373062769322315</v>
      </c>
      <c r="AC193" s="26">
        <v>0.22475840158866078</v>
      </c>
      <c r="AD193" s="27">
        <v>561707</v>
      </c>
      <c r="AE193" s="28">
        <v>956660</v>
      </c>
      <c r="AF193" s="29">
        <v>622409</v>
      </c>
      <c r="AG193" s="27">
        <v>4534259</v>
      </c>
      <c r="AH193" s="28">
        <v>11891653</v>
      </c>
      <c r="AI193" s="29">
        <v>4479748</v>
      </c>
      <c r="AJ193" s="27">
        <v>-1112498</v>
      </c>
      <c r="AK193" s="28">
        <v>-2696140</v>
      </c>
      <c r="AL193" s="29">
        <v>773843</v>
      </c>
      <c r="AM193" s="30">
        <v>6695926</v>
      </c>
      <c r="AN193" s="30">
        <v>5068888</v>
      </c>
      <c r="AO193" s="30">
        <v>5746192</v>
      </c>
      <c r="AP193" s="27">
        <v>458566</v>
      </c>
      <c r="AQ193" s="28">
        <v>386045</v>
      </c>
      <c r="AR193" s="29">
        <v>313325</v>
      </c>
      <c r="AS193" s="27">
        <v>0</v>
      </c>
      <c r="AT193" s="28">
        <v>0</v>
      </c>
      <c r="AU193" s="29">
        <v>0</v>
      </c>
      <c r="AV193" s="27">
        <v>42575.960000000036</v>
      </c>
      <c r="AW193" s="28">
        <v>381335.33999999962</v>
      </c>
      <c r="AX193" s="29">
        <v>35395.129999999961</v>
      </c>
      <c r="AY193" s="27">
        <v>14303577.219999999</v>
      </c>
      <c r="AZ193" s="28">
        <v>12719579.07</v>
      </c>
      <c r="BA193" s="29">
        <v>12211955.330000002</v>
      </c>
      <c r="BB193" s="24">
        <v>0</v>
      </c>
      <c r="BC193" s="25">
        <v>0</v>
      </c>
      <c r="BD193" s="26">
        <v>0</v>
      </c>
      <c r="BE193" s="24">
        <v>2.8171647383225637E-3</v>
      </c>
      <c r="BF193" s="25">
        <v>4.1382934426010647E-2</v>
      </c>
      <c r="BG193" s="26">
        <v>2.4850530523002198E-3</v>
      </c>
      <c r="BH193" s="24">
        <v>0.94643863288244934</v>
      </c>
      <c r="BI193" s="25">
        <v>1.3803428409763123</v>
      </c>
      <c r="BJ193" s="26">
        <v>0.85738791939372661</v>
      </c>
      <c r="BK193" s="24">
        <v>0.87136999999999998</v>
      </c>
      <c r="BL193" s="25">
        <v>0.82335000000000003</v>
      </c>
      <c r="BM193" s="26">
        <v>0.84740000000000004</v>
      </c>
    </row>
    <row r="194" spans="1:65" x14ac:dyDescent="0.2">
      <c r="A194" s="22">
        <v>7102</v>
      </c>
      <c r="B194" s="23" t="s">
        <v>210</v>
      </c>
      <c r="C194" s="24">
        <v>7.855235622791365E-2</v>
      </c>
      <c r="D194" s="25">
        <v>0.11188583945471249</v>
      </c>
      <c r="E194" s="26">
        <v>7.8076848764200818E-2</v>
      </c>
      <c r="F194" s="24">
        <v>0.19836798908201755</v>
      </c>
      <c r="G194" s="25">
        <v>0.2336638437828443</v>
      </c>
      <c r="H194" s="26">
        <v>0.21503881350503243</v>
      </c>
      <c r="I194" s="24">
        <v>2.3701890406654103E-2</v>
      </c>
      <c r="J194" s="25">
        <v>-0.30402916687282999</v>
      </c>
      <c r="K194" s="26">
        <v>0.12710177139788503</v>
      </c>
      <c r="L194" s="24">
        <v>0.88592653049432291</v>
      </c>
      <c r="M194" s="25">
        <v>1.3670520731554467</v>
      </c>
      <c r="N194" s="26">
        <v>1.2390867987134131</v>
      </c>
      <c r="O194" s="27">
        <v>504</v>
      </c>
      <c r="P194" s="28">
        <v>811</v>
      </c>
      <c r="Q194" s="29">
        <v>795</v>
      </c>
      <c r="R194" s="24">
        <v>0</v>
      </c>
      <c r="S194" s="25">
        <v>0</v>
      </c>
      <c r="T194" s="26">
        <v>0</v>
      </c>
      <c r="U194" s="27">
        <v>69.571428571428569</v>
      </c>
      <c r="V194" s="28">
        <v>69.571428571428569</v>
      </c>
      <c r="W194" s="29">
        <v>67.885714285714286</v>
      </c>
      <c r="X194" s="24">
        <v>0.49480781735414348</v>
      </c>
      <c r="Y194" s="25">
        <v>0.44994742331670312</v>
      </c>
      <c r="Z194" s="26">
        <v>0.574032719593628</v>
      </c>
      <c r="AA194" s="24">
        <v>0.33999339098756376</v>
      </c>
      <c r="AB194" s="25">
        <v>0.37881693083136531</v>
      </c>
      <c r="AC194" s="26">
        <v>0.22671658081155671</v>
      </c>
      <c r="AD194" s="27">
        <v>313959</v>
      </c>
      <c r="AE194" s="28">
        <v>753003</v>
      </c>
      <c r="AF194" s="29">
        <v>337017</v>
      </c>
      <c r="AG194" s="27">
        <v>3846263</v>
      </c>
      <c r="AH194" s="28">
        <v>8689213</v>
      </c>
      <c r="AI194" s="29">
        <v>3740022</v>
      </c>
      <c r="AJ194" s="27">
        <v>94732</v>
      </c>
      <c r="AK194" s="28">
        <v>-2046147</v>
      </c>
      <c r="AL194" s="29">
        <v>548632</v>
      </c>
      <c r="AM194" s="30">
        <v>1834694</v>
      </c>
      <c r="AN194" s="30">
        <v>432849</v>
      </c>
      <c r="AO194" s="30">
        <v>903189</v>
      </c>
      <c r="AP194" s="27">
        <v>1226583</v>
      </c>
      <c r="AQ194" s="28">
        <v>1974164</v>
      </c>
      <c r="AR194" s="29">
        <v>1889564</v>
      </c>
      <c r="AS194" s="27">
        <v>0</v>
      </c>
      <c r="AT194" s="28">
        <v>0</v>
      </c>
      <c r="AU194" s="29">
        <v>0</v>
      </c>
      <c r="AV194" s="27">
        <v>882408.24</v>
      </c>
      <c r="AW194" s="28">
        <v>2967715.6900000004</v>
      </c>
      <c r="AX194" s="29">
        <v>3033260.3700000006</v>
      </c>
      <c r="AY194" s="27">
        <v>1342155.74</v>
      </c>
      <c r="AZ194" s="28">
        <v>3164064.3999999994</v>
      </c>
      <c r="BA194" s="29">
        <v>2611631.21</v>
      </c>
      <c r="BB194" s="24">
        <v>0</v>
      </c>
      <c r="BC194" s="25">
        <v>0</v>
      </c>
      <c r="BD194" s="26">
        <v>0</v>
      </c>
      <c r="BE194" s="24">
        <v>0.10122651573074502</v>
      </c>
      <c r="BF194" s="25">
        <v>0.40984960890000222</v>
      </c>
      <c r="BG194" s="26">
        <v>0.41260332663312899</v>
      </c>
      <c r="BH194" s="24">
        <v>0.15396699959218393</v>
      </c>
      <c r="BI194" s="25">
        <v>0.43696589981448652</v>
      </c>
      <c r="BJ194" s="26">
        <v>0.35525065234835207</v>
      </c>
      <c r="BK194" s="24">
        <v>0.84243999999999997</v>
      </c>
      <c r="BL194" s="25">
        <v>0.78293999999999997</v>
      </c>
      <c r="BM194" s="26">
        <v>0.81269999999999998</v>
      </c>
    </row>
    <row r="195" spans="1:65" x14ac:dyDescent="0.2">
      <c r="A195" s="22">
        <v>7103</v>
      </c>
      <c r="B195" s="23" t="s">
        <v>211</v>
      </c>
      <c r="C195" s="24">
        <v>0.18743281614350096</v>
      </c>
      <c r="D195" s="25">
        <v>0.18184432718748111</v>
      </c>
      <c r="E195" s="26">
        <v>0.1892824866264585</v>
      </c>
      <c r="F195" s="24">
        <v>0.40478394412420582</v>
      </c>
      <c r="G195" s="25">
        <v>0.42171434058036311</v>
      </c>
      <c r="H195" s="26">
        <v>0.90863381764001827</v>
      </c>
      <c r="I195" s="24">
        <v>5.4131375964703875E-2</v>
      </c>
      <c r="J195" s="25">
        <v>-6.8476162569342774E-2</v>
      </c>
      <c r="K195" s="26">
        <v>0.19375972708165634</v>
      </c>
      <c r="L195" s="24">
        <v>0.40089673123865727</v>
      </c>
      <c r="M195" s="25">
        <v>0.33668203984245831</v>
      </c>
      <c r="N195" s="26">
        <v>0.28464235319242365</v>
      </c>
      <c r="O195" s="27">
        <v>200</v>
      </c>
      <c r="P195" s="28">
        <v>191</v>
      </c>
      <c r="Q195" s="29">
        <v>172</v>
      </c>
      <c r="R195" s="24">
        <v>4.9878380960709436E-2</v>
      </c>
      <c r="S195" s="25">
        <v>6.6731059515428945E-2</v>
      </c>
      <c r="T195" s="26">
        <v>0.46408342597003865</v>
      </c>
      <c r="U195" s="27">
        <v>161.30434782608697</v>
      </c>
      <c r="V195" s="28">
        <v>161.30434782608697</v>
      </c>
      <c r="W195" s="29">
        <v>166.99082568807339</v>
      </c>
      <c r="X195" s="24">
        <v>0.51577276425492558</v>
      </c>
      <c r="Y195" s="25">
        <v>0.54141034672814259</v>
      </c>
      <c r="Z195" s="26">
        <v>0.69786375122310507</v>
      </c>
      <c r="AA195" s="24">
        <v>0.30591596675530064</v>
      </c>
      <c r="AB195" s="25">
        <v>0.25138542990242962</v>
      </c>
      <c r="AC195" s="26">
        <v>5.8448173377551128E-2</v>
      </c>
      <c r="AD195" s="27">
        <v>2097269</v>
      </c>
      <c r="AE195" s="28">
        <v>3856301</v>
      </c>
      <c r="AF195" s="29">
        <v>2176526</v>
      </c>
      <c r="AG195" s="27">
        <v>11576823</v>
      </c>
      <c r="AH195" s="28">
        <v>24745929</v>
      </c>
      <c r="AI195" s="29">
        <v>9399233</v>
      </c>
      <c r="AJ195" s="27">
        <v>605700</v>
      </c>
      <c r="AK195" s="28">
        <v>-1452147</v>
      </c>
      <c r="AL195" s="29">
        <v>2228009</v>
      </c>
      <c r="AM195" s="30">
        <v>5372426</v>
      </c>
      <c r="AN195" s="30">
        <v>3157371</v>
      </c>
      <c r="AO195" s="30">
        <v>5246489</v>
      </c>
      <c r="AP195" s="27">
        <v>1856659</v>
      </c>
      <c r="AQ195" s="28">
        <v>1773877</v>
      </c>
      <c r="AR195" s="29">
        <v>1564759</v>
      </c>
      <c r="AS195" s="27">
        <v>231000</v>
      </c>
      <c r="AT195" s="28">
        <v>351586</v>
      </c>
      <c r="AU195" s="29">
        <v>2551197</v>
      </c>
      <c r="AV195" s="27">
        <v>1341104.8099999991</v>
      </c>
      <c r="AW195" s="28">
        <v>1879716.5</v>
      </c>
      <c r="AX195" s="29">
        <v>3137438.7400000007</v>
      </c>
      <c r="AY195" s="27">
        <v>13531709.630000001</v>
      </c>
      <c r="AZ195" s="28">
        <v>15063083.819999998</v>
      </c>
      <c r="BA195" s="29">
        <v>14040504.41</v>
      </c>
      <c r="BB195" s="24">
        <v>9.3312028029479011E-3</v>
      </c>
      <c r="BC195" s="25">
        <v>1.4207831922576032E-2</v>
      </c>
      <c r="BD195" s="26">
        <v>0.1067781163869444</v>
      </c>
      <c r="BE195" s="24">
        <v>5.4173683818696555E-2</v>
      </c>
      <c r="BF195" s="25">
        <v>9.0683910465078413E-2</v>
      </c>
      <c r="BG195" s="26">
        <v>0.13131475105083154</v>
      </c>
      <c r="BH195" s="24">
        <v>0.54661093864992683</v>
      </c>
      <c r="BI195" s="25">
        <v>0.72669434165250513</v>
      </c>
      <c r="BJ195" s="26">
        <v>0.58765301700432626</v>
      </c>
      <c r="BK195" s="24">
        <v>0.95387999999999995</v>
      </c>
      <c r="BL195" s="25">
        <v>0.83662000000000003</v>
      </c>
      <c r="BM195" s="26">
        <v>0.89529999999999998</v>
      </c>
    </row>
    <row r="196" spans="1:65" x14ac:dyDescent="0.2">
      <c r="A196" s="22">
        <v>7104</v>
      </c>
      <c r="B196" s="23" t="s">
        <v>212</v>
      </c>
      <c r="C196" s="24">
        <v>0.1014301488752866</v>
      </c>
      <c r="D196" s="25">
        <v>0.13035546706412898</v>
      </c>
      <c r="E196" s="26">
        <v>0.10848475641597752</v>
      </c>
      <c r="F196" s="24">
        <v>0.51463947213817318</v>
      </c>
      <c r="G196" s="25">
        <v>0.38855832587549161</v>
      </c>
      <c r="H196" s="26">
        <v>0.34246898475366594</v>
      </c>
      <c r="I196" s="24">
        <v>0.17200873678682804</v>
      </c>
      <c r="J196" s="25">
        <v>2.3430653266887525E-2</v>
      </c>
      <c r="K196" s="26">
        <v>0.17589567330972342</v>
      </c>
      <c r="L196" s="24">
        <v>0.59984682885094798</v>
      </c>
      <c r="M196" s="25">
        <v>0.53937431250528844</v>
      </c>
      <c r="N196" s="26">
        <v>0.41948936934955411</v>
      </c>
      <c r="O196" s="27">
        <v>248</v>
      </c>
      <c r="P196" s="28">
        <v>246</v>
      </c>
      <c r="Q196" s="29">
        <v>224</v>
      </c>
      <c r="R196" s="24">
        <v>1.6017397225318906</v>
      </c>
      <c r="S196" s="25">
        <v>1.8408969161775679</v>
      </c>
      <c r="T196" s="26">
        <v>1.5939905609641283</v>
      </c>
      <c r="U196" s="27">
        <v>129.67272727272729</v>
      </c>
      <c r="V196" s="28">
        <v>129.67272727272729</v>
      </c>
      <c r="W196" s="29">
        <v>99.928571428571431</v>
      </c>
      <c r="X196" s="24">
        <v>0.76832339747123124</v>
      </c>
      <c r="Y196" s="25">
        <v>0.62121992062075027</v>
      </c>
      <c r="Z196" s="26">
        <v>0.55618005634851408</v>
      </c>
      <c r="AA196" s="24">
        <v>9.6707499483039451E-3</v>
      </c>
      <c r="AB196" s="25">
        <v>0.18829408167248082</v>
      </c>
      <c r="AC196" s="26">
        <v>0.2576994650284804</v>
      </c>
      <c r="AD196" s="27">
        <v>757732</v>
      </c>
      <c r="AE196" s="28">
        <v>2239025</v>
      </c>
      <c r="AF196" s="29">
        <v>1142594</v>
      </c>
      <c r="AG196" s="27">
        <v>6131996</v>
      </c>
      <c r="AH196" s="28">
        <v>16858310</v>
      </c>
      <c r="AI196" s="29">
        <v>8574849</v>
      </c>
      <c r="AJ196" s="27">
        <v>1284988</v>
      </c>
      <c r="AK196" s="28">
        <v>402452</v>
      </c>
      <c r="AL196" s="29">
        <v>1852586</v>
      </c>
      <c r="AM196" s="30">
        <v>3205310</v>
      </c>
      <c r="AN196" s="30">
        <v>1774611</v>
      </c>
      <c r="AO196" s="30">
        <v>3512352</v>
      </c>
      <c r="AP196" s="27">
        <v>1765417</v>
      </c>
      <c r="AQ196" s="28">
        <v>1752980</v>
      </c>
      <c r="AR196" s="29">
        <v>1563913</v>
      </c>
      <c r="AS196" s="27">
        <v>4714101</v>
      </c>
      <c r="AT196" s="28">
        <v>5982961</v>
      </c>
      <c r="AU196" s="29">
        <v>5942612</v>
      </c>
      <c r="AV196" s="27">
        <v>5604761.3100000005</v>
      </c>
      <c r="AW196" s="28">
        <v>10579344.6</v>
      </c>
      <c r="AX196" s="29">
        <v>6549266.5300000003</v>
      </c>
      <c r="AY196" s="27">
        <v>12358191.939999999</v>
      </c>
      <c r="AZ196" s="28">
        <v>7275285.8900000006</v>
      </c>
      <c r="BA196" s="29">
        <v>6457399.3399999999</v>
      </c>
      <c r="BB196" s="24">
        <v>0.18669470327504761</v>
      </c>
      <c r="BC196" s="25">
        <v>0.35489684315924908</v>
      </c>
      <c r="BD196" s="26">
        <v>0.30497456095652997</v>
      </c>
      <c r="BE196" s="24">
        <v>0.22196793189155625</v>
      </c>
      <c r="BF196" s="25">
        <v>0.71778741958230463</v>
      </c>
      <c r="BG196" s="26">
        <v>0.33610804214948692</v>
      </c>
      <c r="BH196" s="24">
        <v>0.4894271415174144</v>
      </c>
      <c r="BI196" s="25">
        <v>0.49361362949710996</v>
      </c>
      <c r="BJ196" s="26">
        <v>0.3313934223936354</v>
      </c>
      <c r="BK196" s="24">
        <v>0.90795000000000003</v>
      </c>
      <c r="BL196" s="25">
        <v>0.87814000000000003</v>
      </c>
      <c r="BM196" s="26">
        <v>0.89300000000000002</v>
      </c>
    </row>
    <row r="197" spans="1:65" x14ac:dyDescent="0.2">
      <c r="A197" s="22">
        <v>7105</v>
      </c>
      <c r="B197" s="23" t="s">
        <v>213</v>
      </c>
      <c r="C197" s="24">
        <v>0.11522713532052581</v>
      </c>
      <c r="D197" s="25">
        <v>9.9103213171599328E-2</v>
      </c>
      <c r="E197" s="26">
        <v>0.10939130903919607</v>
      </c>
      <c r="F197" s="24">
        <v>0.55426869352803299</v>
      </c>
      <c r="G197" s="25">
        <v>0.5265147584796932</v>
      </c>
      <c r="H197" s="26">
        <v>0.59135932992767926</v>
      </c>
      <c r="I197" s="24">
        <v>0.13823109001370124</v>
      </c>
      <c r="J197" s="25">
        <v>0.10311442199751397</v>
      </c>
      <c r="K197" s="26">
        <v>0.12182029846569112</v>
      </c>
      <c r="L197" s="24">
        <v>0.20611104080129089</v>
      </c>
      <c r="M197" s="25">
        <v>0.13965972217225894</v>
      </c>
      <c r="N197" s="26">
        <v>0.10589210562505054</v>
      </c>
      <c r="O197" s="27">
        <v>78</v>
      </c>
      <c r="P197" s="28">
        <v>56</v>
      </c>
      <c r="Q197" s="29">
        <v>45</v>
      </c>
      <c r="R197" s="24">
        <v>0.21152703136370415</v>
      </c>
      <c r="S197" s="25">
        <v>0.31112192982386017</v>
      </c>
      <c r="T197" s="26">
        <v>0.9680911664770413</v>
      </c>
      <c r="U197" s="27">
        <v>166.14285714285714</v>
      </c>
      <c r="V197" s="28">
        <v>166.14285714285714</v>
      </c>
      <c r="W197" s="29">
        <v>161.19298245614036</v>
      </c>
      <c r="X197" s="24">
        <v>0.72063470330134349</v>
      </c>
      <c r="Y197" s="25">
        <v>0.72195796324795447</v>
      </c>
      <c r="Z197" s="26">
        <v>0.75982732419370125</v>
      </c>
      <c r="AA197" s="24">
        <v>8.6455356713581857E-2</v>
      </c>
      <c r="AB197" s="25">
        <v>7.6269554860417824E-2</v>
      </c>
      <c r="AC197" s="26">
        <v>5.1151438586279033E-2</v>
      </c>
      <c r="AD197" s="27">
        <v>1290848</v>
      </c>
      <c r="AE197" s="28">
        <v>2258057</v>
      </c>
      <c r="AF197" s="29">
        <v>1297673</v>
      </c>
      <c r="AG197" s="27">
        <v>9567620</v>
      </c>
      <c r="AH197" s="28">
        <v>20672482</v>
      </c>
      <c r="AI197" s="29">
        <v>10692407</v>
      </c>
      <c r="AJ197" s="27">
        <v>1548553</v>
      </c>
      <c r="AK197" s="28">
        <v>2349452</v>
      </c>
      <c r="AL197" s="29">
        <v>1445114</v>
      </c>
      <c r="AM197" s="30">
        <v>2934196</v>
      </c>
      <c r="AN197" s="30">
        <v>3485195</v>
      </c>
      <c r="AO197" s="30">
        <v>4817620</v>
      </c>
      <c r="AP197" s="27">
        <v>729610</v>
      </c>
      <c r="AQ197" s="28">
        <v>524109</v>
      </c>
      <c r="AR197" s="29">
        <v>411189</v>
      </c>
      <c r="AS197" s="27">
        <v>748782</v>
      </c>
      <c r="AT197" s="28">
        <v>1167565</v>
      </c>
      <c r="AU197" s="29">
        <v>3759189</v>
      </c>
      <c r="AV197" s="27">
        <v>974624.5299999991</v>
      </c>
      <c r="AW197" s="28">
        <v>2487427.2800000021</v>
      </c>
      <c r="AX197" s="29">
        <v>4176608.16</v>
      </c>
      <c r="AY197" s="27">
        <v>7334320.1299999999</v>
      </c>
      <c r="AZ197" s="28">
        <v>9147851.6900000013</v>
      </c>
      <c r="BA197" s="29">
        <v>7080737.25</v>
      </c>
      <c r="BB197" s="24">
        <v>3.7412155765417746E-2</v>
      </c>
      <c r="BC197" s="25">
        <v>5.6479188130385119E-2</v>
      </c>
      <c r="BD197" s="26">
        <v>0.15293925187295396</v>
      </c>
      <c r="BE197" s="24">
        <v>4.8696155528788122E-2</v>
      </c>
      <c r="BF197" s="25">
        <v>0.1408992233237828</v>
      </c>
      <c r="BG197" s="26">
        <v>0.16992157812679137</v>
      </c>
      <c r="BH197" s="24">
        <v>0.36645208770643384</v>
      </c>
      <c r="BI197" s="25">
        <v>0.51817603214601438</v>
      </c>
      <c r="BJ197" s="26">
        <v>0.28807348013732675</v>
      </c>
      <c r="BK197" s="24">
        <v>0.92330000000000001</v>
      </c>
      <c r="BL197" s="25">
        <v>0.83289000000000002</v>
      </c>
      <c r="BM197" s="26">
        <v>0.87809999999999999</v>
      </c>
    </row>
    <row r="198" spans="1:65" x14ac:dyDescent="0.2">
      <c r="A198" s="22">
        <v>7106</v>
      </c>
      <c r="B198" s="23" t="s">
        <v>214</v>
      </c>
      <c r="C198" s="24">
        <v>0.11747361834226401</v>
      </c>
      <c r="D198" s="25">
        <v>0.1195842660905365</v>
      </c>
      <c r="E198" s="26">
        <v>0.1360919319101824</v>
      </c>
      <c r="F198" s="24">
        <v>0.35869589559001197</v>
      </c>
      <c r="G198" s="25">
        <v>0.35696093976529097</v>
      </c>
      <c r="H198" s="26">
        <v>0.6565128993283349</v>
      </c>
      <c r="I198" s="24">
        <v>0.15413562970024938</v>
      </c>
      <c r="J198" s="25">
        <v>1.4607308016967946E-3</v>
      </c>
      <c r="K198" s="26">
        <v>0.20787801886752419</v>
      </c>
      <c r="L198" s="24">
        <v>0.52553991634415897</v>
      </c>
      <c r="M198" s="25">
        <v>0.62675940353438464</v>
      </c>
      <c r="N198" s="26">
        <v>0.40177085890601422</v>
      </c>
      <c r="O198" s="27">
        <v>317</v>
      </c>
      <c r="P198" s="28">
        <v>318</v>
      </c>
      <c r="Q198" s="29">
        <v>298</v>
      </c>
      <c r="R198" s="24">
        <v>1.8755606422012967E-2</v>
      </c>
      <c r="S198" s="25">
        <v>0.34646453852633541</v>
      </c>
      <c r="T198" s="26">
        <v>0.44139069056633651</v>
      </c>
      <c r="U198" s="27">
        <v>147.73846153846154</v>
      </c>
      <c r="V198" s="28">
        <v>147.73846153846154</v>
      </c>
      <c r="W198" s="29">
        <v>116.30674846625767</v>
      </c>
      <c r="X198" s="24">
        <v>0.54478225106221778</v>
      </c>
      <c r="Y198" s="25">
        <v>0.53255569891562848</v>
      </c>
      <c r="Z198" s="26">
        <v>0.65906897783177476</v>
      </c>
      <c r="AA198" s="24">
        <v>0.25615385783209704</v>
      </c>
      <c r="AB198" s="25">
        <v>0.31372998185734147</v>
      </c>
      <c r="AC198" s="26">
        <v>9.7561333112401435E-2</v>
      </c>
      <c r="AD198" s="27">
        <v>1553678</v>
      </c>
      <c r="AE198" s="28">
        <v>3195887</v>
      </c>
      <c r="AF198" s="29">
        <v>1731732</v>
      </c>
      <c r="AG198" s="27">
        <v>10934198</v>
      </c>
      <c r="AH198" s="28">
        <v>26838404</v>
      </c>
      <c r="AI198" s="29">
        <v>10301817</v>
      </c>
      <c r="AJ198" s="27">
        <v>2038561</v>
      </c>
      <c r="AK198" s="28">
        <v>39038</v>
      </c>
      <c r="AL198" s="29">
        <v>2645190</v>
      </c>
      <c r="AM198" s="30">
        <v>3967509</v>
      </c>
      <c r="AN198" s="30">
        <v>1937601</v>
      </c>
      <c r="AO198" s="30">
        <v>4292335</v>
      </c>
      <c r="AP198" s="27">
        <v>3045343</v>
      </c>
      <c r="AQ198" s="28">
        <v>3055820</v>
      </c>
      <c r="AR198" s="29">
        <v>2821423</v>
      </c>
      <c r="AS198" s="27">
        <v>108683</v>
      </c>
      <c r="AT198" s="28">
        <v>1689218</v>
      </c>
      <c r="AU198" s="29">
        <v>3099652</v>
      </c>
      <c r="AV198" s="27">
        <v>1296566.6600000011</v>
      </c>
      <c r="AW198" s="28">
        <v>3824398.9600000009</v>
      </c>
      <c r="AX198" s="29">
        <v>3986619.43</v>
      </c>
      <c r="AY198" s="27">
        <v>10527828.48</v>
      </c>
      <c r="AZ198" s="28">
        <v>4695548.5</v>
      </c>
      <c r="BA198" s="29">
        <v>9825902.7899999991</v>
      </c>
      <c r="BB198" s="24">
        <v>4.6280089265133941E-3</v>
      </c>
      <c r="BC198" s="25">
        <v>6.2940329834814318E-2</v>
      </c>
      <c r="BD198" s="26">
        <v>0.11584042244196005</v>
      </c>
      <c r="BE198" s="24">
        <v>5.52112296890927E-2</v>
      </c>
      <c r="BF198" s="25">
        <v>0.17632530025771517</v>
      </c>
      <c r="BG198" s="26">
        <v>0.14898823444906911</v>
      </c>
      <c r="BH198" s="24">
        <v>0.44830271691287454</v>
      </c>
      <c r="BI198" s="25">
        <v>0.2164899655597553</v>
      </c>
      <c r="BJ198" s="26">
        <v>0.36721436150485076</v>
      </c>
      <c r="BK198" s="24">
        <v>0.90137</v>
      </c>
      <c r="BL198" s="25">
        <v>0.82223000000000002</v>
      </c>
      <c r="BM198" s="26">
        <v>0.86180000000000001</v>
      </c>
    </row>
    <row r="199" spans="1:65" x14ac:dyDescent="0.2">
      <c r="A199" s="22">
        <v>7107</v>
      </c>
      <c r="B199" s="23" t="s">
        <v>215</v>
      </c>
      <c r="C199" s="24">
        <v>7.7811610296803432E-2</v>
      </c>
      <c r="D199" s="25">
        <v>7.7783362868047989E-2</v>
      </c>
      <c r="E199" s="26">
        <v>5.5110478387967184E-2</v>
      </c>
      <c r="F199" s="24">
        <v>0.20602853762426632</v>
      </c>
      <c r="G199" s="25">
        <v>0.41019431652252047</v>
      </c>
      <c r="H199" s="26">
        <v>0.17565955685955337</v>
      </c>
      <c r="I199" s="24">
        <v>-0.18651171140858136</v>
      </c>
      <c r="J199" s="25">
        <v>-8.3088458535739068E-2</v>
      </c>
      <c r="K199" s="26">
        <v>-1.3040616906803261E-2</v>
      </c>
      <c r="L199" s="24">
        <v>0.72045288854761613</v>
      </c>
      <c r="M199" s="25">
        <v>0.6562452509704837</v>
      </c>
      <c r="N199" s="26">
        <v>0.62298073427844425</v>
      </c>
      <c r="O199" s="27">
        <v>276</v>
      </c>
      <c r="P199" s="28">
        <v>272</v>
      </c>
      <c r="Q199" s="29">
        <v>292</v>
      </c>
      <c r="R199" s="24">
        <v>0.57910451141442199</v>
      </c>
      <c r="S199" s="25">
        <v>0.52058332158272913</v>
      </c>
      <c r="T199" s="26">
        <v>0.10062250090876045</v>
      </c>
      <c r="U199" s="27">
        <v>103.06382978723404</v>
      </c>
      <c r="V199" s="28">
        <v>129.17333333333335</v>
      </c>
      <c r="W199" s="29">
        <v>128.52054794520549</v>
      </c>
      <c r="X199" s="24">
        <v>0.48616849506553073</v>
      </c>
      <c r="Y199" s="25">
        <v>0.54893577861989173</v>
      </c>
      <c r="Z199" s="26">
        <v>0.50478547769228255</v>
      </c>
      <c r="AA199" s="24">
        <v>0.2753051010887374</v>
      </c>
      <c r="AB199" s="25">
        <v>0.18720643721678804</v>
      </c>
      <c r="AC199" s="26">
        <v>0.19472167848899166</v>
      </c>
      <c r="AD199" s="27">
        <v>551313</v>
      </c>
      <c r="AE199" s="28">
        <v>1004289</v>
      </c>
      <c r="AF199" s="29">
        <v>422805</v>
      </c>
      <c r="AG199" s="27">
        <v>7564542</v>
      </c>
      <c r="AH199" s="28">
        <v>13018297</v>
      </c>
      <c r="AI199" s="29">
        <v>7907779</v>
      </c>
      <c r="AJ199" s="27">
        <v>-1321478</v>
      </c>
      <c r="AK199" s="28">
        <v>-1072785</v>
      </c>
      <c r="AL199" s="29">
        <v>-100047</v>
      </c>
      <c r="AM199" s="30">
        <v>427963</v>
      </c>
      <c r="AN199" s="30">
        <v>654658</v>
      </c>
      <c r="AO199" s="30">
        <v>581851</v>
      </c>
      <c r="AP199" s="27">
        <v>1336077</v>
      </c>
      <c r="AQ199" s="28">
        <v>1317077</v>
      </c>
      <c r="AR199" s="29">
        <v>1371056</v>
      </c>
      <c r="AS199" s="27">
        <v>1073947</v>
      </c>
      <c r="AT199" s="28">
        <v>1044805</v>
      </c>
      <c r="AU199" s="29">
        <v>221450</v>
      </c>
      <c r="AV199" s="27">
        <v>1301200.6600000001</v>
      </c>
      <c r="AW199" s="28">
        <v>1559972.49</v>
      </c>
      <c r="AX199" s="29">
        <v>2699589.47</v>
      </c>
      <c r="AY199" s="27">
        <v>9407959.0800000001</v>
      </c>
      <c r="AZ199" s="28">
        <v>16271175.810000001</v>
      </c>
      <c r="BA199" s="29">
        <v>16236694.210000001</v>
      </c>
      <c r="BB199" s="24">
        <v>9.1036536019399705E-2</v>
      </c>
      <c r="BC199" s="25">
        <v>8.0256657226363784E-2</v>
      </c>
      <c r="BD199" s="26">
        <v>1.7138140298566602E-2</v>
      </c>
      <c r="BE199" s="24">
        <v>0.11030041589813713</v>
      </c>
      <c r="BF199" s="25">
        <v>0.12848566675929879</v>
      </c>
      <c r="BG199" s="26">
        <v>0.20892275044205491</v>
      </c>
      <c r="BH199" s="24">
        <v>0.79749559862400898</v>
      </c>
      <c r="BI199" s="25">
        <v>1.3401600901985287</v>
      </c>
      <c r="BJ199" s="26">
        <v>1.2565669151316508</v>
      </c>
      <c r="BK199" s="24">
        <v>0.80720000000000003</v>
      </c>
      <c r="BL199" s="25">
        <v>0.79017000000000004</v>
      </c>
      <c r="BM199" s="26">
        <v>0.79869999999999997</v>
      </c>
    </row>
    <row r="200" spans="1:65" x14ac:dyDescent="0.2">
      <c r="A200" s="22">
        <v>7108</v>
      </c>
      <c r="B200" s="23" t="s">
        <v>216</v>
      </c>
      <c r="C200" s="24">
        <v>0.12347334693099221</v>
      </c>
      <c r="D200" s="25">
        <v>0.1064845422488868</v>
      </c>
      <c r="E200" s="26">
        <v>0.12174627454880596</v>
      </c>
      <c r="F200" s="24">
        <v>0.41318169295936219</v>
      </c>
      <c r="G200" s="25">
        <v>0.36032876135019259</v>
      </c>
      <c r="H200" s="26">
        <v>0.38522592868869726</v>
      </c>
      <c r="I200" s="24">
        <v>5.4029158089817376E-2</v>
      </c>
      <c r="J200" s="25">
        <v>-3.9126689247541202E-2</v>
      </c>
      <c r="K200" s="26">
        <v>0.1130440214310687</v>
      </c>
      <c r="L200" s="24">
        <v>1.7548110535265649</v>
      </c>
      <c r="M200" s="25">
        <v>1.7346106186861168</v>
      </c>
      <c r="N200" s="26">
        <v>1.6802810056595536</v>
      </c>
      <c r="O200" s="27">
        <v>744</v>
      </c>
      <c r="P200" s="28">
        <v>718</v>
      </c>
      <c r="Q200" s="29">
        <v>786</v>
      </c>
      <c r="R200" s="24">
        <v>0.14597344194710943</v>
      </c>
      <c r="S200" s="25">
        <v>0.16972365927826796</v>
      </c>
      <c r="T200" s="26">
        <v>8.8904995777578558E-2</v>
      </c>
      <c r="U200" s="27">
        <v>134.87096774193549</v>
      </c>
      <c r="V200" s="28">
        <v>141.72881355932202</v>
      </c>
      <c r="W200" s="29">
        <v>141.75862068965517</v>
      </c>
      <c r="X200" s="24">
        <v>0.5822870769570917</v>
      </c>
      <c r="Y200" s="25">
        <v>0.59634827773937671</v>
      </c>
      <c r="Z200" s="26">
        <v>0.55576134556142176</v>
      </c>
      <c r="AA200" s="24">
        <v>9.4191201114190146E-2</v>
      </c>
      <c r="AB200" s="25">
        <v>0.13940906892874794</v>
      </c>
      <c r="AC200" s="26">
        <v>0.2128777662859089</v>
      </c>
      <c r="AD200" s="27">
        <v>1261340</v>
      </c>
      <c r="AE200" s="28">
        <v>2093046</v>
      </c>
      <c r="AF200" s="29">
        <v>1596268</v>
      </c>
      <c r="AG200" s="27">
        <v>9688113</v>
      </c>
      <c r="AH200" s="28">
        <v>20640343</v>
      </c>
      <c r="AI200" s="29">
        <v>11532792</v>
      </c>
      <c r="AJ200" s="27">
        <v>551934</v>
      </c>
      <c r="AK200" s="28">
        <v>-769069</v>
      </c>
      <c r="AL200" s="29">
        <v>1482169</v>
      </c>
      <c r="AM200" s="30">
        <v>2557091</v>
      </c>
      <c r="AN200" s="30">
        <v>983808</v>
      </c>
      <c r="AO200" s="30">
        <v>2400994</v>
      </c>
      <c r="AP200" s="27">
        <v>6224750</v>
      </c>
      <c r="AQ200" s="28">
        <v>5999751</v>
      </c>
      <c r="AR200" s="29">
        <v>6458607</v>
      </c>
      <c r="AS200" s="27">
        <v>517804</v>
      </c>
      <c r="AT200" s="28">
        <v>587048</v>
      </c>
      <c r="AU200" s="29">
        <v>341730</v>
      </c>
      <c r="AV200" s="27">
        <v>897529.0399999998</v>
      </c>
      <c r="AW200" s="28">
        <v>3347026.9700000007</v>
      </c>
      <c r="AX200" s="29">
        <v>2072678.71</v>
      </c>
      <c r="AY200" s="27">
        <v>9047115.2799999993</v>
      </c>
      <c r="AZ200" s="28">
        <v>14188911.469999999</v>
      </c>
      <c r="BA200" s="29">
        <v>11670146.720000001</v>
      </c>
      <c r="BB200" s="24">
        <v>2.5284929360957401E-2</v>
      </c>
      <c r="BC200" s="25">
        <v>2.8441775410418323E-2</v>
      </c>
      <c r="BD200" s="26">
        <v>1.5474536840496527E-2</v>
      </c>
      <c r="BE200" s="24">
        <v>4.382731376313799E-2</v>
      </c>
      <c r="BF200" s="25">
        <v>0.17088282143185177</v>
      </c>
      <c r="BG200" s="26">
        <v>9.3856972043448977E-2</v>
      </c>
      <c r="BH200" s="24">
        <v>0.44178042420537178</v>
      </c>
      <c r="BI200" s="25">
        <v>0.72441639902302979</v>
      </c>
      <c r="BJ200" s="26">
        <v>0.52845847702174154</v>
      </c>
      <c r="BK200" s="24">
        <v>0.86458999999999997</v>
      </c>
      <c r="BL200" s="25">
        <v>0.81866000000000005</v>
      </c>
      <c r="BM200" s="26">
        <v>0.84160000000000001</v>
      </c>
    </row>
    <row r="201" spans="1:65" x14ac:dyDescent="0.2">
      <c r="A201" s="22">
        <v>7109</v>
      </c>
      <c r="B201" s="23" t="s">
        <v>217</v>
      </c>
      <c r="C201" s="24">
        <v>0.20860934692646521</v>
      </c>
      <c r="D201" s="25">
        <v>0.17798798719975617</v>
      </c>
      <c r="E201" s="26">
        <v>0.22745124537823949</v>
      </c>
      <c r="F201" s="24">
        <v>0.8606197348076926</v>
      </c>
      <c r="G201" s="25">
        <v>0.51755327182158739</v>
      </c>
      <c r="H201" s="26">
        <v>0.994947561786797</v>
      </c>
      <c r="I201" s="24">
        <v>0.16471375538266769</v>
      </c>
      <c r="J201" s="25">
        <v>-2.321455545386264E-2</v>
      </c>
      <c r="K201" s="26">
        <v>0.12462853304286203</v>
      </c>
      <c r="L201" s="24">
        <v>0.24569911748489684</v>
      </c>
      <c r="M201" s="25">
        <v>0.26818867420300557</v>
      </c>
      <c r="N201" s="26">
        <v>0.19188421265919506</v>
      </c>
      <c r="O201" s="27">
        <v>161</v>
      </c>
      <c r="P201" s="28">
        <v>146</v>
      </c>
      <c r="Q201" s="29">
        <v>134</v>
      </c>
      <c r="R201" s="24">
        <v>3.4914474568139668E-3</v>
      </c>
      <c r="S201" s="25">
        <v>4.1733146566806214E-3</v>
      </c>
      <c r="T201" s="26">
        <v>3.5409653423829515E-3</v>
      </c>
      <c r="U201" s="27">
        <v>258.80799999999999</v>
      </c>
      <c r="V201" s="28">
        <v>274.16101694915255</v>
      </c>
      <c r="W201" s="29">
        <v>265.91666666666669</v>
      </c>
      <c r="X201" s="24">
        <v>0.59163780553925316</v>
      </c>
      <c r="Y201" s="25">
        <v>0.52568935475054646</v>
      </c>
      <c r="Z201" s="26">
        <v>0.60141602654116666</v>
      </c>
      <c r="AA201" s="24">
        <v>8.3344800292827911E-2</v>
      </c>
      <c r="AB201" s="25">
        <v>0.16550657668120097</v>
      </c>
      <c r="AC201" s="26">
        <v>4.3904947726734048E-2</v>
      </c>
      <c r="AD201" s="27">
        <v>8840236</v>
      </c>
      <c r="AE201" s="28">
        <v>14660480</v>
      </c>
      <c r="AF201" s="29">
        <v>10498819</v>
      </c>
      <c r="AG201" s="27">
        <v>35616823</v>
      </c>
      <c r="AH201" s="28">
        <v>87700237</v>
      </c>
      <c r="AI201" s="29">
        <v>39384855</v>
      </c>
      <c r="AJ201" s="27">
        <v>6980073</v>
      </c>
      <c r="AK201" s="28">
        <v>-1912132</v>
      </c>
      <c r="AL201" s="29">
        <v>5752672</v>
      </c>
      <c r="AM201" s="30">
        <v>20719090</v>
      </c>
      <c r="AN201" s="30">
        <v>11193778</v>
      </c>
      <c r="AO201" s="30">
        <v>15943069</v>
      </c>
      <c r="AP201" s="27">
        <v>5206310</v>
      </c>
      <c r="AQ201" s="28">
        <v>4736743</v>
      </c>
      <c r="AR201" s="29">
        <v>4267176</v>
      </c>
      <c r="AS201" s="27">
        <v>73983</v>
      </c>
      <c r="AT201" s="28">
        <v>73709</v>
      </c>
      <c r="AU201" s="29">
        <v>78745</v>
      </c>
      <c r="AV201" s="27">
        <v>2697918.3499999978</v>
      </c>
      <c r="AW201" s="28">
        <v>2941818.2200000011</v>
      </c>
      <c r="AX201" s="29">
        <v>2583774.5699999989</v>
      </c>
      <c r="AY201" s="27">
        <v>41520556.009999998</v>
      </c>
      <c r="AZ201" s="28">
        <v>38528754.729999997</v>
      </c>
      <c r="BA201" s="29">
        <v>40086348.68</v>
      </c>
      <c r="BB201" s="24">
        <v>8.4956826560574842E-4</v>
      </c>
      <c r="BC201" s="25">
        <v>8.4046523158198534E-4</v>
      </c>
      <c r="BD201" s="26">
        <v>8.6114556276608906E-4</v>
      </c>
      <c r="BE201" s="24">
        <v>3.0980979594709874E-2</v>
      </c>
      <c r="BF201" s="25">
        <v>4.3454425839391395E-2</v>
      </c>
      <c r="BG201" s="26">
        <v>2.8255838543950203E-2</v>
      </c>
      <c r="BH201" s="24">
        <v>0.47679259771031229</v>
      </c>
      <c r="BI201" s="25">
        <v>0.56911909230709867</v>
      </c>
      <c r="BJ201" s="26">
        <v>0.43837934209506979</v>
      </c>
      <c r="BK201" s="24">
        <v>0.79735999999999996</v>
      </c>
      <c r="BL201" s="25">
        <v>0.79286000000000001</v>
      </c>
      <c r="BM201" s="26">
        <v>0.79510000000000003</v>
      </c>
    </row>
    <row r="202" spans="1:65" x14ac:dyDescent="0.2">
      <c r="A202" s="22">
        <v>7110</v>
      </c>
      <c r="B202" s="23" t="s">
        <v>218</v>
      </c>
      <c r="C202" s="24">
        <v>0.33043211217055857</v>
      </c>
      <c r="D202" s="25">
        <v>0.30175884010480303</v>
      </c>
      <c r="E202" s="26">
        <v>0.36383732697961585</v>
      </c>
      <c r="F202" s="24">
        <v>0.88056535572181072</v>
      </c>
      <c r="G202" s="25">
        <v>0.78133375086143741</v>
      </c>
      <c r="H202" s="26">
        <v>1.3401845510470014</v>
      </c>
      <c r="I202" s="24">
        <v>-5.9733863399655814E-2</v>
      </c>
      <c r="J202" s="25">
        <v>-5.3423587472369152E-2</v>
      </c>
      <c r="K202" s="26">
        <v>0.11759303279459807</v>
      </c>
      <c r="L202" s="24">
        <v>0.36647543727182857</v>
      </c>
      <c r="M202" s="25">
        <v>0.453879581261523</v>
      </c>
      <c r="N202" s="26">
        <v>0.33201566799128962</v>
      </c>
      <c r="O202" s="27">
        <v>411</v>
      </c>
      <c r="P202" s="28">
        <v>454</v>
      </c>
      <c r="Q202" s="29">
        <v>391</v>
      </c>
      <c r="R202" s="24">
        <v>0.11492429962558479</v>
      </c>
      <c r="S202" s="25">
        <v>0.21115006424939942</v>
      </c>
      <c r="T202" s="26">
        <v>0.27504291424516986</v>
      </c>
      <c r="U202" s="27">
        <v>97</v>
      </c>
      <c r="V202" s="28">
        <v>98.672413793103445</v>
      </c>
      <c r="W202" s="29">
        <v>95.982905982905976</v>
      </c>
      <c r="X202" s="24">
        <v>0.60101214969371419</v>
      </c>
      <c r="Y202" s="25">
        <v>0.5834887786047096</v>
      </c>
      <c r="Z202" s="26">
        <v>0.6932731191014897</v>
      </c>
      <c r="AA202" s="24">
        <v>8.3574021052837968E-2</v>
      </c>
      <c r="AB202" s="25">
        <v>0.15008352849162865</v>
      </c>
      <c r="AC202" s="26">
        <v>3.0596941929748302E-2</v>
      </c>
      <c r="AD202" s="27">
        <v>2968613</v>
      </c>
      <c r="AE202" s="28">
        <v>5469280</v>
      </c>
      <c r="AF202" s="29">
        <v>3537980</v>
      </c>
      <c r="AG202" s="27">
        <v>8364573</v>
      </c>
      <c r="AH202" s="28">
        <v>17538327</v>
      </c>
      <c r="AI202" s="29">
        <v>7943637</v>
      </c>
      <c r="AJ202" s="27">
        <v>-536651</v>
      </c>
      <c r="AK202" s="28">
        <v>-968285</v>
      </c>
      <c r="AL202" s="29">
        <v>1143483</v>
      </c>
      <c r="AM202" s="30">
        <v>1538610</v>
      </c>
      <c r="AN202" s="30">
        <v>1371453</v>
      </c>
      <c r="AO202" s="30">
        <v>2400097</v>
      </c>
      <c r="AP202" s="27">
        <v>2354000</v>
      </c>
      <c r="AQ202" s="28">
        <v>2599677</v>
      </c>
      <c r="AR202" s="29">
        <v>2195102</v>
      </c>
      <c r="AS202" s="27">
        <v>738199</v>
      </c>
      <c r="AT202" s="28">
        <v>1209400</v>
      </c>
      <c r="AU202" s="29">
        <v>1818430</v>
      </c>
      <c r="AV202" s="27">
        <v>540129.93000000017</v>
      </c>
      <c r="AW202" s="28">
        <v>1192117.95</v>
      </c>
      <c r="AX202" s="29">
        <v>1665252.6</v>
      </c>
      <c r="AY202" s="27">
        <v>6495572.25</v>
      </c>
      <c r="AZ202" s="28">
        <v>7787452.9699999997</v>
      </c>
      <c r="BA202" s="29">
        <v>13195513.59</v>
      </c>
      <c r="BB202" s="24">
        <v>4.3338053833426891E-2</v>
      </c>
      <c r="BC202" s="25">
        <v>6.8957546520828361E-2</v>
      </c>
      <c r="BD202" s="26">
        <v>0.1037039563227859</v>
      </c>
      <c r="BE202" s="24">
        <v>3.1709850573334704E-2</v>
      </c>
      <c r="BF202" s="25">
        <v>7.1872507771953253E-2</v>
      </c>
      <c r="BG202" s="26">
        <v>9.496834241450354E-2</v>
      </c>
      <c r="BH202" s="24">
        <v>0.38134088484191098</v>
      </c>
      <c r="BI202" s="25">
        <v>0.46950368804533593</v>
      </c>
      <c r="BJ202" s="26">
        <v>0.75253211011371779</v>
      </c>
      <c r="BK202" s="24">
        <v>0.81903999999999999</v>
      </c>
      <c r="BL202" s="25">
        <v>0.78686</v>
      </c>
      <c r="BM202" s="26">
        <v>0.80300000000000005</v>
      </c>
    </row>
    <row r="203" spans="1:65" x14ac:dyDescent="0.2">
      <c r="A203" s="22">
        <v>7200</v>
      </c>
      <c r="B203" s="23" t="s">
        <v>219</v>
      </c>
      <c r="C203" s="24">
        <v>0.41168786241641159</v>
      </c>
      <c r="D203" s="25">
        <v>0.38314292322678051</v>
      </c>
      <c r="E203" s="26">
        <v>0.40849387998917763</v>
      </c>
      <c r="F203" s="24">
        <v>1.4784153614017757</v>
      </c>
      <c r="G203" s="25">
        <v>0.9267726518689694</v>
      </c>
      <c r="H203" s="26">
        <v>1.6742076500978431</v>
      </c>
      <c r="I203" s="24">
        <v>0.25089981052676125</v>
      </c>
      <c r="J203" s="25">
        <v>-2.7371144221765016E-2</v>
      </c>
      <c r="K203" s="26">
        <v>0.24320339837244764</v>
      </c>
      <c r="L203" s="24">
        <v>0.72350576491550378</v>
      </c>
      <c r="M203" s="25">
        <v>0.78315945391871922</v>
      </c>
      <c r="N203" s="26">
        <v>0.78048251178140671</v>
      </c>
      <c r="O203" s="27">
        <v>560</v>
      </c>
      <c r="P203" s="28">
        <v>589</v>
      </c>
      <c r="Q203" s="29">
        <v>660</v>
      </c>
      <c r="R203" s="24">
        <v>1.8667914217310349E-3</v>
      </c>
      <c r="S203" s="25">
        <v>9.7249577507531597E-4</v>
      </c>
      <c r="T203" s="26">
        <v>3.2782140788938231E-3</v>
      </c>
      <c r="U203" s="27">
        <v>503.50743348982786</v>
      </c>
      <c r="V203" s="28">
        <v>490.27238095238096</v>
      </c>
      <c r="W203" s="29">
        <v>494.53388844156285</v>
      </c>
      <c r="X203" s="24">
        <v>0.50096162712482839</v>
      </c>
      <c r="Y203" s="25">
        <v>0.44409386611012597</v>
      </c>
      <c r="Z203" s="26">
        <v>0.52804711611315025</v>
      </c>
      <c r="AA203" s="24">
        <v>0.10866314369568736</v>
      </c>
      <c r="AB203" s="25">
        <v>0.14672619428206707</v>
      </c>
      <c r="AC203" s="26">
        <v>9.2203899653915483E-2</v>
      </c>
      <c r="AD203" s="27">
        <v>567243465</v>
      </c>
      <c r="AE203" s="28">
        <v>966821854</v>
      </c>
      <c r="AF203" s="29">
        <v>616585546</v>
      </c>
      <c r="AG203" s="27">
        <v>1056264922</v>
      </c>
      <c r="AH203" s="28">
        <v>2624934981</v>
      </c>
      <c r="AI203" s="29">
        <v>1145289889</v>
      </c>
      <c r="AJ203" s="27">
        <v>345701904</v>
      </c>
      <c r="AK203" s="28">
        <v>-69068274</v>
      </c>
      <c r="AL203" s="29">
        <v>367094117</v>
      </c>
      <c r="AM203" s="30">
        <v>685241312</v>
      </c>
      <c r="AN203" s="30">
        <v>283550216</v>
      </c>
      <c r="AO203" s="30">
        <v>746330825</v>
      </c>
      <c r="AP203" s="27">
        <v>721185241</v>
      </c>
      <c r="AQ203" s="28">
        <v>757966353</v>
      </c>
      <c r="AR203" s="29">
        <v>855960556</v>
      </c>
      <c r="AS203" s="27">
        <v>1860804</v>
      </c>
      <c r="AT203" s="28">
        <v>941212</v>
      </c>
      <c r="AU203" s="29">
        <v>3595240</v>
      </c>
      <c r="AV203" s="27">
        <v>62439206.220000029</v>
      </c>
      <c r="AW203" s="28">
        <v>211689406.72000024</v>
      </c>
      <c r="AX203" s="29">
        <v>111204611.77000004</v>
      </c>
      <c r="AY203" s="27">
        <v>1417012315.3700001</v>
      </c>
      <c r="AZ203" s="28">
        <v>940357997.82999992</v>
      </c>
      <c r="BA203" s="29">
        <v>1325943339.49</v>
      </c>
      <c r="BB203" s="24">
        <v>6.7271168030919081E-4</v>
      </c>
      <c r="BC203" s="25">
        <v>3.5856583374931219E-4</v>
      </c>
      <c r="BD203" s="26">
        <v>1.2451725566452461E-3</v>
      </c>
      <c r="BE203" s="24">
        <v>2.2572814403574098E-2</v>
      </c>
      <c r="BF203" s="25">
        <v>0.10149061928767589</v>
      </c>
      <c r="BG203" s="26">
        <v>3.8514516624312413E-2</v>
      </c>
      <c r="BH203" s="24">
        <v>0.51227358480063978</v>
      </c>
      <c r="BI203" s="25">
        <v>0.45083746527817542</v>
      </c>
      <c r="BJ203" s="26">
        <v>0.45922615958865021</v>
      </c>
      <c r="BK203" s="24">
        <v>0.81483000000000005</v>
      </c>
      <c r="BL203" s="25">
        <v>0.77263999999999999</v>
      </c>
      <c r="BM203" s="26">
        <v>0.79369999999999996</v>
      </c>
    </row>
    <row r="204" spans="1:65" x14ac:dyDescent="0.2">
      <c r="A204" s="22">
        <v>7301</v>
      </c>
      <c r="B204" s="23" t="s">
        <v>220</v>
      </c>
      <c r="C204" s="24">
        <v>0.11669038173790022</v>
      </c>
      <c r="D204" s="25">
        <v>0.10691277802190174</v>
      </c>
      <c r="E204" s="26">
        <v>0.12938235351591992</v>
      </c>
      <c r="F204" s="24">
        <v>0.26526743105944672</v>
      </c>
      <c r="G204" s="25">
        <v>0.23720263116275586</v>
      </c>
      <c r="H204" s="26">
        <v>0.38594262322229361</v>
      </c>
      <c r="I204" s="24">
        <v>2.4492436319257863E-2</v>
      </c>
      <c r="J204" s="25">
        <v>-3.7916074398982153E-3</v>
      </c>
      <c r="K204" s="26">
        <v>0.10188733210045638</v>
      </c>
      <c r="L204" s="24">
        <v>0.83929729852640811</v>
      </c>
      <c r="M204" s="25">
        <v>0.30148897368806038</v>
      </c>
      <c r="N204" s="26">
        <v>0.26037534401351692</v>
      </c>
      <c r="O204" s="27">
        <v>447</v>
      </c>
      <c r="P204" s="28">
        <v>192</v>
      </c>
      <c r="Q204" s="29">
        <v>181</v>
      </c>
      <c r="R204" s="24">
        <v>1.4393502659741663E-2</v>
      </c>
      <c r="S204" s="25">
        <v>2.6814480780033258E-2</v>
      </c>
      <c r="T204" s="26">
        <v>6.8559108130380473E-3</v>
      </c>
      <c r="U204" s="27">
        <v>73.84210526315789</v>
      </c>
      <c r="V204" s="28">
        <v>73.84210526315789</v>
      </c>
      <c r="W204" s="29">
        <v>73.21052631578948</v>
      </c>
      <c r="X204" s="24">
        <v>0.53630911933289072</v>
      </c>
      <c r="Y204" s="25">
        <v>0.54681935794404735</v>
      </c>
      <c r="Z204" s="26">
        <v>0.61942520285706648</v>
      </c>
      <c r="AA204" s="24">
        <v>0.23912321260225369</v>
      </c>
      <c r="AB204" s="25">
        <v>0.26091868673445434</v>
      </c>
      <c r="AC204" s="26">
        <v>6.5983336087235708E-2</v>
      </c>
      <c r="AD204" s="27">
        <v>257589</v>
      </c>
      <c r="AE204" s="28">
        <v>455949</v>
      </c>
      <c r="AF204" s="29">
        <v>291323</v>
      </c>
      <c r="AG204" s="27">
        <v>2188307</v>
      </c>
      <c r="AH204" s="28">
        <v>4379556</v>
      </c>
      <c r="AI204" s="29">
        <v>2021374</v>
      </c>
      <c r="AJ204" s="27">
        <v>54066</v>
      </c>
      <c r="AK204" s="28">
        <v>-16170</v>
      </c>
      <c r="AL204" s="29">
        <v>229414</v>
      </c>
      <c r="AM204" s="30">
        <v>321333</v>
      </c>
      <c r="AN204" s="30">
        <v>248062</v>
      </c>
      <c r="AO204" s="30">
        <v>455148</v>
      </c>
      <c r="AP204" s="27">
        <v>627483</v>
      </c>
      <c r="AQ204" s="28">
        <v>269968</v>
      </c>
      <c r="AR204" s="29">
        <v>251188</v>
      </c>
      <c r="AS204" s="27">
        <v>10761</v>
      </c>
      <c r="AT204" s="28">
        <v>24011</v>
      </c>
      <c r="AU204" s="29">
        <v>6614</v>
      </c>
      <c r="AV204" s="27">
        <v>10957.459999999992</v>
      </c>
      <c r="AW204" s="28">
        <v>24910.399999999936</v>
      </c>
      <c r="AX204" s="29">
        <v>6613.7700000000186</v>
      </c>
      <c r="AY204" s="27">
        <v>901584.6</v>
      </c>
      <c r="AZ204" s="28">
        <v>3795186.9</v>
      </c>
      <c r="BA204" s="29">
        <v>3971548.26</v>
      </c>
      <c r="BB204" s="24">
        <v>3.2726569376008543E-3</v>
      </c>
      <c r="BC204" s="25">
        <v>5.4825192325432077E-3</v>
      </c>
      <c r="BD204" s="26">
        <v>1.7606646122917495E-3</v>
      </c>
      <c r="BE204" s="24">
        <v>3.332404747466205E-3</v>
      </c>
      <c r="BF204" s="25">
        <v>5.5218839097413552E-3</v>
      </c>
      <c r="BG204" s="26">
        <v>1.7606033856723371E-3</v>
      </c>
      <c r="BH204" s="24">
        <v>0.27419171973088852</v>
      </c>
      <c r="BI204" s="25">
        <v>0.84127840089164463</v>
      </c>
      <c r="BJ204" s="26">
        <v>1.0572368426656897</v>
      </c>
      <c r="BK204" s="24">
        <v>0.87592999999999999</v>
      </c>
      <c r="BL204" s="25">
        <v>0.81135999999999997</v>
      </c>
      <c r="BM204" s="26">
        <v>0.84360000000000002</v>
      </c>
    </row>
    <row r="205" spans="1:65" x14ac:dyDescent="0.2">
      <c r="A205" s="22">
        <v>7302</v>
      </c>
      <c r="B205" s="23" t="s">
        <v>221</v>
      </c>
      <c r="C205" s="24">
        <v>0.42839140883316418</v>
      </c>
      <c r="D205" s="25">
        <v>0.36459617785142334</v>
      </c>
      <c r="E205" s="26">
        <v>0.39870552463654879</v>
      </c>
      <c r="F205" s="24">
        <v>1.5249656493967825</v>
      </c>
      <c r="G205" s="25">
        <v>0.79096577838102122</v>
      </c>
      <c r="H205" s="26">
        <v>1.9184750605221259</v>
      </c>
      <c r="I205" s="24">
        <v>0.21056924661426005</v>
      </c>
      <c r="J205" s="25">
        <v>-2.8139366271228868E-2</v>
      </c>
      <c r="K205" s="26">
        <v>0.23218019660496145</v>
      </c>
      <c r="L205" s="24">
        <v>0</v>
      </c>
      <c r="M205" s="25">
        <v>0</v>
      </c>
      <c r="N205" s="26">
        <v>0</v>
      </c>
      <c r="O205" s="27">
        <v>0</v>
      </c>
      <c r="P205" s="28">
        <v>0</v>
      </c>
      <c r="Q205" s="29">
        <v>0</v>
      </c>
      <c r="R205" s="24">
        <v>0</v>
      </c>
      <c r="S205" s="25">
        <v>0</v>
      </c>
      <c r="T205" s="26">
        <v>0</v>
      </c>
      <c r="U205" s="27">
        <v>172.22222222222223</v>
      </c>
      <c r="V205" s="28">
        <v>169.09090909090909</v>
      </c>
      <c r="W205" s="29">
        <v>163.12280701754386</v>
      </c>
      <c r="X205" s="24">
        <v>0.60718504801277828</v>
      </c>
      <c r="Y205" s="25">
        <v>0.52744544689690676</v>
      </c>
      <c r="Z205" s="26">
        <v>0.67520288652711691</v>
      </c>
      <c r="AA205" s="24">
        <v>9.6341837851391887E-2</v>
      </c>
      <c r="AB205" s="25">
        <v>0.12424253714462118</v>
      </c>
      <c r="AC205" s="26">
        <v>6.204997401162389E-2</v>
      </c>
      <c r="AD205" s="27">
        <v>4587025</v>
      </c>
      <c r="AE205" s="28">
        <v>7483680</v>
      </c>
      <c r="AF205" s="29">
        <v>4574128</v>
      </c>
      <c r="AG205" s="27">
        <v>8438691</v>
      </c>
      <c r="AH205" s="28">
        <v>21042616</v>
      </c>
      <c r="AI205" s="29">
        <v>8803936</v>
      </c>
      <c r="AJ205" s="27">
        <v>2254682</v>
      </c>
      <c r="AK205" s="28">
        <v>-577587</v>
      </c>
      <c r="AL205" s="29">
        <v>2663675</v>
      </c>
      <c r="AM205" s="30">
        <v>8411074</v>
      </c>
      <c r="AN205" s="30">
        <v>5573000</v>
      </c>
      <c r="AO205" s="30">
        <v>8236675</v>
      </c>
      <c r="AP205" s="27">
        <v>0</v>
      </c>
      <c r="AQ205" s="28">
        <v>0</v>
      </c>
      <c r="AR205" s="29">
        <v>0</v>
      </c>
      <c r="AS205" s="27">
        <v>0</v>
      </c>
      <c r="AT205" s="28">
        <v>0</v>
      </c>
      <c r="AU205" s="29">
        <v>0</v>
      </c>
      <c r="AV205" s="27">
        <v>0</v>
      </c>
      <c r="AW205" s="28">
        <v>155065.69000000128</v>
      </c>
      <c r="AX205" s="29">
        <v>2875.1099999996659</v>
      </c>
      <c r="AY205" s="27">
        <v>8284824.5800000001</v>
      </c>
      <c r="AZ205" s="28">
        <v>13945155.439999998</v>
      </c>
      <c r="BA205" s="29">
        <v>24545261.079999998</v>
      </c>
      <c r="BB205" s="24">
        <v>0</v>
      </c>
      <c r="BC205" s="25">
        <v>0</v>
      </c>
      <c r="BD205" s="26">
        <v>0</v>
      </c>
      <c r="BE205" s="24">
        <v>0</v>
      </c>
      <c r="BF205" s="25">
        <v>9.0463292625179385E-3</v>
      </c>
      <c r="BG205" s="26">
        <v>1.127402157000396E-4</v>
      </c>
      <c r="BH205" s="24">
        <v>0.33734321830290009</v>
      </c>
      <c r="BI205" s="25">
        <v>0.81354210417038197</v>
      </c>
      <c r="BJ205" s="26">
        <v>0.96248074980550602</v>
      </c>
      <c r="BK205" s="24">
        <v>0.86524000000000001</v>
      </c>
      <c r="BL205" s="25">
        <v>0.78998000000000002</v>
      </c>
      <c r="BM205" s="26">
        <v>0.8276</v>
      </c>
    </row>
    <row r="206" spans="1:65" x14ac:dyDescent="0.2">
      <c r="A206" s="22">
        <v>7303</v>
      </c>
      <c r="B206" s="23" t="s">
        <v>222</v>
      </c>
      <c r="C206" s="24">
        <v>0.22509653814226191</v>
      </c>
      <c r="D206" s="25">
        <v>0.20055133402933326</v>
      </c>
      <c r="E206" s="26">
        <v>0.23747259642960272</v>
      </c>
      <c r="F206" s="24">
        <v>0.59569745061950174</v>
      </c>
      <c r="G206" s="25">
        <v>0.40319073912362469</v>
      </c>
      <c r="H206" s="26">
        <v>0.66881041970247435</v>
      </c>
      <c r="I206" s="24">
        <v>5.6409035027976527E-2</v>
      </c>
      <c r="J206" s="25">
        <v>-3.847566051499781E-2</v>
      </c>
      <c r="K206" s="26">
        <v>5.5657827990372152E-2</v>
      </c>
      <c r="L206" s="24">
        <v>0.17511389301947142</v>
      </c>
      <c r="M206" s="25">
        <v>0.30481988532102067</v>
      </c>
      <c r="N206" s="26">
        <v>0.25241770872953434</v>
      </c>
      <c r="O206" s="27">
        <v>131</v>
      </c>
      <c r="P206" s="28">
        <v>194</v>
      </c>
      <c r="Q206" s="29">
        <v>197</v>
      </c>
      <c r="R206" s="24">
        <v>0</v>
      </c>
      <c r="S206" s="25">
        <v>0</v>
      </c>
      <c r="T206" s="26">
        <v>0</v>
      </c>
      <c r="U206" s="27">
        <v>279.61467889908255</v>
      </c>
      <c r="V206" s="28">
        <v>279.61467889908255</v>
      </c>
      <c r="W206" s="29">
        <v>302.25</v>
      </c>
      <c r="X206" s="24">
        <v>0.59164318413266748</v>
      </c>
      <c r="Y206" s="25">
        <v>0.48922461969931236</v>
      </c>
      <c r="Z206" s="26">
        <v>0.61656608118915224</v>
      </c>
      <c r="AA206" s="24">
        <v>0.16198225629351679</v>
      </c>
      <c r="AB206" s="25">
        <v>0.28418304911292286</v>
      </c>
      <c r="AC206" s="26">
        <v>0.12424476739157096</v>
      </c>
      <c r="AD206" s="27">
        <v>7774479</v>
      </c>
      <c r="AE206" s="28">
        <v>15933844</v>
      </c>
      <c r="AF206" s="29">
        <v>8911428</v>
      </c>
      <c r="AG206" s="27">
        <v>32544046</v>
      </c>
      <c r="AH206" s="28">
        <v>82839582</v>
      </c>
      <c r="AI206" s="29">
        <v>36243635</v>
      </c>
      <c r="AJ206" s="27">
        <v>1948279</v>
      </c>
      <c r="AK206" s="28">
        <v>-3056899</v>
      </c>
      <c r="AL206" s="29">
        <v>2088623</v>
      </c>
      <c r="AM206" s="30">
        <v>5365326</v>
      </c>
      <c r="AN206" s="30">
        <v>2318671</v>
      </c>
      <c r="AO206" s="30">
        <v>4499910</v>
      </c>
      <c r="AP206" s="27">
        <v>3994502</v>
      </c>
      <c r="AQ206" s="28">
        <v>5922298</v>
      </c>
      <c r="AR206" s="29">
        <v>5964139</v>
      </c>
      <c r="AS206" s="27">
        <v>0</v>
      </c>
      <c r="AT206" s="28">
        <v>0</v>
      </c>
      <c r="AU206" s="29">
        <v>0</v>
      </c>
      <c r="AV206" s="27">
        <v>1184637.3800000008</v>
      </c>
      <c r="AW206" s="28">
        <v>2716367.1200000006</v>
      </c>
      <c r="AX206" s="29">
        <v>1506206.8400000017</v>
      </c>
      <c r="AY206" s="27">
        <v>19675375.829999998</v>
      </c>
      <c r="AZ206" s="28">
        <v>34090283.280000001</v>
      </c>
      <c r="BA206" s="29">
        <v>38645069.469999999</v>
      </c>
      <c r="BB206" s="24">
        <v>0</v>
      </c>
      <c r="BC206" s="25">
        <v>0</v>
      </c>
      <c r="BD206" s="26">
        <v>0</v>
      </c>
      <c r="BE206" s="24">
        <v>1.6431336919078134E-2</v>
      </c>
      <c r="BF206" s="25">
        <v>4.6154768340239058E-2</v>
      </c>
      <c r="BG206" s="26">
        <v>1.9882005020480494E-2</v>
      </c>
      <c r="BH206" s="24">
        <v>0.27290437962730529</v>
      </c>
      <c r="BI206" s="25">
        <v>0.57924023445016692</v>
      </c>
      <c r="BJ206" s="26">
        <v>0.5101168344311573</v>
      </c>
      <c r="BK206" s="24">
        <v>0.86209999999999998</v>
      </c>
      <c r="BL206" s="25">
        <v>0.76231000000000004</v>
      </c>
      <c r="BM206" s="26">
        <v>0.81220000000000003</v>
      </c>
    </row>
    <row r="207" spans="1:65" x14ac:dyDescent="0.2">
      <c r="A207" s="22">
        <v>7304</v>
      </c>
      <c r="B207" s="23" t="s">
        <v>223</v>
      </c>
      <c r="C207" s="24">
        <v>0.17401644692369639</v>
      </c>
      <c r="D207" s="25">
        <v>0.21486494774020504</v>
      </c>
      <c r="E207" s="26">
        <v>0.21572992991793685</v>
      </c>
      <c r="F207" s="24">
        <v>0.37856137674492357</v>
      </c>
      <c r="G207" s="25">
        <v>0.33110367816998049</v>
      </c>
      <c r="H207" s="26">
        <v>0.62641305264191349</v>
      </c>
      <c r="I207" s="24">
        <v>7.1401280250171931E-3</v>
      </c>
      <c r="J207" s="25">
        <v>-9.3018425156407875E-2</v>
      </c>
      <c r="K207" s="26">
        <v>1.5135689591110174E-2</v>
      </c>
      <c r="L207" s="24">
        <v>0</v>
      </c>
      <c r="M207" s="25">
        <v>0</v>
      </c>
      <c r="N207" s="26">
        <v>0</v>
      </c>
      <c r="O207" s="27">
        <v>0</v>
      </c>
      <c r="P207" s="28">
        <v>0</v>
      </c>
      <c r="Q207" s="29">
        <v>0</v>
      </c>
      <c r="R207" s="24">
        <v>0</v>
      </c>
      <c r="S207" s="25">
        <v>0</v>
      </c>
      <c r="T207" s="26">
        <v>0</v>
      </c>
      <c r="U207" s="27">
        <v>103.09677419354838</v>
      </c>
      <c r="V207" s="28">
        <v>131.34246575342465</v>
      </c>
      <c r="W207" s="29">
        <v>101.63440860215054</v>
      </c>
      <c r="X207" s="24">
        <v>0.43966961598772031</v>
      </c>
      <c r="Y207" s="25">
        <v>0.41858659279363242</v>
      </c>
      <c r="Z207" s="26">
        <v>0.61523808461947993</v>
      </c>
      <c r="AA207" s="24">
        <v>0.39064683523423999</v>
      </c>
      <c r="AB207" s="25">
        <v>0.39889317569857285</v>
      </c>
      <c r="AC207" s="26">
        <v>0.17007313173095773</v>
      </c>
      <c r="AD207" s="27">
        <v>1184168</v>
      </c>
      <c r="AE207" s="28">
        <v>2914955</v>
      </c>
      <c r="AF207" s="29">
        <v>1173982</v>
      </c>
      <c r="AG207" s="27">
        <v>6705046</v>
      </c>
      <c r="AH207" s="28">
        <v>14946365</v>
      </c>
      <c r="AI207" s="29">
        <v>5381385</v>
      </c>
      <c r="AJ207" s="27">
        <v>48588</v>
      </c>
      <c r="AK207" s="28">
        <v>-1261930</v>
      </c>
      <c r="AL207" s="29">
        <v>82367</v>
      </c>
      <c r="AM207" s="30">
        <v>3617781</v>
      </c>
      <c r="AN207" s="30">
        <v>2307263</v>
      </c>
      <c r="AO207" s="30">
        <v>2389630</v>
      </c>
      <c r="AP207" s="27">
        <v>0</v>
      </c>
      <c r="AQ207" s="28">
        <v>0</v>
      </c>
      <c r="AR207" s="29">
        <v>0</v>
      </c>
      <c r="AS207" s="27">
        <v>0</v>
      </c>
      <c r="AT207" s="28">
        <v>0</v>
      </c>
      <c r="AU207" s="29">
        <v>0</v>
      </c>
      <c r="AV207" s="27">
        <v>289471.29000000004</v>
      </c>
      <c r="AW207" s="28">
        <v>173413.73999999958</v>
      </c>
      <c r="AX207" s="29">
        <v>710023.2</v>
      </c>
      <c r="AY207" s="27">
        <v>7707483.2599999998</v>
      </c>
      <c r="AZ207" s="28">
        <v>5860598.1999999993</v>
      </c>
      <c r="BA207" s="29">
        <v>14688900.879999999</v>
      </c>
      <c r="BB207" s="24">
        <v>0</v>
      </c>
      <c r="BC207" s="25">
        <v>0</v>
      </c>
      <c r="BD207" s="26">
        <v>0</v>
      </c>
      <c r="BE207" s="24">
        <v>1.5951885553845711E-2</v>
      </c>
      <c r="BF207" s="25">
        <v>1.6850832777189743E-2</v>
      </c>
      <c r="BG207" s="26">
        <v>5.794465438040744E-2</v>
      </c>
      <c r="BH207" s="24">
        <v>0.42473604505545826</v>
      </c>
      <c r="BI207" s="25">
        <v>0.56948175065308804</v>
      </c>
      <c r="BJ207" s="26">
        <v>1.1987541882006993</v>
      </c>
      <c r="BK207" s="24">
        <v>0.86429</v>
      </c>
      <c r="BL207" s="25">
        <v>0.82608000000000004</v>
      </c>
      <c r="BM207" s="26">
        <v>0.84519999999999995</v>
      </c>
    </row>
    <row r="208" spans="1:65" x14ac:dyDescent="0.2">
      <c r="A208" s="22">
        <v>7305</v>
      </c>
      <c r="B208" s="23" t="s">
        <v>224</v>
      </c>
      <c r="C208" s="24">
        <v>0.27828425342872676</v>
      </c>
      <c r="D208" s="25">
        <v>0.23842757490288158</v>
      </c>
      <c r="E208" s="26">
        <v>0.29132268299867947</v>
      </c>
      <c r="F208" s="24">
        <v>0.61062405792845553</v>
      </c>
      <c r="G208" s="25">
        <v>0.57435647494968689</v>
      </c>
      <c r="H208" s="26">
        <v>0.99861807189405161</v>
      </c>
      <c r="I208" s="24">
        <v>-0.23592540258814471</v>
      </c>
      <c r="J208" s="25">
        <v>-6.2347862124154954E-2</v>
      </c>
      <c r="K208" s="26">
        <v>-2.904925094179648E-2</v>
      </c>
      <c r="L208" s="24">
        <v>0</v>
      </c>
      <c r="M208" s="25">
        <v>0</v>
      </c>
      <c r="N208" s="26">
        <v>0</v>
      </c>
      <c r="O208" s="27">
        <v>0</v>
      </c>
      <c r="P208" s="28">
        <v>0</v>
      </c>
      <c r="Q208" s="29">
        <v>0</v>
      </c>
      <c r="R208" s="24">
        <v>7.2753557491426549E-2</v>
      </c>
      <c r="S208" s="25">
        <v>3.0047941693236543E-2</v>
      </c>
      <c r="T208" s="26">
        <v>0</v>
      </c>
      <c r="U208" s="27">
        <v>168.97297297297297</v>
      </c>
      <c r="V208" s="28">
        <v>168.97297297297297</v>
      </c>
      <c r="W208" s="29">
        <v>171.45205479452054</v>
      </c>
      <c r="X208" s="24">
        <v>0.54640531331913311</v>
      </c>
      <c r="Y208" s="25">
        <v>0.52781684882806901</v>
      </c>
      <c r="Z208" s="26">
        <v>0.60160857832789461</v>
      </c>
      <c r="AA208" s="24">
        <v>0.13141411145730497</v>
      </c>
      <c r="AB208" s="25">
        <v>0.13620358124620657</v>
      </c>
      <c r="AC208" s="26">
        <v>4.4056982528751877E-2</v>
      </c>
      <c r="AD208" s="27">
        <v>1642710</v>
      </c>
      <c r="AE208" s="28">
        <v>3583653</v>
      </c>
      <c r="AF208" s="29">
        <v>2305179</v>
      </c>
      <c r="AG208" s="27">
        <v>7219141</v>
      </c>
      <c r="AH208" s="28">
        <v>15877769</v>
      </c>
      <c r="AI208" s="29">
        <v>7754798</v>
      </c>
      <c r="AJ208" s="27">
        <v>-1392666</v>
      </c>
      <c r="AK208" s="28">
        <v>-937111</v>
      </c>
      <c r="AL208" s="29">
        <v>-229861</v>
      </c>
      <c r="AM208" s="30">
        <v>1083141</v>
      </c>
      <c r="AN208" s="30">
        <v>1538209</v>
      </c>
      <c r="AO208" s="30">
        <v>1298822</v>
      </c>
      <c r="AP208" s="27">
        <v>0</v>
      </c>
      <c r="AQ208" s="28">
        <v>0</v>
      </c>
      <c r="AR208" s="29">
        <v>0</v>
      </c>
      <c r="AS208" s="27">
        <v>369137</v>
      </c>
      <c r="AT208" s="28">
        <v>141278</v>
      </c>
      <c r="AU208" s="29">
        <v>0</v>
      </c>
      <c r="AV208" s="27">
        <v>374220.94999999995</v>
      </c>
      <c r="AW208" s="28">
        <v>2534147.56</v>
      </c>
      <c r="AX208" s="29">
        <v>964242.35000000009</v>
      </c>
      <c r="AY208" s="27">
        <v>1703218.9300000002</v>
      </c>
      <c r="AZ208" s="28">
        <v>3837129.88</v>
      </c>
      <c r="BA208" s="29">
        <v>6191679.79</v>
      </c>
      <c r="BB208" s="24">
        <v>2.2616567036511465E-2</v>
      </c>
      <c r="BC208" s="25">
        <v>8.8978495656411166E-3</v>
      </c>
      <c r="BD208" s="26">
        <v>0</v>
      </c>
      <c r="BE208" s="24">
        <v>2.2928054359606334E-2</v>
      </c>
      <c r="BF208" s="25">
        <v>0.18309694274088545</v>
      </c>
      <c r="BG208" s="26">
        <v>5.3773676080754902E-2</v>
      </c>
      <c r="BH208" s="24">
        <v>0.1043541154319408</v>
      </c>
      <c r="BI208" s="25">
        <v>0.27723987387999638</v>
      </c>
      <c r="BJ208" s="26">
        <v>0.34529637017417514</v>
      </c>
      <c r="BK208" s="24">
        <v>0.76905000000000001</v>
      </c>
      <c r="BL208" s="25">
        <v>0.74123000000000006</v>
      </c>
      <c r="BM208" s="26">
        <v>0.75509999999999999</v>
      </c>
    </row>
    <row r="209" spans="1:65" x14ac:dyDescent="0.2">
      <c r="A209" s="22">
        <v>7306</v>
      </c>
      <c r="B209" s="23" t="s">
        <v>225</v>
      </c>
      <c r="C209" s="24">
        <v>0.2499639451497096</v>
      </c>
      <c r="D209" s="25">
        <v>0.10992284624073853</v>
      </c>
      <c r="E209" s="26">
        <v>0.15676875112080674</v>
      </c>
      <c r="F209" s="24">
        <v>0.42753231665419639</v>
      </c>
      <c r="G209" s="25">
        <v>0.29063033964199975</v>
      </c>
      <c r="H209" s="26">
        <v>0.55232816924465222</v>
      </c>
      <c r="I209" s="24">
        <v>-0.89908933845414396</v>
      </c>
      <c r="J209" s="25">
        <v>-4.2748212022902292E-2</v>
      </c>
      <c r="K209" s="26">
        <v>-0.47141218001567498</v>
      </c>
      <c r="L209" s="24">
        <v>0</v>
      </c>
      <c r="M209" s="25">
        <v>0</v>
      </c>
      <c r="N209" s="26">
        <v>0</v>
      </c>
      <c r="O209" s="27">
        <v>0</v>
      </c>
      <c r="P209" s="28">
        <v>0</v>
      </c>
      <c r="Q209" s="29">
        <v>0</v>
      </c>
      <c r="R209" s="24">
        <v>4.1340415694091732E-3</v>
      </c>
      <c r="S209" s="25">
        <v>4.7444468406297171E-3</v>
      </c>
      <c r="T209" s="26">
        <v>3.9875983782494632E-3</v>
      </c>
      <c r="U209" s="27">
        <v>137.06451612903226</v>
      </c>
      <c r="V209" s="28">
        <v>137.06451612903226</v>
      </c>
      <c r="W209" s="29">
        <v>151.03571428571428</v>
      </c>
      <c r="X209" s="24">
        <v>0.62695962434889518</v>
      </c>
      <c r="Y209" s="25">
        <v>0.4843561210784329</v>
      </c>
      <c r="Z209" s="26">
        <v>0.63918291820620754</v>
      </c>
      <c r="AA209" s="24">
        <v>0.16652172742523408</v>
      </c>
      <c r="AB209" s="25">
        <v>0.28270337162851927</v>
      </c>
      <c r="AC209" s="26">
        <v>1.3973100459189218E-2</v>
      </c>
      <c r="AD209" s="27">
        <v>937672</v>
      </c>
      <c r="AE209" s="28">
        <v>2102993</v>
      </c>
      <c r="AF209" s="29">
        <v>816499</v>
      </c>
      <c r="AG209" s="27">
        <v>7131724</v>
      </c>
      <c r="AH209" s="28">
        <v>19957774</v>
      </c>
      <c r="AI209" s="29">
        <v>7977757</v>
      </c>
      <c r="AJ209" s="27">
        <v>-3372690</v>
      </c>
      <c r="AK209" s="28">
        <v>-817839</v>
      </c>
      <c r="AL209" s="29">
        <v>-2455257</v>
      </c>
      <c r="AM209" s="30">
        <v>241258</v>
      </c>
      <c r="AN209" s="30">
        <v>2764609</v>
      </c>
      <c r="AO209" s="30">
        <v>377843</v>
      </c>
      <c r="AP209" s="27">
        <v>0</v>
      </c>
      <c r="AQ209" s="28">
        <v>0</v>
      </c>
      <c r="AR209" s="29">
        <v>0</v>
      </c>
      <c r="AS209" s="27">
        <v>12240</v>
      </c>
      <c r="AT209" s="28">
        <v>12958</v>
      </c>
      <c r="AU209" s="29">
        <v>12958</v>
      </c>
      <c r="AV209" s="27">
        <v>91001.119999999879</v>
      </c>
      <c r="AW209" s="28">
        <v>389143.11000000028</v>
      </c>
      <c r="AX209" s="29">
        <v>392871.84999999951</v>
      </c>
      <c r="AY209" s="27">
        <v>6218705.04</v>
      </c>
      <c r="AZ209" s="28">
        <v>6101781.0200000005</v>
      </c>
      <c r="BA209" s="29">
        <v>8842284.1799999997</v>
      </c>
      <c r="BB209" s="24">
        <v>6.778169399190042E-4</v>
      </c>
      <c r="BC209" s="25">
        <v>6.4927080545154983E-4</v>
      </c>
      <c r="BD209" s="26">
        <v>6.8042456644594267E-4</v>
      </c>
      <c r="BE209" s="24">
        <v>5.0393873110785954E-3</v>
      </c>
      <c r="BF209" s="25">
        <v>2.6432217160589636E-2</v>
      </c>
      <c r="BG209" s="26">
        <v>2.0629700432556342E-2</v>
      </c>
      <c r="BH209" s="24">
        <v>0.34437447879670657</v>
      </c>
      <c r="BI209" s="25">
        <v>0.41445832353810408</v>
      </c>
      <c r="BJ209" s="26">
        <v>0.46430833304277797</v>
      </c>
      <c r="BK209" s="24">
        <v>0.74890000000000001</v>
      </c>
      <c r="BL209" s="25">
        <v>0.71850999999999998</v>
      </c>
      <c r="BM209" s="26">
        <v>0.73370000000000002</v>
      </c>
    </row>
    <row r="210" spans="1:65" x14ac:dyDescent="0.2">
      <c r="A210" s="22">
        <v>7307</v>
      </c>
      <c r="B210" s="23" t="s">
        <v>226</v>
      </c>
      <c r="C210" s="24">
        <v>0.29550180729305869</v>
      </c>
      <c r="D210" s="25">
        <v>0.18149510726033602</v>
      </c>
      <c r="E210" s="26">
        <v>0.22472155677399999</v>
      </c>
      <c r="F210" s="24">
        <v>0.41009471221641713</v>
      </c>
      <c r="G210" s="25">
        <v>0.28683914640178859</v>
      </c>
      <c r="H210" s="26">
        <v>0.51267456379471255</v>
      </c>
      <c r="I210" s="24">
        <v>-0.36404054238452116</v>
      </c>
      <c r="J210" s="25">
        <v>-0.13508180400240169</v>
      </c>
      <c r="K210" s="26">
        <v>0.11287802021720048</v>
      </c>
      <c r="L210" s="24">
        <v>0.14143218956590503</v>
      </c>
      <c r="M210" s="25">
        <v>0.11931339279824683</v>
      </c>
      <c r="N210" s="26">
        <v>7.5461109921838701E-2</v>
      </c>
      <c r="O210" s="27">
        <v>112</v>
      </c>
      <c r="P210" s="28">
        <v>91</v>
      </c>
      <c r="Q210" s="29">
        <v>81</v>
      </c>
      <c r="R210" s="24">
        <v>6.9471886164632915E-2</v>
      </c>
      <c r="S210" s="25">
        <v>7.1756022838044844E-2</v>
      </c>
      <c r="T210" s="26">
        <v>5.1117179301090707E-2</v>
      </c>
      <c r="U210" s="27">
        <v>97</v>
      </c>
      <c r="V210" s="28">
        <v>103.76744186046511</v>
      </c>
      <c r="W210" s="29">
        <v>98.577777777777783</v>
      </c>
      <c r="X210" s="24">
        <v>0.39422526631912963</v>
      </c>
      <c r="Y210" s="25">
        <v>0.37756122373754142</v>
      </c>
      <c r="Z210" s="26">
        <v>0.42577714831279501</v>
      </c>
      <c r="AA210" s="24">
        <v>0.27419155145058932</v>
      </c>
      <c r="AB210" s="25">
        <v>0.33842247705107231</v>
      </c>
      <c r="AC210" s="26">
        <v>0.26060741915750296</v>
      </c>
      <c r="AD210" s="27">
        <v>1518064</v>
      </c>
      <c r="AE210" s="28">
        <v>2491675</v>
      </c>
      <c r="AF210" s="29">
        <v>1804535</v>
      </c>
      <c r="AG210" s="27">
        <v>7059200</v>
      </c>
      <c r="AH210" s="28">
        <v>15979178</v>
      </c>
      <c r="AI210" s="29">
        <v>7177877</v>
      </c>
      <c r="AJ210" s="27">
        <v>-1870164</v>
      </c>
      <c r="AK210" s="28">
        <v>-1854485</v>
      </c>
      <c r="AL210" s="29">
        <v>906421</v>
      </c>
      <c r="AM210" s="30">
        <v>2447418</v>
      </c>
      <c r="AN210" s="30">
        <v>2464700</v>
      </c>
      <c r="AO210" s="30">
        <v>3325099</v>
      </c>
      <c r="AP210" s="27">
        <v>498283</v>
      </c>
      <c r="AQ210" s="28">
        <v>406975</v>
      </c>
      <c r="AR210" s="29">
        <v>361321</v>
      </c>
      <c r="AS210" s="27">
        <v>244758</v>
      </c>
      <c r="AT210" s="28">
        <v>244758</v>
      </c>
      <c r="AU210" s="29">
        <v>244758</v>
      </c>
      <c r="AV210" s="27">
        <v>352545.80999999994</v>
      </c>
      <c r="AW210" s="28">
        <v>3825843.5700000012</v>
      </c>
      <c r="AX210" s="29">
        <v>1292378.8999999999</v>
      </c>
      <c r="AY210" s="27">
        <v>4885466.07</v>
      </c>
      <c r="AZ210" s="28">
        <v>6922714.0999999996</v>
      </c>
      <c r="BA210" s="29">
        <v>6486918.9299999997</v>
      </c>
      <c r="BB210" s="24">
        <v>1.5337172085842997E-2</v>
      </c>
      <c r="BC210" s="25">
        <v>1.5317308562430432E-2</v>
      </c>
      <c r="BD210" s="26">
        <v>1.3400144076267788E-2</v>
      </c>
      <c r="BE210" s="24">
        <v>2.2091436259950269E-2</v>
      </c>
      <c r="BF210" s="25">
        <v>0.31517407489207988</v>
      </c>
      <c r="BG210" s="26">
        <v>7.0755862775183975E-2</v>
      </c>
      <c r="BH210" s="24">
        <v>0.30613599488121773</v>
      </c>
      <c r="BI210" s="25">
        <v>0.57029514466265974</v>
      </c>
      <c r="BJ210" s="26">
        <v>0.35514936497711563</v>
      </c>
      <c r="BK210" s="24">
        <v>0.66881999999999997</v>
      </c>
      <c r="BL210" s="25">
        <v>0.77895000000000003</v>
      </c>
      <c r="BM210" s="26">
        <v>0.72389999999999999</v>
      </c>
    </row>
    <row r="211" spans="1:65" x14ac:dyDescent="0.2">
      <c r="A211" s="22">
        <v>7308</v>
      </c>
      <c r="B211" s="23" t="s">
        <v>227</v>
      </c>
      <c r="C211" s="24">
        <v>0.42818595674568671</v>
      </c>
      <c r="D211" s="25">
        <v>0.33605659983144548</v>
      </c>
      <c r="E211" s="26">
        <v>0.39627335734517877</v>
      </c>
      <c r="F211" s="24">
        <v>1.0484544353753606</v>
      </c>
      <c r="G211" s="25">
        <v>0.51525131278174452</v>
      </c>
      <c r="H211" s="26">
        <v>1.1624415132330459</v>
      </c>
      <c r="I211" s="24">
        <v>0.1069779813334297</v>
      </c>
      <c r="J211" s="25">
        <v>-0.18043865933234743</v>
      </c>
      <c r="K211" s="26">
        <v>0.22419534024139517</v>
      </c>
      <c r="L211" s="24">
        <v>3.458676888452094E-2</v>
      </c>
      <c r="M211" s="25">
        <v>4.1982341680345411E-2</v>
      </c>
      <c r="N211" s="26">
        <v>3.3292244129491139E-2</v>
      </c>
      <c r="O211" s="27">
        <v>25</v>
      </c>
      <c r="P211" s="28">
        <v>31</v>
      </c>
      <c r="Q211" s="29">
        <v>28</v>
      </c>
      <c r="R211" s="24">
        <v>8.9563149315463018E-3</v>
      </c>
      <c r="S211" s="25">
        <v>1.2921540116547017E-2</v>
      </c>
      <c r="T211" s="26">
        <v>2.3296375712567336E-3</v>
      </c>
      <c r="U211" s="27">
        <v>419.21100917431193</v>
      </c>
      <c r="V211" s="28">
        <v>419.21100917431193</v>
      </c>
      <c r="W211" s="29">
        <v>419.10091743119267</v>
      </c>
      <c r="X211" s="24">
        <v>0.5371890268031303</v>
      </c>
      <c r="Y211" s="25">
        <v>0.4375459539730438</v>
      </c>
      <c r="Z211" s="26">
        <v>0.5422159192565188</v>
      </c>
      <c r="AA211" s="24">
        <v>0.10121981479842612</v>
      </c>
      <c r="AB211" s="25">
        <v>0.30153961381276129</v>
      </c>
      <c r="AC211" s="26">
        <v>0.13399448580777321</v>
      </c>
      <c r="AD211" s="27">
        <v>10059654</v>
      </c>
      <c r="AE211" s="28">
        <v>16804970</v>
      </c>
      <c r="AF211" s="29">
        <v>12212621</v>
      </c>
      <c r="AG211" s="27">
        <v>20734705</v>
      </c>
      <c r="AH211" s="28">
        <v>59643918</v>
      </c>
      <c r="AI211" s="29">
        <v>23877296</v>
      </c>
      <c r="AJ211" s="27">
        <v>2513304</v>
      </c>
      <c r="AK211" s="28">
        <v>-9023082</v>
      </c>
      <c r="AL211" s="29">
        <v>6909404</v>
      </c>
      <c r="AM211" s="30">
        <v>20210676</v>
      </c>
      <c r="AN211" s="30">
        <v>8963865</v>
      </c>
      <c r="AO211" s="30">
        <v>15644520</v>
      </c>
      <c r="AP211" s="27">
        <v>582436</v>
      </c>
      <c r="AQ211" s="28">
        <v>716906</v>
      </c>
      <c r="AR211" s="29">
        <v>636581</v>
      </c>
      <c r="AS211" s="27">
        <v>150823</v>
      </c>
      <c r="AT211" s="28">
        <v>220653</v>
      </c>
      <c r="AU211" s="29">
        <v>44545</v>
      </c>
      <c r="AV211" s="27">
        <v>1256253.46</v>
      </c>
      <c r="AW211" s="28">
        <v>1298863.9200000018</v>
      </c>
      <c r="AX211" s="29">
        <v>1029948.3200000001</v>
      </c>
      <c r="AY211" s="27">
        <v>51878553.700000003</v>
      </c>
      <c r="AZ211" s="28">
        <v>83094872.300000012</v>
      </c>
      <c r="BA211" s="29">
        <v>86940188.679999992</v>
      </c>
      <c r="BB211" s="24">
        <v>2.3909141742135824E-3</v>
      </c>
      <c r="BC211" s="25">
        <v>3.6995054550239305E-3</v>
      </c>
      <c r="BD211" s="26">
        <v>7.4064419401376268E-4</v>
      </c>
      <c r="BE211" s="24">
        <v>1.9914696060407602E-2</v>
      </c>
      <c r="BF211" s="25">
        <v>3.0777379436059096E-2</v>
      </c>
      <c r="BG211" s="26">
        <v>1.7124823063020069E-2</v>
      </c>
      <c r="BH211" s="24">
        <v>0.82240221570337746</v>
      </c>
      <c r="BI211" s="25">
        <v>1.9689841057159962</v>
      </c>
      <c r="BJ211" s="26">
        <v>1.4455437416613097</v>
      </c>
      <c r="BK211" s="24">
        <v>0.86582999999999999</v>
      </c>
      <c r="BL211" s="25">
        <v>0.75849</v>
      </c>
      <c r="BM211" s="26">
        <v>0.81220000000000003</v>
      </c>
    </row>
    <row r="212" spans="1:65" x14ac:dyDescent="0.2">
      <c r="A212" s="22">
        <v>7309</v>
      </c>
      <c r="B212" s="23" t="s">
        <v>228</v>
      </c>
      <c r="C212" s="24">
        <v>0.3186522298450411</v>
      </c>
      <c r="D212" s="25">
        <v>0.2775597457161455</v>
      </c>
      <c r="E212" s="26">
        <v>0.35334353338815094</v>
      </c>
      <c r="F212" s="24">
        <v>0.84540296893907962</v>
      </c>
      <c r="G212" s="25">
        <v>0.74864196739154154</v>
      </c>
      <c r="H212" s="26">
        <v>1.2807175226841248</v>
      </c>
      <c r="I212" s="24">
        <v>1.8313295581508609E-2</v>
      </c>
      <c r="J212" s="25">
        <v>-7.4045154299070947E-3</v>
      </c>
      <c r="K212" s="26">
        <v>0.16182635892061317</v>
      </c>
      <c r="L212" s="24">
        <v>0.31058625401321005</v>
      </c>
      <c r="M212" s="25">
        <v>0.29990125994029498</v>
      </c>
      <c r="N212" s="26">
        <v>0.28158643658383375</v>
      </c>
      <c r="O212" s="27">
        <v>248</v>
      </c>
      <c r="P212" s="28">
        <v>278</v>
      </c>
      <c r="Q212" s="29">
        <v>267</v>
      </c>
      <c r="R212" s="24">
        <v>0</v>
      </c>
      <c r="S212" s="25">
        <v>1.459256110624765E-2</v>
      </c>
      <c r="T212" s="26">
        <v>0</v>
      </c>
      <c r="U212" s="27">
        <v>148.7605633802817</v>
      </c>
      <c r="V212" s="28">
        <v>148.7605633802817</v>
      </c>
      <c r="W212" s="29">
        <v>147.11267605633802</v>
      </c>
      <c r="X212" s="24">
        <v>0.53281808644179895</v>
      </c>
      <c r="Y212" s="25">
        <v>0.55445358608403295</v>
      </c>
      <c r="Z212" s="26">
        <v>0.64383307404563683</v>
      </c>
      <c r="AA212" s="24">
        <v>0.13915482646284857</v>
      </c>
      <c r="AB212" s="25">
        <v>0.14998532412131341</v>
      </c>
      <c r="AC212" s="26">
        <v>8.4252086315980051E-2</v>
      </c>
      <c r="AD212" s="27">
        <v>4671652</v>
      </c>
      <c r="AE212" s="28">
        <v>8405344</v>
      </c>
      <c r="AF212" s="29">
        <v>6065929</v>
      </c>
      <c r="AG212" s="27">
        <v>14358424</v>
      </c>
      <c r="AH212" s="28">
        <v>30611455</v>
      </c>
      <c r="AI212" s="29">
        <v>14316144</v>
      </c>
      <c r="AJ212" s="27">
        <v>268485</v>
      </c>
      <c r="AK212" s="28">
        <v>-224231</v>
      </c>
      <c r="AL212" s="29">
        <v>2778110</v>
      </c>
      <c r="AM212" s="30">
        <v>4144963</v>
      </c>
      <c r="AN212" s="30">
        <v>4006963</v>
      </c>
      <c r="AO212" s="30">
        <v>6628467</v>
      </c>
      <c r="AP212" s="27">
        <v>2622877</v>
      </c>
      <c r="AQ212" s="28">
        <v>2940695</v>
      </c>
      <c r="AR212" s="29">
        <v>2784695</v>
      </c>
      <c r="AS212" s="27">
        <v>0</v>
      </c>
      <c r="AT212" s="28">
        <v>143088</v>
      </c>
      <c r="AU212" s="29">
        <v>0</v>
      </c>
      <c r="AV212" s="27">
        <v>317909.31999999937</v>
      </c>
      <c r="AW212" s="28">
        <v>536666.20000000158</v>
      </c>
      <c r="AX212" s="29">
        <v>226582.37999999998</v>
      </c>
      <c r="AY212" s="27">
        <v>5769080.7699999996</v>
      </c>
      <c r="AZ212" s="28">
        <v>1819019.88</v>
      </c>
      <c r="BA212" s="29">
        <v>7058842.1799999997</v>
      </c>
      <c r="BB212" s="24">
        <v>0</v>
      </c>
      <c r="BC212" s="25">
        <v>4.6743286132593176E-3</v>
      </c>
      <c r="BD212" s="26">
        <v>0</v>
      </c>
      <c r="BE212" s="24">
        <v>1.0581170475465697E-2</v>
      </c>
      <c r="BF212" s="25">
        <v>2.0744555738009082E-2</v>
      </c>
      <c r="BG212" s="26">
        <v>7.2491480548872922E-3</v>
      </c>
      <c r="BH212" s="24">
        <v>0.19201584626113202</v>
      </c>
      <c r="BI212" s="25">
        <v>7.0313277208824548E-2</v>
      </c>
      <c r="BJ212" s="26">
        <v>0.22583659002479969</v>
      </c>
      <c r="BK212" s="24">
        <v>0.90305999999999997</v>
      </c>
      <c r="BL212" s="25">
        <v>0.7964</v>
      </c>
      <c r="BM212" s="26">
        <v>0.84970000000000001</v>
      </c>
    </row>
    <row r="213" spans="1:65" x14ac:dyDescent="0.2">
      <c r="A213" s="22">
        <v>7310</v>
      </c>
      <c r="B213" s="23" t="s">
        <v>229</v>
      </c>
      <c r="C213" s="24">
        <v>0.31436667729652085</v>
      </c>
      <c r="D213" s="25">
        <v>0.26686155942627543</v>
      </c>
      <c r="E213" s="26">
        <v>0.30775480927068449</v>
      </c>
      <c r="F213" s="24">
        <v>1.396523122488051</v>
      </c>
      <c r="G213" s="25">
        <v>0.61209520900615166</v>
      </c>
      <c r="H213" s="26">
        <v>1.6827688059366961</v>
      </c>
      <c r="I213" s="24">
        <v>0.31376767451806398</v>
      </c>
      <c r="J213" s="25">
        <v>-0.1067211990673471</v>
      </c>
      <c r="K213" s="26">
        <v>0.31488755303024579</v>
      </c>
      <c r="L213" s="24">
        <v>0.26998748189860727</v>
      </c>
      <c r="M213" s="25">
        <v>0.17233216703251608</v>
      </c>
      <c r="N213" s="26">
        <v>0.20256833455345685</v>
      </c>
      <c r="O213" s="27">
        <v>146</v>
      </c>
      <c r="P213" s="28">
        <v>136</v>
      </c>
      <c r="Q213" s="29">
        <v>127</v>
      </c>
      <c r="R213" s="24">
        <v>0</v>
      </c>
      <c r="S213" s="25">
        <v>0</v>
      </c>
      <c r="T213" s="26">
        <v>0</v>
      </c>
      <c r="U213" s="27">
        <v>176.43122676579927</v>
      </c>
      <c r="V213" s="28">
        <v>137.56521739130434</v>
      </c>
      <c r="W213" s="29">
        <v>121.63636363636364</v>
      </c>
      <c r="X213" s="24">
        <v>0.71294223167321191</v>
      </c>
      <c r="Y213" s="25">
        <v>0.53353377365998644</v>
      </c>
      <c r="Z213" s="26">
        <v>0.71773569765928835</v>
      </c>
      <c r="AA213" s="24">
        <v>4.3692478551838443E-2</v>
      </c>
      <c r="AB213" s="25">
        <v>0.26693657103528368</v>
      </c>
      <c r="AC213" s="26">
        <v>4.45313516561366E-2</v>
      </c>
      <c r="AD213" s="27">
        <v>2196358</v>
      </c>
      <c r="AE213" s="28">
        <v>3693388</v>
      </c>
      <c r="AF213" s="29">
        <v>2485081</v>
      </c>
      <c r="AG213" s="27">
        <v>5110811</v>
      </c>
      <c r="AH213" s="28">
        <v>15761632</v>
      </c>
      <c r="AI213" s="29">
        <v>5533360</v>
      </c>
      <c r="AJ213" s="27">
        <v>2192173</v>
      </c>
      <c r="AK213" s="28">
        <v>-1477031</v>
      </c>
      <c r="AL213" s="29">
        <v>2542677</v>
      </c>
      <c r="AM213" s="30">
        <v>5730299</v>
      </c>
      <c r="AN213" s="30">
        <v>1966474</v>
      </c>
      <c r="AO213" s="30">
        <v>4312388</v>
      </c>
      <c r="AP213" s="27">
        <v>693188</v>
      </c>
      <c r="AQ213" s="28">
        <v>645020</v>
      </c>
      <c r="AR213" s="29">
        <v>596852</v>
      </c>
      <c r="AS213" s="27">
        <v>0</v>
      </c>
      <c r="AT213" s="28">
        <v>0</v>
      </c>
      <c r="AU213" s="29">
        <v>0</v>
      </c>
      <c r="AV213" s="27">
        <v>337293.66000000003</v>
      </c>
      <c r="AW213" s="28">
        <v>117662.50999999944</v>
      </c>
      <c r="AX213" s="29">
        <v>400858.0500000001</v>
      </c>
      <c r="AY213" s="27">
        <v>7016621.6799999997</v>
      </c>
      <c r="AZ213" s="28">
        <v>14864631.629999999</v>
      </c>
      <c r="BA213" s="29">
        <v>17571060.359999999</v>
      </c>
      <c r="BB213" s="24">
        <v>0</v>
      </c>
      <c r="BC213" s="25">
        <v>0</v>
      </c>
      <c r="BD213" s="26">
        <v>0</v>
      </c>
      <c r="BE213" s="24">
        <v>2.3400730507806788E-2</v>
      </c>
      <c r="BF213" s="25">
        <v>9.4926348938296889E-3</v>
      </c>
      <c r="BG213" s="26">
        <v>2.8918488292846468E-2</v>
      </c>
      <c r="BH213" s="24">
        <v>0.48679857489439465</v>
      </c>
      <c r="BI213" s="25">
        <v>1.19923092661259</v>
      </c>
      <c r="BJ213" s="26">
        <v>1.2676020933434129</v>
      </c>
      <c r="BK213" s="24">
        <v>0.95101999999999998</v>
      </c>
      <c r="BL213" s="25">
        <v>0.79815999999999998</v>
      </c>
      <c r="BM213" s="26">
        <v>0.87460000000000004</v>
      </c>
    </row>
    <row r="214" spans="1:65" x14ac:dyDescent="0.2">
      <c r="A214" s="22">
        <v>7311</v>
      </c>
      <c r="B214" s="23" t="s">
        <v>230</v>
      </c>
      <c r="C214" s="24">
        <v>0.23256171879332349</v>
      </c>
      <c r="D214" s="25">
        <v>0.16417307455495453</v>
      </c>
      <c r="E214" s="26">
        <v>0.2897743521282361</v>
      </c>
      <c r="F214" s="24">
        <v>0.50205333913094474</v>
      </c>
      <c r="G214" s="25">
        <v>0.32901320537118722</v>
      </c>
      <c r="H214" s="26">
        <v>0.75573522240860591</v>
      </c>
      <c r="I214" s="24">
        <v>6.9143130034878666E-2</v>
      </c>
      <c r="J214" s="25">
        <v>7.3747291479608526E-2</v>
      </c>
      <c r="K214" s="26">
        <v>5.4128240808203158E-2</v>
      </c>
      <c r="L214" s="24">
        <v>0</v>
      </c>
      <c r="M214" s="25">
        <v>0</v>
      </c>
      <c r="N214" s="26">
        <v>0</v>
      </c>
      <c r="O214" s="27">
        <v>0</v>
      </c>
      <c r="P214" s="28">
        <v>0</v>
      </c>
      <c r="Q214" s="29">
        <v>0</v>
      </c>
      <c r="R214" s="24">
        <v>0</v>
      </c>
      <c r="S214" s="25">
        <v>0</v>
      </c>
      <c r="T214" s="26">
        <v>0.27487994880393485</v>
      </c>
      <c r="U214" s="27">
        <v>298.63157894736844</v>
      </c>
      <c r="V214" s="28">
        <v>298.63157894736844</v>
      </c>
      <c r="W214" s="29">
        <v>296.91228070175441</v>
      </c>
      <c r="X214" s="24">
        <v>0.50851039772749362</v>
      </c>
      <c r="Y214" s="25">
        <v>0.44859388277168388</v>
      </c>
      <c r="Z214" s="26">
        <v>0.61637770249254231</v>
      </c>
      <c r="AA214" s="24">
        <v>0.2124178771538551</v>
      </c>
      <c r="AB214" s="25">
        <v>0.28270361043341918</v>
      </c>
      <c r="AC214" s="26">
        <v>7.1158576145239807E-2</v>
      </c>
      <c r="AD214" s="27">
        <v>4537661</v>
      </c>
      <c r="AE214" s="28">
        <v>8052512</v>
      </c>
      <c r="AF214" s="29">
        <v>5198163</v>
      </c>
      <c r="AG214" s="27">
        <v>18519816</v>
      </c>
      <c r="AH214" s="28">
        <v>45797604</v>
      </c>
      <c r="AI214" s="29">
        <v>17036541</v>
      </c>
      <c r="AJ214" s="27">
        <v>1349096</v>
      </c>
      <c r="AK214" s="28">
        <v>3617225</v>
      </c>
      <c r="AL214" s="29">
        <v>970988</v>
      </c>
      <c r="AM214" s="30">
        <v>6885512</v>
      </c>
      <c r="AN214" s="30">
        <v>9093366</v>
      </c>
      <c r="AO214" s="30">
        <v>10093280</v>
      </c>
      <c r="AP214" s="27">
        <v>0</v>
      </c>
      <c r="AQ214" s="28">
        <v>0</v>
      </c>
      <c r="AR214" s="29">
        <v>0</v>
      </c>
      <c r="AS214" s="27">
        <v>0</v>
      </c>
      <c r="AT214" s="28">
        <v>0</v>
      </c>
      <c r="AU214" s="29">
        <v>2843508</v>
      </c>
      <c r="AV214" s="27">
        <v>556349.53000000026</v>
      </c>
      <c r="AW214" s="28">
        <v>4436758.8500000006</v>
      </c>
      <c r="AX214" s="29">
        <v>3824231.3900000006</v>
      </c>
      <c r="AY214" s="27">
        <v>21544922.23</v>
      </c>
      <c r="AZ214" s="28">
        <v>17216967.91</v>
      </c>
      <c r="BA214" s="29">
        <v>24277565.330000002</v>
      </c>
      <c r="BB214" s="24">
        <v>0</v>
      </c>
      <c r="BC214" s="25">
        <v>0</v>
      </c>
      <c r="BD214" s="26">
        <v>6.4561352649963044E-2</v>
      </c>
      <c r="BE214" s="24">
        <v>1.340446108358927E-2</v>
      </c>
      <c r="BF214" s="25">
        <v>0.13248946118501767</v>
      </c>
      <c r="BG214" s="26">
        <v>8.6828505980939177E-2</v>
      </c>
      <c r="BH214" s="24">
        <v>0.51909466263230641</v>
      </c>
      <c r="BI214" s="25">
        <v>0.51412909260002704</v>
      </c>
      <c r="BJ214" s="26">
        <v>0.551217881839139</v>
      </c>
      <c r="BK214" s="24">
        <v>0.84204000000000001</v>
      </c>
      <c r="BL214" s="25">
        <v>0.76978000000000002</v>
      </c>
      <c r="BM214" s="26">
        <v>0.80589999999999995</v>
      </c>
    </row>
    <row r="215" spans="1:65" x14ac:dyDescent="0.2">
      <c r="A215" s="22">
        <v>7312</v>
      </c>
      <c r="B215" s="23" t="s">
        <v>231</v>
      </c>
      <c r="C215" s="24">
        <v>0.3137200143349137</v>
      </c>
      <c r="D215" s="25">
        <v>0.36046638298952483</v>
      </c>
      <c r="E215" s="26">
        <v>0.2920405015387787</v>
      </c>
      <c r="F215" s="24">
        <v>0.90089843267357206</v>
      </c>
      <c r="G215" s="25">
        <v>0.94984462853679097</v>
      </c>
      <c r="H215" s="26">
        <v>1.1780104167826768</v>
      </c>
      <c r="I215" s="24">
        <v>7.0701804130667923E-3</v>
      </c>
      <c r="J215" s="25">
        <v>-0.11933199876573208</v>
      </c>
      <c r="K215" s="26">
        <v>0.14941577947607898</v>
      </c>
      <c r="L215" s="24">
        <v>9.0798235229288659E-3</v>
      </c>
      <c r="M215" s="25">
        <v>6.1835523341451674E-3</v>
      </c>
      <c r="N215" s="26">
        <v>0</v>
      </c>
      <c r="O215" s="27">
        <v>14</v>
      </c>
      <c r="P215" s="28">
        <v>9</v>
      </c>
      <c r="Q215" s="29">
        <v>0</v>
      </c>
      <c r="R215" s="24">
        <v>0</v>
      </c>
      <c r="S215" s="25">
        <v>0</v>
      </c>
      <c r="T215" s="26">
        <v>0</v>
      </c>
      <c r="U215" s="27">
        <v>89.090909090909093</v>
      </c>
      <c r="V215" s="28">
        <v>89.090909090909093</v>
      </c>
      <c r="W215" s="29">
        <v>82.130434782608702</v>
      </c>
      <c r="X215" s="24">
        <v>0.79138184663957634</v>
      </c>
      <c r="Y215" s="25">
        <v>0.73593952604186363</v>
      </c>
      <c r="Z215" s="26">
        <v>0.71883675211321896</v>
      </c>
      <c r="AA215" s="24">
        <v>2.6465739572884256E-2</v>
      </c>
      <c r="AB215" s="25">
        <v>9.1204140082568982E-2</v>
      </c>
      <c r="AC215" s="26">
        <v>7.7424818965279876E-2</v>
      </c>
      <c r="AD215" s="27">
        <v>1173913</v>
      </c>
      <c r="AE215" s="28">
        <v>2726567</v>
      </c>
      <c r="AF215" s="29">
        <v>1586621</v>
      </c>
      <c r="AG215" s="27">
        <v>3718430</v>
      </c>
      <c r="AH215" s="28">
        <v>8647557</v>
      </c>
      <c r="AI215" s="29">
        <v>4539875</v>
      </c>
      <c r="AJ215" s="27">
        <v>26456</v>
      </c>
      <c r="AK215" s="28">
        <v>-902627</v>
      </c>
      <c r="AL215" s="29">
        <v>811758</v>
      </c>
      <c r="AM215" s="30">
        <v>4083428</v>
      </c>
      <c r="AN215" s="30">
        <v>3211475</v>
      </c>
      <c r="AO215" s="30">
        <v>4006342</v>
      </c>
      <c r="AP215" s="27">
        <v>28094</v>
      </c>
      <c r="AQ215" s="28">
        <v>18232</v>
      </c>
      <c r="AR215" s="29">
        <v>0</v>
      </c>
      <c r="AS215" s="27">
        <v>0</v>
      </c>
      <c r="AT215" s="28">
        <v>0</v>
      </c>
      <c r="AU215" s="29">
        <v>0</v>
      </c>
      <c r="AV215" s="27">
        <v>9816.0200000000423</v>
      </c>
      <c r="AW215" s="28">
        <v>174415.23000000021</v>
      </c>
      <c r="AX215" s="29">
        <v>13580.619999999903</v>
      </c>
      <c r="AY215" s="27">
        <v>3394860.91</v>
      </c>
      <c r="AZ215" s="28">
        <v>3386614.9699999997</v>
      </c>
      <c r="BA215" s="29">
        <v>4086618.4000000004</v>
      </c>
      <c r="BB215" s="24">
        <v>0</v>
      </c>
      <c r="BC215" s="25">
        <v>0</v>
      </c>
      <c r="BD215" s="26">
        <v>0</v>
      </c>
      <c r="BE215" s="24">
        <v>8.3141579844340596E-4</v>
      </c>
      <c r="BF215" s="25">
        <v>2.229814905726956E-2</v>
      </c>
      <c r="BG215" s="26">
        <v>1.0928241745490376E-3</v>
      </c>
      <c r="BH215" s="24">
        <v>0.28754434017982294</v>
      </c>
      <c r="BI215" s="25">
        <v>0.43296245058783217</v>
      </c>
      <c r="BJ215" s="26">
        <v>0.32884767997903935</v>
      </c>
      <c r="BK215" s="24">
        <v>0.88966000000000001</v>
      </c>
      <c r="BL215" s="25">
        <v>0.87195</v>
      </c>
      <c r="BM215" s="26">
        <v>0.88080000000000003</v>
      </c>
    </row>
    <row r="216" spans="1:65" x14ac:dyDescent="0.2">
      <c r="A216" s="22">
        <v>7313</v>
      </c>
      <c r="B216" s="23" t="s">
        <v>232</v>
      </c>
      <c r="C216" s="24">
        <v>0.25469762444383626</v>
      </c>
      <c r="D216" s="25">
        <v>0.26397548627962636</v>
      </c>
      <c r="E216" s="26">
        <v>0.24452191080661953</v>
      </c>
      <c r="F216" s="24">
        <v>0.85252592529487847</v>
      </c>
      <c r="G216" s="25">
        <v>0.87468356083764698</v>
      </c>
      <c r="H216" s="26">
        <v>0.80035679565837725</v>
      </c>
      <c r="I216" s="24">
        <v>7.0175524855506793E-2</v>
      </c>
      <c r="J216" s="25">
        <v>1.1261920937100829E-2</v>
      </c>
      <c r="K216" s="26">
        <v>5.4109261880741902E-2</v>
      </c>
      <c r="L216" s="24">
        <v>0.1695167349997862</v>
      </c>
      <c r="M216" s="25">
        <v>0.14603540912615159</v>
      </c>
      <c r="N216" s="26">
        <v>0.11239181193994284</v>
      </c>
      <c r="O216" s="27">
        <v>137</v>
      </c>
      <c r="P216" s="28">
        <v>116</v>
      </c>
      <c r="Q216" s="29">
        <v>90</v>
      </c>
      <c r="R216" s="24">
        <v>8.8114440429908278E-2</v>
      </c>
      <c r="S216" s="25">
        <v>0.15011442758002069</v>
      </c>
      <c r="T216" s="26">
        <v>0.14886937882966911</v>
      </c>
      <c r="U216" s="27">
        <v>117.35164835164835</v>
      </c>
      <c r="V216" s="28">
        <v>117.35164835164835</v>
      </c>
      <c r="W216" s="29">
        <v>115.72527472527473</v>
      </c>
      <c r="X216" s="24">
        <v>0.66356470852267391</v>
      </c>
      <c r="Y216" s="25">
        <v>0.66889265908309536</v>
      </c>
      <c r="Z216" s="26">
        <v>0.63853237001786978</v>
      </c>
      <c r="AA216" s="24">
        <v>9.5432069087349275E-2</v>
      </c>
      <c r="AB216" s="25">
        <v>9.9975060598026411E-2</v>
      </c>
      <c r="AC216" s="26">
        <v>0.12469470608491441</v>
      </c>
      <c r="AD216" s="27">
        <v>3522528</v>
      </c>
      <c r="AE216" s="28">
        <v>7098323</v>
      </c>
      <c r="AF216" s="29">
        <v>3549159</v>
      </c>
      <c r="AG216" s="27">
        <v>12026167</v>
      </c>
      <c r="AH216" s="28">
        <v>25421620</v>
      </c>
      <c r="AI216" s="29">
        <v>13680669</v>
      </c>
      <c r="AJ216" s="27">
        <v>970544</v>
      </c>
      <c r="AK216" s="28">
        <v>302834</v>
      </c>
      <c r="AL216" s="29">
        <v>785379</v>
      </c>
      <c r="AM216" s="30">
        <v>1998001</v>
      </c>
      <c r="AN216" s="30">
        <v>978001</v>
      </c>
      <c r="AO216" s="30">
        <v>1481456</v>
      </c>
      <c r="AP216" s="27">
        <v>1462934</v>
      </c>
      <c r="AQ216" s="28">
        <v>1239917</v>
      </c>
      <c r="AR216" s="29">
        <v>948021</v>
      </c>
      <c r="AS216" s="27">
        <v>760430</v>
      </c>
      <c r="AT216" s="28">
        <v>1274550</v>
      </c>
      <c r="AU216" s="29">
        <v>1255708</v>
      </c>
      <c r="AV216" s="27">
        <v>2020816.5600000003</v>
      </c>
      <c r="AW216" s="28">
        <v>3338675.68</v>
      </c>
      <c r="AX216" s="29">
        <v>3089722.15</v>
      </c>
      <c r="AY216" s="27">
        <v>12513103.609999999</v>
      </c>
      <c r="AZ216" s="28">
        <v>24811866.149999999</v>
      </c>
      <c r="BA216" s="29">
        <v>33607141.780000001</v>
      </c>
      <c r="BB216" s="24">
        <v>3.4687585928671924E-2</v>
      </c>
      <c r="BC216" s="25">
        <v>5.0136458652123662E-2</v>
      </c>
      <c r="BD216" s="26">
        <v>5.3359826812196663E-2</v>
      </c>
      <c r="BE216" s="24">
        <v>9.2181066069307122E-2</v>
      </c>
      <c r="BF216" s="25">
        <v>0.15042249353264622</v>
      </c>
      <c r="BG216" s="26">
        <v>0.13129408972612097</v>
      </c>
      <c r="BH216" s="24">
        <v>0.57079462502301315</v>
      </c>
      <c r="BI216" s="25">
        <v>1.117887190372818</v>
      </c>
      <c r="BJ216" s="26">
        <v>1.4280957555687617</v>
      </c>
      <c r="BK216" s="24">
        <v>0.84958</v>
      </c>
      <c r="BL216" s="25">
        <v>0.78610999999999998</v>
      </c>
      <c r="BM216" s="26">
        <v>0.81779999999999997</v>
      </c>
    </row>
    <row r="217" spans="1:65" x14ac:dyDescent="0.2">
      <c r="A217" s="22">
        <v>7314</v>
      </c>
      <c r="B217" s="23" t="s">
        <v>233</v>
      </c>
      <c r="C217" s="24">
        <v>0.37360310638007732</v>
      </c>
      <c r="D217" s="25">
        <v>0.33863082234978353</v>
      </c>
      <c r="E217" s="26">
        <v>0.37279406448711244</v>
      </c>
      <c r="F217" s="24">
        <v>0.85196067440157341</v>
      </c>
      <c r="G217" s="25">
        <v>0.63631732346879755</v>
      </c>
      <c r="H217" s="26">
        <v>1.3356686572203049</v>
      </c>
      <c r="I217" s="24">
        <v>0.17257291157426041</v>
      </c>
      <c r="J217" s="25">
        <v>3.088750055554185E-2</v>
      </c>
      <c r="K217" s="26">
        <v>0.10617523559972489</v>
      </c>
      <c r="L217" s="24">
        <v>0.14159419092663525</v>
      </c>
      <c r="M217" s="25">
        <v>0.16171510125836719</v>
      </c>
      <c r="N217" s="26">
        <v>0.13267289388529965</v>
      </c>
      <c r="O217" s="27">
        <v>140</v>
      </c>
      <c r="P217" s="28">
        <v>157</v>
      </c>
      <c r="Q217" s="29">
        <v>148</v>
      </c>
      <c r="R217" s="24">
        <v>0</v>
      </c>
      <c r="S217" s="25">
        <v>0</v>
      </c>
      <c r="T217" s="26">
        <v>0</v>
      </c>
      <c r="U217" s="27">
        <v>243.01388888888889</v>
      </c>
      <c r="V217" s="28">
        <v>234.85906040268458</v>
      </c>
      <c r="W217" s="29">
        <v>230.86092715231788</v>
      </c>
      <c r="X217" s="24">
        <v>0.48881044644036714</v>
      </c>
      <c r="Y217" s="25">
        <v>0.43607500125747561</v>
      </c>
      <c r="Z217" s="26">
        <v>0.49434129073856381</v>
      </c>
      <c r="AA217" s="24">
        <v>0.24240341494019652</v>
      </c>
      <c r="AB217" s="25">
        <v>0.3074380638809926</v>
      </c>
      <c r="AC217" s="26">
        <v>0.17332309085278849</v>
      </c>
      <c r="AD217" s="27">
        <v>7994465</v>
      </c>
      <c r="AE217" s="28">
        <v>15139711</v>
      </c>
      <c r="AF217" s="29">
        <v>8822579</v>
      </c>
      <c r="AG217" s="27">
        <v>19180658</v>
      </c>
      <c r="AH217" s="28">
        <v>45448198</v>
      </c>
      <c r="AI217" s="29">
        <v>21181067</v>
      </c>
      <c r="AJ217" s="27">
        <v>3692764</v>
      </c>
      <c r="AK217" s="28">
        <v>1380937</v>
      </c>
      <c r="AL217" s="29">
        <v>2512753</v>
      </c>
      <c r="AM217" s="30">
        <v>9400726</v>
      </c>
      <c r="AN217" s="30">
        <v>6277184</v>
      </c>
      <c r="AO217" s="30">
        <v>7226188</v>
      </c>
      <c r="AP217" s="27">
        <v>2440859</v>
      </c>
      <c r="AQ217" s="28">
        <v>2751940</v>
      </c>
      <c r="AR217" s="29">
        <v>2572021</v>
      </c>
      <c r="AS217" s="27">
        <v>0</v>
      </c>
      <c r="AT217" s="28">
        <v>0</v>
      </c>
      <c r="AU217" s="29">
        <v>0</v>
      </c>
      <c r="AV217" s="27">
        <v>180875.40000000008</v>
      </c>
      <c r="AW217" s="28">
        <v>2611456.0000000009</v>
      </c>
      <c r="AX217" s="29">
        <v>659653.44999999972</v>
      </c>
      <c r="AY217" s="27">
        <v>25484662.16</v>
      </c>
      <c r="AZ217" s="28">
        <v>24753034.440000001</v>
      </c>
      <c r="BA217" s="29">
        <v>30884630.509999998</v>
      </c>
      <c r="BB217" s="24">
        <v>0</v>
      </c>
      <c r="BC217" s="25">
        <v>0</v>
      </c>
      <c r="BD217" s="26">
        <v>0</v>
      </c>
      <c r="BE217" s="24">
        <v>4.1635684069841559E-3</v>
      </c>
      <c r="BF217" s="25">
        <v>8.0981690139141721E-2</v>
      </c>
      <c r="BG217" s="26">
        <v>1.4379592129193255E-2</v>
      </c>
      <c r="BH217" s="24">
        <v>0.58663109650090917</v>
      </c>
      <c r="BI217" s="25">
        <v>0.7675957645939977</v>
      </c>
      <c r="BJ217" s="26">
        <v>0.67324500431952272</v>
      </c>
      <c r="BK217" s="24">
        <v>0.87778999999999996</v>
      </c>
      <c r="BL217" s="25">
        <v>0.75668000000000002</v>
      </c>
      <c r="BM217" s="26">
        <v>0.81720000000000004</v>
      </c>
    </row>
    <row r="218" spans="1:65" x14ac:dyDescent="0.2">
      <c r="A218" s="22">
        <v>7315</v>
      </c>
      <c r="B218" s="23" t="s">
        <v>234</v>
      </c>
      <c r="C218" s="24">
        <v>0.55597229980580021</v>
      </c>
      <c r="D218" s="25">
        <v>0.54655047308413496</v>
      </c>
      <c r="E218" s="26">
        <v>0.57082404308433565</v>
      </c>
      <c r="F218" s="24">
        <v>1.0356665775111795</v>
      </c>
      <c r="G218" s="25">
        <v>0.8638547184187646</v>
      </c>
      <c r="H218" s="26">
        <v>0.96838417992084169</v>
      </c>
      <c r="I218" s="24">
        <v>0.1557383727144214</v>
      </c>
      <c r="J218" s="25">
        <v>5.0358726936562993E-2</v>
      </c>
      <c r="K218" s="26">
        <v>0.12258456977373898</v>
      </c>
      <c r="L218" s="24">
        <v>0.51560917793461025</v>
      </c>
      <c r="M218" s="25">
        <v>0.33120210726480287</v>
      </c>
      <c r="N218" s="26">
        <v>0.32746213568909222</v>
      </c>
      <c r="O218" s="27">
        <v>1045</v>
      </c>
      <c r="P218" s="28">
        <v>951</v>
      </c>
      <c r="Q218" s="29">
        <v>877</v>
      </c>
      <c r="R218" s="24">
        <v>0</v>
      </c>
      <c r="S218" s="25">
        <v>0</v>
      </c>
      <c r="T218" s="26">
        <v>0</v>
      </c>
      <c r="U218" s="27">
        <v>80.035714285714292</v>
      </c>
      <c r="V218" s="28">
        <v>81.490909090909085</v>
      </c>
      <c r="W218" s="29">
        <v>85.803921568627445</v>
      </c>
      <c r="X218" s="24">
        <v>0.4797884314391187</v>
      </c>
      <c r="Y218" s="25">
        <v>0.38024910880586921</v>
      </c>
      <c r="Z218" s="26">
        <v>0.43379747476618413</v>
      </c>
      <c r="AA218" s="24">
        <v>0.13202917979433276</v>
      </c>
      <c r="AB218" s="25">
        <v>0.22803342858976208</v>
      </c>
      <c r="AC218" s="26">
        <v>0.25142848610713153</v>
      </c>
      <c r="AD218" s="27">
        <v>2756961</v>
      </c>
      <c r="AE218" s="28">
        <v>6010004</v>
      </c>
      <c r="AF218" s="29">
        <v>3445692</v>
      </c>
      <c r="AG218" s="27">
        <v>4185499</v>
      </c>
      <c r="AH218" s="28">
        <v>10457037</v>
      </c>
      <c r="AI218" s="29">
        <v>5290916</v>
      </c>
      <c r="AJ218" s="27">
        <v>772277</v>
      </c>
      <c r="AK218" s="28">
        <v>553757</v>
      </c>
      <c r="AL218" s="29">
        <v>739963</v>
      </c>
      <c r="AM218" s="30">
        <v>796514</v>
      </c>
      <c r="AN218" s="30">
        <v>366734</v>
      </c>
      <c r="AO218" s="30">
        <v>895539</v>
      </c>
      <c r="AP218" s="27">
        <v>2341752</v>
      </c>
      <c r="AQ218" s="28">
        <v>2130492</v>
      </c>
      <c r="AR218" s="29">
        <v>1919232</v>
      </c>
      <c r="AS218" s="27">
        <v>0</v>
      </c>
      <c r="AT218" s="28">
        <v>0</v>
      </c>
      <c r="AU218" s="29">
        <v>0</v>
      </c>
      <c r="AV218" s="27">
        <v>134748.34999999986</v>
      </c>
      <c r="AW218" s="28">
        <v>80471.659999999931</v>
      </c>
      <c r="AX218" s="29">
        <v>2542584.3299999996</v>
      </c>
      <c r="AY218" s="27">
        <v>2591025.3499999996</v>
      </c>
      <c r="AZ218" s="28">
        <v>9732955.4600000009</v>
      </c>
      <c r="BA218" s="29">
        <v>12728716.740000002</v>
      </c>
      <c r="BB218" s="24">
        <v>0</v>
      </c>
      <c r="BC218" s="25">
        <v>0</v>
      </c>
      <c r="BD218" s="26">
        <v>0</v>
      </c>
      <c r="BE218" s="24">
        <v>1.828888706110882E-2</v>
      </c>
      <c r="BF218" s="25">
        <v>8.5732470138346287E-3</v>
      </c>
      <c r="BG218" s="26">
        <v>0.26936915359867897</v>
      </c>
      <c r="BH218" s="24">
        <v>0.35167013175760592</v>
      </c>
      <c r="BI218" s="25">
        <v>1.0369244443724726</v>
      </c>
      <c r="BJ218" s="26">
        <v>1.3485191480949374</v>
      </c>
      <c r="BK218" s="24">
        <v>0.92732000000000003</v>
      </c>
      <c r="BL218" s="25">
        <v>0.88892000000000004</v>
      </c>
      <c r="BM218" s="26">
        <v>0.90810000000000002</v>
      </c>
    </row>
    <row r="219" spans="1:65" x14ac:dyDescent="0.2">
      <c r="A219" s="22">
        <v>7316</v>
      </c>
      <c r="B219" s="23" t="s">
        <v>235</v>
      </c>
      <c r="C219" s="24">
        <v>0.33618063628419181</v>
      </c>
      <c r="D219" s="25">
        <v>0.25072916976491594</v>
      </c>
      <c r="E219" s="26">
        <v>0.27784880836858966</v>
      </c>
      <c r="F219" s="24">
        <v>0.50933096627117858</v>
      </c>
      <c r="G219" s="25">
        <v>0.51935255755035337</v>
      </c>
      <c r="H219" s="26">
        <v>0.76044040010655056</v>
      </c>
      <c r="I219" s="24">
        <v>-0.3515865790361582</v>
      </c>
      <c r="J219" s="25">
        <v>-0.14542513792123798</v>
      </c>
      <c r="K219" s="26">
        <v>3.0864898206213264E-4</v>
      </c>
      <c r="L219" s="24">
        <v>0.74304144071768097</v>
      </c>
      <c r="M219" s="25">
        <v>0.72943763713712162</v>
      </c>
      <c r="N219" s="26">
        <v>0.67056549336410853</v>
      </c>
      <c r="O219" s="27">
        <v>476</v>
      </c>
      <c r="P219" s="28">
        <v>463</v>
      </c>
      <c r="Q219" s="29">
        <v>456</v>
      </c>
      <c r="R219" s="24">
        <v>8.0721251478431635E-2</v>
      </c>
      <c r="S219" s="25">
        <v>0.11738272160806197</v>
      </c>
      <c r="T219" s="26">
        <v>0.11448098993396166</v>
      </c>
      <c r="U219" s="27">
        <v>205.61764705882354</v>
      </c>
      <c r="V219" s="28">
        <v>205.61764705882354</v>
      </c>
      <c r="W219" s="29">
        <v>202.55882352941177</v>
      </c>
      <c r="X219" s="24">
        <v>0.56873689644636893</v>
      </c>
      <c r="Y219" s="25">
        <v>0.6114035247319759</v>
      </c>
      <c r="Z219" s="26">
        <v>0.67278148593025877</v>
      </c>
      <c r="AA219" s="24">
        <v>0.24156739711093847</v>
      </c>
      <c r="AB219" s="25">
        <v>0.17188240971994306</v>
      </c>
      <c r="AC219" s="26">
        <v>0.10808385180379129</v>
      </c>
      <c r="AD219" s="27">
        <v>2245846</v>
      </c>
      <c r="AE219" s="28">
        <v>3666963</v>
      </c>
      <c r="AF219" s="29">
        <v>2300936</v>
      </c>
      <c r="AG219" s="27">
        <v>9017115</v>
      </c>
      <c r="AH219" s="28">
        <v>17148084</v>
      </c>
      <c r="AI219" s="29">
        <v>8396814</v>
      </c>
      <c r="AJ219" s="27">
        <v>-2348765</v>
      </c>
      <c r="AK219" s="28">
        <v>-2126871</v>
      </c>
      <c r="AL219" s="29">
        <v>2556</v>
      </c>
      <c r="AM219" s="30">
        <v>634574</v>
      </c>
      <c r="AN219" s="30">
        <v>760468</v>
      </c>
      <c r="AO219" s="30">
        <v>668848</v>
      </c>
      <c r="AP219" s="27">
        <v>3329643</v>
      </c>
      <c r="AQ219" s="28">
        <v>3233643</v>
      </c>
      <c r="AR219" s="29">
        <v>3137643</v>
      </c>
      <c r="AS219" s="27">
        <v>361720</v>
      </c>
      <c r="AT219" s="28">
        <v>520365</v>
      </c>
      <c r="AU219" s="29">
        <v>535668</v>
      </c>
      <c r="AV219" s="27">
        <v>318949.95000000007</v>
      </c>
      <c r="AW219" s="28">
        <v>498216.30999999976</v>
      </c>
      <c r="AX219" s="29">
        <v>492898.05000000005</v>
      </c>
      <c r="AY219" s="27">
        <v>1653653.3900000001</v>
      </c>
      <c r="AZ219" s="28">
        <v>1112899.5899999999</v>
      </c>
      <c r="BA219" s="29">
        <v>1309074.25</v>
      </c>
      <c r="BB219" s="24">
        <v>2.1840360082159168E-2</v>
      </c>
      <c r="BC219" s="25">
        <v>3.0345372695865031E-2</v>
      </c>
      <c r="BD219" s="26">
        <v>3.5003254510426032E-2</v>
      </c>
      <c r="BE219" s="24">
        <v>1.9257939168933608E-2</v>
      </c>
      <c r="BF219" s="25">
        <v>3.3980812586812084E-2</v>
      </c>
      <c r="BG219" s="26">
        <v>3.2208449808169795E-2</v>
      </c>
      <c r="BH219" s="24">
        <v>9.9846249830485442E-2</v>
      </c>
      <c r="BI219" s="25">
        <v>7.590524765383537E-2</v>
      </c>
      <c r="BJ219" s="26">
        <v>8.5541527860157923E-2</v>
      </c>
      <c r="BK219" s="24">
        <v>0.85455000000000003</v>
      </c>
      <c r="BL219" s="25">
        <v>0.79676000000000002</v>
      </c>
      <c r="BM219" s="26">
        <v>0.82569999999999999</v>
      </c>
    </row>
    <row r="220" spans="1:65" x14ac:dyDescent="0.2">
      <c r="A220" s="22">
        <v>7317</v>
      </c>
      <c r="B220" s="23" t="s">
        <v>236</v>
      </c>
      <c r="C220" s="24">
        <v>0.17021127386038137</v>
      </c>
      <c r="D220" s="25">
        <v>0.17071619155700291</v>
      </c>
      <c r="E220" s="26">
        <v>0.16253789438168081</v>
      </c>
      <c r="F220" s="24">
        <v>0.59102766642777826</v>
      </c>
      <c r="G220" s="25">
        <v>0.41866692070736189</v>
      </c>
      <c r="H220" s="26">
        <v>0.85242624225218</v>
      </c>
      <c r="I220" s="24">
        <v>0.1031053163165576</v>
      </c>
      <c r="J220" s="25">
        <v>-0.13706488381190401</v>
      </c>
      <c r="K220" s="26">
        <v>0.30581285769741184</v>
      </c>
      <c r="L220" s="24">
        <v>1.7919824298884973E-2</v>
      </c>
      <c r="M220" s="25">
        <v>0</v>
      </c>
      <c r="N220" s="26">
        <v>0</v>
      </c>
      <c r="O220" s="27">
        <v>11</v>
      </c>
      <c r="P220" s="28">
        <v>0</v>
      </c>
      <c r="Q220" s="29">
        <v>0</v>
      </c>
      <c r="R220" s="24">
        <v>0</v>
      </c>
      <c r="S220" s="25">
        <v>0</v>
      </c>
      <c r="T220" s="26">
        <v>0</v>
      </c>
      <c r="U220" s="27">
        <v>140.47999999999999</v>
      </c>
      <c r="V220" s="28">
        <v>140.47999999999999</v>
      </c>
      <c r="W220" s="29">
        <v>140.28</v>
      </c>
      <c r="X220" s="24">
        <v>0.56228054302706387</v>
      </c>
      <c r="Y220" s="25">
        <v>0.53861444321708218</v>
      </c>
      <c r="Z220" s="26">
        <v>0.63564151597116536</v>
      </c>
      <c r="AA220" s="24">
        <v>0.18760874936583599</v>
      </c>
      <c r="AB220" s="25">
        <v>0.24602560852796065</v>
      </c>
      <c r="AC220" s="26">
        <v>0.12754259584447641</v>
      </c>
      <c r="AD220" s="27">
        <v>1876173</v>
      </c>
      <c r="AE220" s="28">
        <v>3748721</v>
      </c>
      <c r="AF220" s="29">
        <v>2048324</v>
      </c>
      <c r="AG220" s="27">
        <v>9798333</v>
      </c>
      <c r="AH220" s="28">
        <v>24068779</v>
      </c>
      <c r="AI220" s="29">
        <v>9637149</v>
      </c>
      <c r="AJ220" s="27">
        <v>1136490</v>
      </c>
      <c r="AK220" s="28">
        <v>-3009779</v>
      </c>
      <c r="AL220" s="29">
        <v>3853894</v>
      </c>
      <c r="AM220" s="30">
        <v>15700646</v>
      </c>
      <c r="AN220" s="30">
        <v>11413257</v>
      </c>
      <c r="AO220" s="30">
        <v>15335803</v>
      </c>
      <c r="AP220" s="27">
        <v>74249</v>
      </c>
      <c r="AQ220" s="28">
        <v>0</v>
      </c>
      <c r="AR220" s="29">
        <v>0</v>
      </c>
      <c r="AS220" s="27">
        <v>0</v>
      </c>
      <c r="AT220" s="28">
        <v>0</v>
      </c>
      <c r="AU220" s="29">
        <v>0</v>
      </c>
      <c r="AV220" s="27">
        <v>223197.23999999955</v>
      </c>
      <c r="AW220" s="28">
        <v>1306103.3899999992</v>
      </c>
      <c r="AX220" s="29">
        <v>215695.05</v>
      </c>
      <c r="AY220" s="27">
        <v>17103993.890000001</v>
      </c>
      <c r="AZ220" s="28">
        <v>15152734.220000001</v>
      </c>
      <c r="BA220" s="29">
        <v>20463460.220000003</v>
      </c>
      <c r="BB220" s="24">
        <v>0</v>
      </c>
      <c r="BC220" s="25">
        <v>0</v>
      </c>
      <c r="BD220" s="26">
        <v>0</v>
      </c>
      <c r="BE220" s="24">
        <v>6.4005881731497381E-3</v>
      </c>
      <c r="BF220" s="25">
        <v>7.0218973922866482E-2</v>
      </c>
      <c r="BG220" s="26">
        <v>5.9047068492147177E-3</v>
      </c>
      <c r="BH220" s="24">
        <v>0.49048823814290721</v>
      </c>
      <c r="BI220" s="25">
        <v>0.81464412174468626</v>
      </c>
      <c r="BJ220" s="26">
        <v>0.56019242778017819</v>
      </c>
      <c r="BK220" s="24">
        <v>0.87373000000000001</v>
      </c>
      <c r="BL220" s="25">
        <v>0.71501999999999999</v>
      </c>
      <c r="BM220" s="26">
        <v>0.7944</v>
      </c>
    </row>
    <row r="221" spans="1:65" x14ac:dyDescent="0.2">
      <c r="A221" s="22">
        <v>7318</v>
      </c>
      <c r="B221" s="23" t="s">
        <v>237</v>
      </c>
      <c r="C221" s="24">
        <v>0.35034213832895661</v>
      </c>
      <c r="D221" s="25">
        <v>0.34361883301834234</v>
      </c>
      <c r="E221" s="26">
        <v>0.32637676395494553</v>
      </c>
      <c r="F221" s="24">
        <v>1.0407039806328813</v>
      </c>
      <c r="G221" s="25">
        <v>0.74973808605662373</v>
      </c>
      <c r="H221" s="26">
        <v>1.1375140088278779</v>
      </c>
      <c r="I221" s="24">
        <v>9.1816264893612068E-2</v>
      </c>
      <c r="J221" s="25">
        <v>-7.3987319924464279E-2</v>
      </c>
      <c r="K221" s="26">
        <v>0.12324986473094279</v>
      </c>
      <c r="L221" s="24">
        <v>5.9776460959431788E-2</v>
      </c>
      <c r="M221" s="25">
        <v>4.2283753776140076E-2</v>
      </c>
      <c r="N221" s="26">
        <v>3.8247231217937078E-2</v>
      </c>
      <c r="O221" s="27">
        <v>41</v>
      </c>
      <c r="P221" s="28">
        <v>36</v>
      </c>
      <c r="Q221" s="29">
        <v>32</v>
      </c>
      <c r="R221" s="24">
        <v>0</v>
      </c>
      <c r="S221" s="25">
        <v>6.4619887920532417E-3</v>
      </c>
      <c r="T221" s="26">
        <v>1.0723140727022056E-3</v>
      </c>
      <c r="U221" s="27">
        <v>120.81494661921708</v>
      </c>
      <c r="V221" s="28">
        <v>176.81770833333334</v>
      </c>
      <c r="W221" s="29">
        <v>244.22463768115941</v>
      </c>
      <c r="X221" s="24">
        <v>0.60193048909195035</v>
      </c>
      <c r="Y221" s="25">
        <v>0.54489873572639347</v>
      </c>
      <c r="Z221" s="26">
        <v>0.68773702701304851</v>
      </c>
      <c r="AA221" s="24">
        <v>9.7845785364257074E-2</v>
      </c>
      <c r="AB221" s="25">
        <v>0.15407791269830884</v>
      </c>
      <c r="AC221" s="26">
        <v>2.952371288309447E-2</v>
      </c>
      <c r="AD221" s="27">
        <v>13900758</v>
      </c>
      <c r="AE221" s="28">
        <v>26554315</v>
      </c>
      <c r="AF221" s="29">
        <v>14547959</v>
      </c>
      <c r="AG221" s="27">
        <v>36028072</v>
      </c>
      <c r="AH221" s="28">
        <v>86587349</v>
      </c>
      <c r="AI221" s="29">
        <v>39113949</v>
      </c>
      <c r="AJ221" s="27">
        <v>3643055</v>
      </c>
      <c r="AK221" s="28">
        <v>-5717622</v>
      </c>
      <c r="AL221" s="29">
        <v>5493755</v>
      </c>
      <c r="AM221" s="30">
        <v>32351690</v>
      </c>
      <c r="AN221" s="30">
        <v>22410133</v>
      </c>
      <c r="AO221" s="30">
        <v>28347831</v>
      </c>
      <c r="AP221" s="27">
        <v>1391123</v>
      </c>
      <c r="AQ221" s="28">
        <v>1228868</v>
      </c>
      <c r="AR221" s="29">
        <v>1066614</v>
      </c>
      <c r="AS221" s="27">
        <v>0</v>
      </c>
      <c r="AT221" s="28">
        <v>187801</v>
      </c>
      <c r="AU221" s="29">
        <v>29904</v>
      </c>
      <c r="AV221" s="27">
        <v>1014536.6000000009</v>
      </c>
      <c r="AW221" s="28">
        <v>1805176.3700000027</v>
      </c>
      <c r="AX221" s="29">
        <v>863363.74000000185</v>
      </c>
      <c r="AY221" s="27">
        <v>18985673.98</v>
      </c>
      <c r="AZ221" s="28">
        <v>34465796.300000004</v>
      </c>
      <c r="BA221" s="29">
        <v>50153451.799999997</v>
      </c>
      <c r="BB221" s="24">
        <v>0</v>
      </c>
      <c r="BC221" s="25">
        <v>2.1689196189618879E-3</v>
      </c>
      <c r="BD221" s="26">
        <v>3.0038257795512514E-4</v>
      </c>
      <c r="BE221" s="24">
        <v>1.0421820205237846E-2</v>
      </c>
      <c r="BF221" s="25">
        <v>2.7990076417382138E-2</v>
      </c>
      <c r="BG221" s="26">
        <v>8.6723992086068392E-3</v>
      </c>
      <c r="BH221" s="24">
        <v>0.19503020462230961</v>
      </c>
      <c r="BI221" s="25">
        <v>0.53440776660671951</v>
      </c>
      <c r="BJ221" s="26">
        <v>0.50378622074077406</v>
      </c>
      <c r="BK221" s="24">
        <v>0.83453999999999995</v>
      </c>
      <c r="BL221" s="25">
        <v>0.73126999999999998</v>
      </c>
      <c r="BM221" s="26">
        <v>0.78290000000000004</v>
      </c>
    </row>
    <row r="222" spans="1:65" x14ac:dyDescent="0.2">
      <c r="A222" s="22">
        <v>7319</v>
      </c>
      <c r="B222" s="23" t="s">
        <v>238</v>
      </c>
      <c r="C222" s="24">
        <v>0.26327927051383349</v>
      </c>
      <c r="D222" s="25">
        <v>0.23413054694326754</v>
      </c>
      <c r="E222" s="26">
        <v>0.27725520022304961</v>
      </c>
      <c r="F222" s="24">
        <v>0.6907392245231897</v>
      </c>
      <c r="G222" s="25">
        <v>0.43860662237051268</v>
      </c>
      <c r="H222" s="26">
        <v>0.98881859467666622</v>
      </c>
      <c r="I222" s="24">
        <v>5.5049697869994946E-2</v>
      </c>
      <c r="J222" s="25">
        <v>-0.1052964566281431</v>
      </c>
      <c r="K222" s="26">
        <v>6.0126714497329613E-2</v>
      </c>
      <c r="L222" s="24">
        <v>0</v>
      </c>
      <c r="M222" s="25">
        <v>3.1217240945685454E-2</v>
      </c>
      <c r="N222" s="26">
        <v>5.7676422569624001E-3</v>
      </c>
      <c r="O222" s="27">
        <v>0</v>
      </c>
      <c r="P222" s="28">
        <v>18</v>
      </c>
      <c r="Q222" s="29">
        <v>3</v>
      </c>
      <c r="R222" s="24">
        <v>0</v>
      </c>
      <c r="S222" s="25">
        <v>4.050169110891707E-4</v>
      </c>
      <c r="T222" s="26">
        <v>0</v>
      </c>
      <c r="U222" s="27">
        <v>207.86666666666667</v>
      </c>
      <c r="V222" s="28">
        <v>239.84615384615384</v>
      </c>
      <c r="W222" s="29">
        <v>233.37974683544303</v>
      </c>
      <c r="X222" s="24">
        <v>0.56055127123374238</v>
      </c>
      <c r="Y222" s="25">
        <v>0.48802165887874993</v>
      </c>
      <c r="Z222" s="26">
        <v>0.62732392554667193</v>
      </c>
      <c r="AA222" s="24">
        <v>0.12117647363280572</v>
      </c>
      <c r="AB222" s="25">
        <v>0.21412035822106329</v>
      </c>
      <c r="AC222" s="26">
        <v>3.1441890875404208E-2</v>
      </c>
      <c r="AD222" s="27">
        <v>4528677</v>
      </c>
      <c r="AE222" s="28">
        <v>8114762</v>
      </c>
      <c r="AF222" s="29">
        <v>5116272</v>
      </c>
      <c r="AG222" s="27">
        <v>17002302</v>
      </c>
      <c r="AH222" s="28">
        <v>40392488</v>
      </c>
      <c r="AI222" s="29">
        <v>16964883</v>
      </c>
      <c r="AJ222" s="27">
        <v>946912</v>
      </c>
      <c r="AK222" s="28">
        <v>-3649484</v>
      </c>
      <c r="AL222" s="29">
        <v>1109536</v>
      </c>
      <c r="AM222" s="30">
        <v>8363313</v>
      </c>
      <c r="AN222" s="30">
        <v>4155135</v>
      </c>
      <c r="AO222" s="30">
        <v>4943144</v>
      </c>
      <c r="AP222" s="27">
        <v>0</v>
      </c>
      <c r="AQ222" s="28">
        <v>344069</v>
      </c>
      <c r="AR222" s="29">
        <v>63854</v>
      </c>
      <c r="AS222" s="27">
        <v>0</v>
      </c>
      <c r="AT222" s="28">
        <v>4464</v>
      </c>
      <c r="AU222" s="29">
        <v>0</v>
      </c>
      <c r="AV222" s="27">
        <v>518673.69999999966</v>
      </c>
      <c r="AW222" s="28">
        <v>604631.66000000155</v>
      </c>
      <c r="AX222" s="29">
        <v>92421.120000001945</v>
      </c>
      <c r="AY222" s="27">
        <v>15920882.530000001</v>
      </c>
      <c r="AZ222" s="28">
        <v>16544161.18</v>
      </c>
      <c r="BA222" s="29">
        <v>36891480.869999997</v>
      </c>
      <c r="BB222" s="24">
        <v>0</v>
      </c>
      <c r="BC222" s="25">
        <v>1.1051559884105183E-4</v>
      </c>
      <c r="BD222" s="26">
        <v>0</v>
      </c>
      <c r="BE222" s="24">
        <v>1.2876247156444323E-2</v>
      </c>
      <c r="BF222" s="25">
        <v>1.8656070515883735E-2</v>
      </c>
      <c r="BG222" s="26">
        <v>2.4036809110386925E-3</v>
      </c>
      <c r="BH222" s="24">
        <v>0.39524120541488172</v>
      </c>
      <c r="BI222" s="25">
        <v>0.5104744888817524</v>
      </c>
      <c r="BJ222" s="26">
        <v>0.95947060960921304</v>
      </c>
      <c r="BK222" s="24">
        <v>0.82406999999999997</v>
      </c>
      <c r="BL222" s="25">
        <v>0.79000999999999999</v>
      </c>
      <c r="BM222" s="26">
        <v>0.80700000000000005</v>
      </c>
    </row>
    <row r="223" spans="1:65" x14ac:dyDescent="0.2">
      <c r="A223" s="22">
        <v>7320</v>
      </c>
      <c r="B223" s="23" t="s">
        <v>239</v>
      </c>
      <c r="C223" s="24">
        <v>0.25781190434613654</v>
      </c>
      <c r="D223" s="25">
        <v>0.16529247947526038</v>
      </c>
      <c r="E223" s="26">
        <v>0.24211384778712855</v>
      </c>
      <c r="F223" s="24">
        <v>0.85184799383571108</v>
      </c>
      <c r="G223" s="25">
        <v>0.32955079753627714</v>
      </c>
      <c r="H223" s="26">
        <v>0.7302104016187656</v>
      </c>
      <c r="I223" s="24">
        <v>2.0680375476718731E-2</v>
      </c>
      <c r="J223" s="25">
        <v>4.0835405679104868E-2</v>
      </c>
      <c r="K223" s="26">
        <v>-1.8264506219353521E-2</v>
      </c>
      <c r="L223" s="24">
        <v>7.5398957181229256E-2</v>
      </c>
      <c r="M223" s="25">
        <v>9.551453601408999E-2</v>
      </c>
      <c r="N223" s="26">
        <v>3.3642168219542926E-2</v>
      </c>
      <c r="O223" s="27">
        <v>55</v>
      </c>
      <c r="P223" s="28">
        <v>60</v>
      </c>
      <c r="Q223" s="29">
        <v>26</v>
      </c>
      <c r="R223" s="24">
        <v>6.9923526623479226E-2</v>
      </c>
      <c r="S223" s="25">
        <v>3.9368329559230537E-2</v>
      </c>
      <c r="T223" s="26">
        <v>1.303578881923092E-2</v>
      </c>
      <c r="U223" s="27">
        <v>261.93939393939394</v>
      </c>
      <c r="V223" s="28">
        <v>278.83870967741933</v>
      </c>
      <c r="W223" s="29">
        <v>276.70967741935482</v>
      </c>
      <c r="X223" s="24">
        <v>0.55858028333890497</v>
      </c>
      <c r="Y223" s="25">
        <v>0.39957282867692656</v>
      </c>
      <c r="Z223" s="26">
        <v>0.60404849997215049</v>
      </c>
      <c r="AA223" s="24">
        <v>0.18049752824320367</v>
      </c>
      <c r="AB223" s="25">
        <v>0.38206080960169031</v>
      </c>
      <c r="AC223" s="26">
        <v>0.11279133528560863</v>
      </c>
      <c r="AD223" s="27">
        <v>2306128</v>
      </c>
      <c r="AE223" s="28">
        <v>4269875</v>
      </c>
      <c r="AF223" s="29">
        <v>2350364</v>
      </c>
      <c r="AG223" s="27">
        <v>8788486</v>
      </c>
      <c r="AH223" s="28">
        <v>25733469</v>
      </c>
      <c r="AI223" s="29">
        <v>9138397</v>
      </c>
      <c r="AJ223" s="27">
        <v>184986</v>
      </c>
      <c r="AK223" s="28">
        <v>1054870</v>
      </c>
      <c r="AL223" s="29">
        <v>-177306</v>
      </c>
      <c r="AM223" s="30">
        <v>974263</v>
      </c>
      <c r="AN223" s="30">
        <v>1894075</v>
      </c>
      <c r="AO223" s="30">
        <v>1315302</v>
      </c>
      <c r="AP223" s="27">
        <v>477200</v>
      </c>
      <c r="AQ223" s="28">
        <v>521975</v>
      </c>
      <c r="AR223" s="29">
        <v>224234</v>
      </c>
      <c r="AS223" s="27">
        <v>442546</v>
      </c>
      <c r="AT223" s="28">
        <v>215143</v>
      </c>
      <c r="AU223" s="29">
        <v>86887</v>
      </c>
      <c r="AV223" s="27">
        <v>610257.56999999995</v>
      </c>
      <c r="AW223" s="28">
        <v>497024.65999999928</v>
      </c>
      <c r="AX223" s="29">
        <v>284394.2900000001</v>
      </c>
      <c r="AY223" s="27">
        <v>3900488.6899999995</v>
      </c>
      <c r="AZ223" s="28">
        <v>30345514.670000002</v>
      </c>
      <c r="BA223" s="29">
        <v>30327796.540000003</v>
      </c>
      <c r="BB223" s="24">
        <v>2.3117154598615863E-2</v>
      </c>
      <c r="BC223" s="25">
        <v>8.3604351982237615E-3</v>
      </c>
      <c r="BD223" s="26">
        <v>4.0031750065723628E-3</v>
      </c>
      <c r="BE223" s="24">
        <v>3.1877858099871294E-2</v>
      </c>
      <c r="BF223" s="25">
        <v>2.5285556685802828E-2</v>
      </c>
      <c r="BG223" s="26">
        <v>1.3102997154233579E-2</v>
      </c>
      <c r="BH223" s="24">
        <v>0.20374876296900807</v>
      </c>
      <c r="BI223" s="25">
        <v>1.543793081309381</v>
      </c>
      <c r="BJ223" s="26">
        <v>1.3973031306563675</v>
      </c>
      <c r="BK223" s="24">
        <v>0.78761000000000003</v>
      </c>
      <c r="BL223" s="25">
        <v>0.75819999999999999</v>
      </c>
      <c r="BM223" s="26">
        <v>0.77290000000000003</v>
      </c>
    </row>
    <row r="224" spans="1:65" x14ac:dyDescent="0.2">
      <c r="A224" s="22">
        <v>7321</v>
      </c>
      <c r="B224" s="23" t="s">
        <v>240</v>
      </c>
      <c r="C224" s="24">
        <v>0.3760662015474629</v>
      </c>
      <c r="D224" s="25">
        <v>0.35269464411147</v>
      </c>
      <c r="E224" s="26">
        <v>0.47321781532620322</v>
      </c>
      <c r="F224" s="24">
        <v>0.98848468201737927</v>
      </c>
      <c r="G224" s="25">
        <v>0.55141334247345331</v>
      </c>
      <c r="H224" s="26">
        <v>0.95138876669165351</v>
      </c>
      <c r="I224" s="24">
        <v>4.4560051310716768E-2</v>
      </c>
      <c r="J224" s="25">
        <v>-1.2088457917727568E-2</v>
      </c>
      <c r="K224" s="26">
        <v>-1.1860371282456436E-2</v>
      </c>
      <c r="L224" s="24">
        <v>0</v>
      </c>
      <c r="M224" s="25">
        <v>0</v>
      </c>
      <c r="N224" s="26">
        <v>0</v>
      </c>
      <c r="O224" s="27">
        <v>0</v>
      </c>
      <c r="P224" s="28">
        <v>0</v>
      </c>
      <c r="Q224" s="29">
        <v>0</v>
      </c>
      <c r="R224" s="24">
        <v>0</v>
      </c>
      <c r="S224" s="25">
        <v>0</v>
      </c>
      <c r="T224" s="26">
        <v>0</v>
      </c>
      <c r="U224" s="27">
        <v>41.5</v>
      </c>
      <c r="V224" s="28">
        <v>41.5</v>
      </c>
      <c r="W224" s="29">
        <v>51.954545454545453</v>
      </c>
      <c r="X224" s="24">
        <v>0.43771822081247802</v>
      </c>
      <c r="Y224" s="25">
        <v>0.36525716058751001</v>
      </c>
      <c r="Z224" s="26">
        <v>0.54823832147410723</v>
      </c>
      <c r="AA224" s="24">
        <v>0.25812894274700005</v>
      </c>
      <c r="AB224" s="25">
        <v>0.38729297814245633</v>
      </c>
      <c r="AC224" s="26">
        <v>7.2880546596833684E-2</v>
      </c>
      <c r="AD224" s="27">
        <v>1515091</v>
      </c>
      <c r="AE224" s="28">
        <v>3288327</v>
      </c>
      <c r="AF224" s="29">
        <v>1622017</v>
      </c>
      <c r="AG224" s="27">
        <v>3807783</v>
      </c>
      <c r="AH224" s="28">
        <v>9423703</v>
      </c>
      <c r="AI224" s="29">
        <v>3440781</v>
      </c>
      <c r="AJ224" s="27">
        <v>179523</v>
      </c>
      <c r="AK224" s="28">
        <v>-112706</v>
      </c>
      <c r="AL224" s="29">
        <v>-40653</v>
      </c>
      <c r="AM224" s="30">
        <v>419283</v>
      </c>
      <c r="AN224" s="30">
        <v>123099</v>
      </c>
      <c r="AO224" s="30">
        <v>74716</v>
      </c>
      <c r="AP224" s="27">
        <v>0</v>
      </c>
      <c r="AQ224" s="28">
        <v>0</v>
      </c>
      <c r="AR224" s="29">
        <v>0</v>
      </c>
      <c r="AS224" s="27">
        <v>0</v>
      </c>
      <c r="AT224" s="28">
        <v>0</v>
      </c>
      <c r="AU224" s="29">
        <v>0</v>
      </c>
      <c r="AV224" s="27">
        <v>0</v>
      </c>
      <c r="AW224" s="28">
        <v>724409.83000000007</v>
      </c>
      <c r="AX224" s="29">
        <v>330593.5299999998</v>
      </c>
      <c r="AY224" s="27">
        <v>3039245.8099999996</v>
      </c>
      <c r="AZ224" s="28">
        <v>2275420.2799999998</v>
      </c>
      <c r="BA224" s="29">
        <v>2995028.04</v>
      </c>
      <c r="BB224" s="24">
        <v>0</v>
      </c>
      <c r="BC224" s="25">
        <v>0</v>
      </c>
      <c r="BD224" s="26">
        <v>0</v>
      </c>
      <c r="BE224" s="24">
        <v>0</v>
      </c>
      <c r="BF224" s="25">
        <v>0.11088697045263589</v>
      </c>
      <c r="BG224" s="26">
        <v>5.3519334197386893E-2</v>
      </c>
      <c r="BH224" s="24">
        <v>0.45840057983963756</v>
      </c>
      <c r="BI224" s="25">
        <v>0.34830347533479555</v>
      </c>
      <c r="BJ224" s="26">
        <v>0.48486099108867842</v>
      </c>
      <c r="BK224" s="24">
        <v>0.80861000000000005</v>
      </c>
      <c r="BL224" s="25">
        <v>0.77639000000000002</v>
      </c>
      <c r="BM224" s="26">
        <v>0.79249999999999998</v>
      </c>
    </row>
    <row r="225" spans="1:65" x14ac:dyDescent="0.2">
      <c r="A225" s="22">
        <v>7322</v>
      </c>
      <c r="B225" s="23" t="s">
        <v>241</v>
      </c>
      <c r="C225" s="24">
        <v>1.01328043563424</v>
      </c>
      <c r="D225" s="25">
        <v>0.77912848498482234</v>
      </c>
      <c r="E225" s="26">
        <v>0.62912576121991792</v>
      </c>
      <c r="F225" s="24">
        <v>1.6803509084576067</v>
      </c>
      <c r="G225" s="25">
        <v>1.3410450857289991</v>
      </c>
      <c r="H225" s="26">
        <v>1.4150363925829104</v>
      </c>
      <c r="I225" s="24">
        <v>-0.26139348834664733</v>
      </c>
      <c r="J225" s="25">
        <v>-0.16817675214739092</v>
      </c>
      <c r="K225" s="26">
        <v>-1.7998064199551442E-2</v>
      </c>
      <c r="L225" s="24">
        <v>0</v>
      </c>
      <c r="M225" s="25">
        <v>0</v>
      </c>
      <c r="N225" s="26">
        <v>0</v>
      </c>
      <c r="O225" s="27">
        <v>0</v>
      </c>
      <c r="P225" s="28">
        <v>0</v>
      </c>
      <c r="Q225" s="29">
        <v>0</v>
      </c>
      <c r="R225" s="24">
        <v>0</v>
      </c>
      <c r="S225" s="25">
        <v>0</v>
      </c>
      <c r="T225" s="26">
        <v>0</v>
      </c>
      <c r="U225" s="27">
        <v>65.909090909090907</v>
      </c>
      <c r="V225" s="28">
        <v>65.909090909090907</v>
      </c>
      <c r="W225" s="29">
        <v>65.681818181818187</v>
      </c>
      <c r="X225" s="24">
        <v>0.52096720816015207</v>
      </c>
      <c r="Y225" s="25">
        <v>0.42987438089974178</v>
      </c>
      <c r="Z225" s="26">
        <v>0.40668698882615728</v>
      </c>
      <c r="AA225" s="24">
        <v>2.8315410934855116E-2</v>
      </c>
      <c r="AB225" s="25">
        <v>0.11358785557650329</v>
      </c>
      <c r="AC225" s="26">
        <v>0.38563626267819201</v>
      </c>
      <c r="AD225" s="27">
        <v>4148820</v>
      </c>
      <c r="AE225" s="28">
        <v>8963426</v>
      </c>
      <c r="AF225" s="29">
        <v>5363070</v>
      </c>
      <c r="AG225" s="27">
        <v>5155002</v>
      </c>
      <c r="AH225" s="28">
        <v>13426541</v>
      </c>
      <c r="AI225" s="29">
        <v>7772796</v>
      </c>
      <c r="AJ225" s="27">
        <v>-1070261</v>
      </c>
      <c r="AK225" s="28">
        <v>-1934777</v>
      </c>
      <c r="AL225" s="29">
        <v>-153427</v>
      </c>
      <c r="AM225" s="30">
        <v>6819267</v>
      </c>
      <c r="AN225" s="30">
        <v>5954751</v>
      </c>
      <c r="AO225" s="30">
        <v>5696224</v>
      </c>
      <c r="AP225" s="27">
        <v>0</v>
      </c>
      <c r="AQ225" s="28">
        <v>0</v>
      </c>
      <c r="AR225" s="29">
        <v>0</v>
      </c>
      <c r="AS225" s="27">
        <v>0</v>
      </c>
      <c r="AT225" s="28">
        <v>0</v>
      </c>
      <c r="AU225" s="29">
        <v>0</v>
      </c>
      <c r="AV225" s="27">
        <v>4802.9600000001956</v>
      </c>
      <c r="AW225" s="28">
        <v>613023.8600000008</v>
      </c>
      <c r="AX225" s="29">
        <v>8847.0200000012155</v>
      </c>
      <c r="AY225" s="27">
        <v>1938034.8299999998</v>
      </c>
      <c r="AZ225" s="28">
        <v>20484181.530000001</v>
      </c>
      <c r="BA225" s="29">
        <v>19462416.040000003</v>
      </c>
      <c r="BB225" s="24">
        <v>0</v>
      </c>
      <c r="BC225" s="25">
        <v>0</v>
      </c>
      <c r="BD225" s="26">
        <v>0</v>
      </c>
      <c r="BE225" s="24">
        <v>2.5207705508148356E-4</v>
      </c>
      <c r="BF225" s="25">
        <v>4.907940153642177E-2</v>
      </c>
      <c r="BG225" s="26">
        <v>4.1359293216302191E-4</v>
      </c>
      <c r="BH225" s="24">
        <v>0.10171521574023597</v>
      </c>
      <c r="BI225" s="25">
        <v>1.6399873415299417</v>
      </c>
      <c r="BJ225" s="26">
        <v>0.90985639423886511</v>
      </c>
      <c r="BK225" s="24">
        <v>0.95970999999999995</v>
      </c>
      <c r="BL225" s="25">
        <v>0.82869999999999999</v>
      </c>
      <c r="BM225" s="26">
        <v>0.89419999999999999</v>
      </c>
    </row>
    <row r="226" spans="1:65" x14ac:dyDescent="0.2">
      <c r="A226" s="22">
        <v>7401</v>
      </c>
      <c r="B226" s="23" t="s">
        <v>242</v>
      </c>
      <c r="C226" s="24">
        <v>0.12692621209538812</v>
      </c>
      <c r="D226" s="25">
        <v>0.16106561316138668</v>
      </c>
      <c r="E226" s="26">
        <v>0.14750780937652397</v>
      </c>
      <c r="F226" s="24">
        <v>0.45201760270770036</v>
      </c>
      <c r="G226" s="25">
        <v>0.4222378467436888</v>
      </c>
      <c r="H226" s="26">
        <v>0.71041681150833835</v>
      </c>
      <c r="I226" s="24">
        <v>0.14446073750275376</v>
      </c>
      <c r="J226" s="25">
        <v>2.9778640095700341E-4</v>
      </c>
      <c r="K226" s="26">
        <v>0.15511866423729206</v>
      </c>
      <c r="L226" s="24">
        <v>2.5353639514921089E-2</v>
      </c>
      <c r="M226" s="25">
        <v>0</v>
      </c>
      <c r="N226" s="26">
        <v>0</v>
      </c>
      <c r="O226" s="27">
        <v>11</v>
      </c>
      <c r="P226" s="28">
        <v>0</v>
      </c>
      <c r="Q226" s="29">
        <v>0</v>
      </c>
      <c r="R226" s="24">
        <v>0</v>
      </c>
      <c r="S226" s="25">
        <v>0</v>
      </c>
      <c r="T226" s="26">
        <v>0</v>
      </c>
      <c r="U226" s="27">
        <v>136.40384615384616</v>
      </c>
      <c r="V226" s="28">
        <v>140.45544554455446</v>
      </c>
      <c r="W226" s="29">
        <v>136.36893203883494</v>
      </c>
      <c r="X226" s="24">
        <v>0.66503817434348522</v>
      </c>
      <c r="Y226" s="25">
        <v>0.58626795478793248</v>
      </c>
      <c r="Z226" s="26">
        <v>0.77970553651278285</v>
      </c>
      <c r="AA226" s="24">
        <v>0.13515493469810108</v>
      </c>
      <c r="AB226" s="25">
        <v>0.22269225757021863</v>
      </c>
      <c r="AC226" s="26">
        <v>1.0776207987501917E-3</v>
      </c>
      <c r="AD226" s="27">
        <v>1089503</v>
      </c>
      <c r="AE226" s="28">
        <v>2711413</v>
      </c>
      <c r="AF226" s="29">
        <v>1175104</v>
      </c>
      <c r="AG226" s="27">
        <v>7151400</v>
      </c>
      <c r="AH226" s="28">
        <v>16705363</v>
      </c>
      <c r="AI226" s="29">
        <v>6728712</v>
      </c>
      <c r="AJ226" s="27">
        <v>1240015</v>
      </c>
      <c r="AK226" s="28">
        <v>5013</v>
      </c>
      <c r="AL226" s="29">
        <v>1235735</v>
      </c>
      <c r="AM226" s="30">
        <v>4040419</v>
      </c>
      <c r="AN226" s="30">
        <v>2727440</v>
      </c>
      <c r="AO226" s="30">
        <v>3967305</v>
      </c>
      <c r="AP226" s="27">
        <v>81062</v>
      </c>
      <c r="AQ226" s="28">
        <v>0</v>
      </c>
      <c r="AR226" s="29">
        <v>0</v>
      </c>
      <c r="AS226" s="27">
        <v>0</v>
      </c>
      <c r="AT226" s="28">
        <v>0</v>
      </c>
      <c r="AU226" s="29">
        <v>0</v>
      </c>
      <c r="AV226" s="27">
        <v>171512.60999999987</v>
      </c>
      <c r="AW226" s="28">
        <v>1293966.27</v>
      </c>
      <c r="AX226" s="29">
        <v>1065833.75</v>
      </c>
      <c r="AY226" s="27">
        <v>1649489.74</v>
      </c>
      <c r="AZ226" s="28">
        <v>5210272.37</v>
      </c>
      <c r="BA226" s="29">
        <v>5383716.71</v>
      </c>
      <c r="BB226" s="24">
        <v>0</v>
      </c>
      <c r="BC226" s="25">
        <v>0</v>
      </c>
      <c r="BD226" s="26">
        <v>0</v>
      </c>
      <c r="BE226" s="24">
        <v>9.0436698042993483E-3</v>
      </c>
      <c r="BF226" s="25">
        <v>0.10154805730127983</v>
      </c>
      <c r="BG226" s="26">
        <v>6.4182841840492208E-2</v>
      </c>
      <c r="BH226" s="24">
        <v>8.6975765537820188E-2</v>
      </c>
      <c r="BI226" s="25">
        <v>0.40889244909300076</v>
      </c>
      <c r="BJ226" s="26">
        <v>0.32419900206007268</v>
      </c>
      <c r="BK226" s="24">
        <v>0.76222000000000001</v>
      </c>
      <c r="BL226" s="25">
        <v>0.59891000000000005</v>
      </c>
      <c r="BM226" s="26">
        <v>0.68059999999999998</v>
      </c>
    </row>
    <row r="227" spans="1:65" x14ac:dyDescent="0.2">
      <c r="A227" s="22">
        <v>7402</v>
      </c>
      <c r="B227" s="23" t="s">
        <v>243</v>
      </c>
      <c r="C227" s="24">
        <v>0.1222795632735527</v>
      </c>
      <c r="D227" s="25">
        <v>0.12586584905278708</v>
      </c>
      <c r="E227" s="26">
        <v>0.13846958229780418</v>
      </c>
      <c r="F227" s="24">
        <v>0.66364169624424008</v>
      </c>
      <c r="G227" s="25">
        <v>0.32658116217207639</v>
      </c>
      <c r="H227" s="26">
        <v>0.53865505728649221</v>
      </c>
      <c r="I227" s="24">
        <v>0.26389753508066977</v>
      </c>
      <c r="J227" s="25">
        <v>-9.5859418190337969E-2</v>
      </c>
      <c r="K227" s="26">
        <v>0.20047673923226275</v>
      </c>
      <c r="L227" s="24">
        <v>0</v>
      </c>
      <c r="M227" s="25">
        <v>0</v>
      </c>
      <c r="N227" s="26">
        <v>0</v>
      </c>
      <c r="O227" s="27">
        <v>0</v>
      </c>
      <c r="P227" s="28">
        <v>0</v>
      </c>
      <c r="Q227" s="29">
        <v>0</v>
      </c>
      <c r="R227" s="24">
        <v>0</v>
      </c>
      <c r="S227" s="25">
        <v>0</v>
      </c>
      <c r="T227" s="26">
        <v>0</v>
      </c>
      <c r="U227" s="27">
        <v>147.66101694915255</v>
      </c>
      <c r="V227" s="28">
        <v>147.66101694915255</v>
      </c>
      <c r="W227" s="29">
        <v>147.62711864406779</v>
      </c>
      <c r="X227" s="24">
        <v>0.7097645507542204</v>
      </c>
      <c r="Y227" s="25">
        <v>0.62207425025800711</v>
      </c>
      <c r="Z227" s="26">
        <v>0.6493285198088794</v>
      </c>
      <c r="AA227" s="24">
        <v>5.5234615457348715E-2</v>
      </c>
      <c r="AB227" s="25">
        <v>0.19608113213766803</v>
      </c>
      <c r="AC227" s="26">
        <v>0.11990514679393252</v>
      </c>
      <c r="AD227" s="27">
        <v>579257</v>
      </c>
      <c r="AE227" s="28">
        <v>1132445</v>
      </c>
      <c r="AF227" s="29">
        <v>757962</v>
      </c>
      <c r="AG227" s="27">
        <v>3490094</v>
      </c>
      <c r="AH227" s="28">
        <v>9859225</v>
      </c>
      <c r="AI227" s="29">
        <v>4327529</v>
      </c>
      <c r="AJ227" s="27">
        <v>1250123</v>
      </c>
      <c r="AK227" s="28">
        <v>-862470</v>
      </c>
      <c r="AL227" s="29">
        <v>1097380</v>
      </c>
      <c r="AM227" s="30">
        <v>4774535</v>
      </c>
      <c r="AN227" s="30">
        <v>2671865</v>
      </c>
      <c r="AO227" s="30">
        <v>3788601</v>
      </c>
      <c r="AP227" s="27">
        <v>0</v>
      </c>
      <c r="AQ227" s="28">
        <v>0</v>
      </c>
      <c r="AR227" s="29">
        <v>0</v>
      </c>
      <c r="AS227" s="27">
        <v>0</v>
      </c>
      <c r="AT227" s="28">
        <v>0</v>
      </c>
      <c r="AU227" s="29">
        <v>0</v>
      </c>
      <c r="AV227" s="27">
        <v>78572.169999999896</v>
      </c>
      <c r="AW227" s="28">
        <v>71441.159999999902</v>
      </c>
      <c r="AX227" s="29">
        <v>579268.85000000009</v>
      </c>
      <c r="AY227" s="27">
        <v>679700.4</v>
      </c>
      <c r="AZ227" s="28">
        <v>12152594.289999999</v>
      </c>
      <c r="BA227" s="29">
        <v>12592165.059999999</v>
      </c>
      <c r="BB227" s="24">
        <v>0</v>
      </c>
      <c r="BC227" s="25">
        <v>0</v>
      </c>
      <c r="BD227" s="26">
        <v>0</v>
      </c>
      <c r="BE227" s="24">
        <v>6.6511466244860481E-3</v>
      </c>
      <c r="BF227" s="25">
        <v>8.576312092019537E-3</v>
      </c>
      <c r="BG227" s="26">
        <v>4.8581316564930879E-2</v>
      </c>
      <c r="BH227" s="24">
        <v>5.75367464220706E-2</v>
      </c>
      <c r="BI227" s="25">
        <v>1.4588850651184098</v>
      </c>
      <c r="BJ227" s="26">
        <v>1.0560622360717682</v>
      </c>
      <c r="BK227" s="24">
        <v>0.82647000000000004</v>
      </c>
      <c r="BL227" s="25">
        <v>0.66893999999999998</v>
      </c>
      <c r="BM227" s="26">
        <v>0.74770000000000003</v>
      </c>
    </row>
    <row r="228" spans="1:65" x14ac:dyDescent="0.2">
      <c r="A228" s="22">
        <v>7403</v>
      </c>
      <c r="B228" s="23" t="s">
        <v>244</v>
      </c>
      <c r="C228" s="24">
        <v>0.32326079597785118</v>
      </c>
      <c r="D228" s="25">
        <v>0.26242889669033015</v>
      </c>
      <c r="E228" s="26">
        <v>0.34295239428260793</v>
      </c>
      <c r="F228" s="24">
        <v>1.3367472927643596</v>
      </c>
      <c r="G228" s="25">
        <v>0.57658686257928571</v>
      </c>
      <c r="H228" s="26">
        <v>1.2790021825042077</v>
      </c>
      <c r="I228" s="24">
        <v>0.17937576283986309</v>
      </c>
      <c r="J228" s="25">
        <v>-0.10215685864091148</v>
      </c>
      <c r="K228" s="26">
        <v>0.12616909272205426</v>
      </c>
      <c r="L228" s="24">
        <v>0.23728549681898709</v>
      </c>
      <c r="M228" s="25">
        <v>0.23861157194557098</v>
      </c>
      <c r="N228" s="26">
        <v>0.11823435343793029</v>
      </c>
      <c r="O228" s="27">
        <v>204</v>
      </c>
      <c r="P228" s="28">
        <v>161</v>
      </c>
      <c r="Q228" s="29">
        <v>138</v>
      </c>
      <c r="R228" s="24">
        <v>0.17795337008383949</v>
      </c>
      <c r="S228" s="25">
        <v>0.14995470904663613</v>
      </c>
      <c r="T228" s="26">
        <v>8.3243150402431271E-2</v>
      </c>
      <c r="U228" s="27">
        <v>169.13821138211381</v>
      </c>
      <c r="V228" s="28">
        <v>169.13821138211381</v>
      </c>
      <c r="W228" s="29">
        <v>167.5702479338843</v>
      </c>
      <c r="X228" s="24">
        <v>0.66428210011808864</v>
      </c>
      <c r="Y228" s="25">
        <v>0.53862742901103167</v>
      </c>
      <c r="Z228" s="26">
        <v>0.60167860370749326</v>
      </c>
      <c r="AA228" s="24">
        <v>4.7798681343544952E-2</v>
      </c>
      <c r="AB228" s="25">
        <v>0.20103113725897825</v>
      </c>
      <c r="AC228" s="26">
        <v>5.7866843767251992E-2</v>
      </c>
      <c r="AD228" s="27">
        <v>4105437</v>
      </c>
      <c r="AE228" s="28">
        <v>6945830</v>
      </c>
      <c r="AF228" s="29">
        <v>4978869</v>
      </c>
      <c r="AG228" s="27">
        <v>10324448</v>
      </c>
      <c r="AH228" s="28">
        <v>29265357</v>
      </c>
      <c r="AI228" s="29">
        <v>12599996</v>
      </c>
      <c r="AJ228" s="27">
        <v>2278086</v>
      </c>
      <c r="AK228" s="28">
        <v>-2703834</v>
      </c>
      <c r="AL228" s="29">
        <v>1831681</v>
      </c>
      <c r="AM228" s="30">
        <v>6585283</v>
      </c>
      <c r="AN228" s="30">
        <v>1347540</v>
      </c>
      <c r="AO228" s="30">
        <v>2812945</v>
      </c>
      <c r="AP228" s="27">
        <v>2118516</v>
      </c>
      <c r="AQ228" s="28">
        <v>1672722</v>
      </c>
      <c r="AR228" s="29">
        <v>1396050</v>
      </c>
      <c r="AS228" s="27">
        <v>1588791</v>
      </c>
      <c r="AT228" s="28">
        <v>1051217</v>
      </c>
      <c r="AU228" s="29">
        <v>982892</v>
      </c>
      <c r="AV228" s="27">
        <v>2782600.1599999997</v>
      </c>
      <c r="AW228" s="28">
        <v>1424489.3799999983</v>
      </c>
      <c r="AX228" s="29">
        <v>2741836.57</v>
      </c>
      <c r="AY228" s="27">
        <v>27028301.309999999</v>
      </c>
      <c r="AZ228" s="28">
        <v>7557648.1600000039</v>
      </c>
      <c r="BA228" s="29">
        <v>41583509.380000003</v>
      </c>
      <c r="BB228" s="24">
        <v>5.6658424259956659E-2</v>
      </c>
      <c r="BC228" s="25">
        <v>3.5920183717560665E-2</v>
      </c>
      <c r="BD228" s="26">
        <v>3.2400488994572901E-2</v>
      </c>
      <c r="BE228" s="24">
        <v>9.9231264786308115E-2</v>
      </c>
      <c r="BF228" s="25">
        <v>6.2998352079960532E-2</v>
      </c>
      <c r="BG228" s="26">
        <v>9.0383120028652689E-2</v>
      </c>
      <c r="BH228" s="24">
        <v>0.96386558247618614</v>
      </c>
      <c r="BI228" s="25">
        <v>0.334238630603302</v>
      </c>
      <c r="BJ228" s="26">
        <v>1.3707772960024183</v>
      </c>
      <c r="BK228" s="24">
        <v>0.89683999999999997</v>
      </c>
      <c r="BL228" s="25">
        <v>0.73472000000000004</v>
      </c>
      <c r="BM228" s="26">
        <v>0.81579999999999997</v>
      </c>
    </row>
    <row r="229" spans="1:65" x14ac:dyDescent="0.2">
      <c r="A229" s="22">
        <v>7404</v>
      </c>
      <c r="B229" s="23" t="s">
        <v>245</v>
      </c>
      <c r="C229" s="24">
        <v>0.20782950348603438</v>
      </c>
      <c r="D229" s="25">
        <v>0.19463777601607835</v>
      </c>
      <c r="E229" s="26">
        <v>0.25759840136811507</v>
      </c>
      <c r="F229" s="24">
        <v>0.77739343280982887</v>
      </c>
      <c r="G229" s="25">
        <v>0.56649742654181301</v>
      </c>
      <c r="H229" s="26">
        <v>1.0833261476676754</v>
      </c>
      <c r="I229" s="24">
        <v>0.17861172914638584</v>
      </c>
      <c r="J229" s="25">
        <v>1.4552980239141932E-3</v>
      </c>
      <c r="K229" s="26">
        <v>0.22213396050505843</v>
      </c>
      <c r="L229" s="24">
        <v>9.0755451459804432E-2</v>
      </c>
      <c r="M229" s="25">
        <v>7.7817080436814595E-2</v>
      </c>
      <c r="N229" s="26">
        <v>6.8552003051440227E-2</v>
      </c>
      <c r="O229" s="27">
        <v>38</v>
      </c>
      <c r="P229" s="28">
        <v>36</v>
      </c>
      <c r="Q229" s="29">
        <v>35</v>
      </c>
      <c r="R229" s="24">
        <v>0</v>
      </c>
      <c r="S229" s="25">
        <v>0</v>
      </c>
      <c r="T229" s="26">
        <v>0</v>
      </c>
      <c r="U229" s="27">
        <v>566.73451327433634</v>
      </c>
      <c r="V229" s="28">
        <v>579.55656108597282</v>
      </c>
      <c r="W229" s="29">
        <v>525.03305785123962</v>
      </c>
      <c r="X229" s="24">
        <v>0.68916438469354824</v>
      </c>
      <c r="Y229" s="25">
        <v>0.6477450613177661</v>
      </c>
      <c r="Z229" s="26">
        <v>0.71649068307409991</v>
      </c>
      <c r="AA229" s="24">
        <v>3.5650505185933809E-2</v>
      </c>
      <c r="AB229" s="25">
        <v>8.0953688179272051E-2</v>
      </c>
      <c r="AC229" s="26">
        <v>7.9477932184458377E-3</v>
      </c>
      <c r="AD229" s="27">
        <v>13177757</v>
      </c>
      <c r="AE229" s="28">
        <v>23679691</v>
      </c>
      <c r="AF229" s="29">
        <v>19774964</v>
      </c>
      <c r="AG229" s="27">
        <v>53746251</v>
      </c>
      <c r="AH229" s="28">
        <v>124268878</v>
      </c>
      <c r="AI229" s="29">
        <v>60231562</v>
      </c>
      <c r="AJ229" s="27">
        <v>11325158</v>
      </c>
      <c r="AK229" s="28">
        <v>177052</v>
      </c>
      <c r="AL229" s="29">
        <v>17052478</v>
      </c>
      <c r="AM229" s="30">
        <v>27329846</v>
      </c>
      <c r="AN229" s="30">
        <v>16000715</v>
      </c>
      <c r="AO229" s="30">
        <v>33054764</v>
      </c>
      <c r="AP229" s="27">
        <v>2424894</v>
      </c>
      <c r="AQ229" s="28">
        <v>2315501</v>
      </c>
      <c r="AR229" s="29">
        <v>2206108</v>
      </c>
      <c r="AS229" s="27">
        <v>0</v>
      </c>
      <c r="AT229" s="28">
        <v>0</v>
      </c>
      <c r="AU229" s="29">
        <v>0</v>
      </c>
      <c r="AV229" s="27">
        <v>2141776.6600000025</v>
      </c>
      <c r="AW229" s="28">
        <v>3631399.7800000058</v>
      </c>
      <c r="AX229" s="29">
        <v>7479358.8100000061</v>
      </c>
      <c r="AY229" s="27">
        <v>24362131.189999998</v>
      </c>
      <c r="AZ229" s="28">
        <v>23697779.929999996</v>
      </c>
      <c r="BA229" s="29">
        <v>38275405.590000004</v>
      </c>
      <c r="BB229" s="24">
        <v>0</v>
      </c>
      <c r="BC229" s="25">
        <v>0</v>
      </c>
      <c r="BD229" s="26">
        <v>0</v>
      </c>
      <c r="BE229" s="24">
        <v>1.6979896045403509E-2</v>
      </c>
      <c r="BF229" s="25">
        <v>3.6898989583996088E-2</v>
      </c>
      <c r="BG229" s="26">
        <v>5.2214105637967724E-2</v>
      </c>
      <c r="BH229" s="24">
        <v>0.19314173264484169</v>
      </c>
      <c r="BI229" s="25">
        <v>0.24079533727374405</v>
      </c>
      <c r="BJ229" s="26">
        <v>0.26720419779036098</v>
      </c>
      <c r="BK229" s="24">
        <v>0.87651000000000001</v>
      </c>
      <c r="BL229" s="25">
        <v>0.79495000000000005</v>
      </c>
      <c r="BM229" s="26">
        <v>0.8357</v>
      </c>
    </row>
    <row r="230" spans="1:65" x14ac:dyDescent="0.2">
      <c r="A230" s="22">
        <v>7405</v>
      </c>
      <c r="B230" s="23" t="s">
        <v>246</v>
      </c>
      <c r="C230" s="24">
        <v>0.25075331388673039</v>
      </c>
      <c r="D230" s="25">
        <v>0.20836376102348261</v>
      </c>
      <c r="E230" s="26">
        <v>0.19383910702855711</v>
      </c>
      <c r="F230" s="24">
        <v>0.48357039263642926</v>
      </c>
      <c r="G230" s="25">
        <v>0.48553989923481478</v>
      </c>
      <c r="H230" s="26">
        <v>0.87670894845084868</v>
      </c>
      <c r="I230" s="24">
        <v>-0.1351616496240611</v>
      </c>
      <c r="J230" s="25">
        <v>-1.3090358166231044E-2</v>
      </c>
      <c r="K230" s="26">
        <v>-3.480341033069461E-2</v>
      </c>
      <c r="L230" s="24">
        <v>1.0774824104200833</v>
      </c>
      <c r="M230" s="25">
        <v>0.74101000055974642</v>
      </c>
      <c r="N230" s="26">
        <v>0.8505911385942021</v>
      </c>
      <c r="O230" s="27">
        <v>507</v>
      </c>
      <c r="P230" s="28">
        <v>528</v>
      </c>
      <c r="Q230" s="29">
        <v>469</v>
      </c>
      <c r="R230" s="24">
        <v>8.6176451103201809E-2</v>
      </c>
      <c r="S230" s="25">
        <v>5.2821158122537931E-2</v>
      </c>
      <c r="T230" s="26">
        <v>0.10101094911215748</v>
      </c>
      <c r="U230" s="27">
        <v>185.75</v>
      </c>
      <c r="V230" s="28">
        <v>185.75</v>
      </c>
      <c r="W230" s="29">
        <v>180.96226415094338</v>
      </c>
      <c r="X230" s="24">
        <v>0.4733510852257245</v>
      </c>
      <c r="Y230" s="25">
        <v>0.52547267984630885</v>
      </c>
      <c r="Z230" s="26">
        <v>0.5657297863489642</v>
      </c>
      <c r="AA230" s="24">
        <v>0.31821839578030536</v>
      </c>
      <c r="AB230" s="25">
        <v>0.2416719500723119</v>
      </c>
      <c r="AC230" s="26">
        <v>0.21281366704400201</v>
      </c>
      <c r="AD230" s="27">
        <v>3177881</v>
      </c>
      <c r="AE230" s="28">
        <v>5695115</v>
      </c>
      <c r="AF230" s="29">
        <v>2305791</v>
      </c>
      <c r="AG230" s="27">
        <v>13640987</v>
      </c>
      <c r="AH230" s="28">
        <v>27258302</v>
      </c>
      <c r="AI230" s="29">
        <v>12418662</v>
      </c>
      <c r="AJ230" s="27">
        <v>-1712949</v>
      </c>
      <c r="AK230" s="28">
        <v>-357793</v>
      </c>
      <c r="AL230" s="29">
        <v>-414000</v>
      </c>
      <c r="AM230" s="30">
        <v>6336526</v>
      </c>
      <c r="AN230" s="30">
        <v>7899024</v>
      </c>
      <c r="AO230" s="30">
        <v>6876087</v>
      </c>
      <c r="AP230" s="27">
        <v>4895495</v>
      </c>
      <c r="AQ230" s="28">
        <v>5096752</v>
      </c>
      <c r="AR230" s="29">
        <v>4498011</v>
      </c>
      <c r="AS230" s="27">
        <v>391539</v>
      </c>
      <c r="AT230" s="28">
        <v>363310</v>
      </c>
      <c r="AU230" s="29">
        <v>534156</v>
      </c>
      <c r="AV230" s="27">
        <v>574457.63000000082</v>
      </c>
      <c r="AW230" s="28">
        <v>1521983.6300000006</v>
      </c>
      <c r="AX230" s="29">
        <v>863002.79999999981</v>
      </c>
      <c r="AY230" s="27">
        <v>10876876.25</v>
      </c>
      <c r="AZ230" s="28">
        <v>32233101.210000001</v>
      </c>
      <c r="BA230" s="29">
        <v>33904447.379999995</v>
      </c>
      <c r="BB230" s="24">
        <v>1.5140015533694064E-2</v>
      </c>
      <c r="BC230" s="25">
        <v>1.3328416421536456E-2</v>
      </c>
      <c r="BD230" s="26">
        <v>1.907585136123589E-2</v>
      </c>
      <c r="BE230" s="24">
        <v>2.2213106335892695E-2</v>
      </c>
      <c r="BF230" s="25">
        <v>6.8652292291766753E-2</v>
      </c>
      <c r="BG230" s="26">
        <v>3.0819672786845758E-2</v>
      </c>
      <c r="BH230" s="24">
        <v>0.42058664751932257</v>
      </c>
      <c r="BI230" s="25">
        <v>1.4539422383531284</v>
      </c>
      <c r="BJ230" s="26">
        <v>1.2108002132443023</v>
      </c>
      <c r="BK230" s="24">
        <v>0.83887999999999996</v>
      </c>
      <c r="BL230" s="25">
        <v>0.74014999999999997</v>
      </c>
      <c r="BM230" s="26">
        <v>0.78949999999999998</v>
      </c>
    </row>
    <row r="231" spans="1:65" x14ac:dyDescent="0.2">
      <c r="A231" s="22">
        <v>7406</v>
      </c>
      <c r="B231" s="23" t="s">
        <v>247</v>
      </c>
      <c r="C231" s="24">
        <v>6.7068422861960186E-2</v>
      </c>
      <c r="D231" s="25">
        <v>7.1587328664653879E-2</v>
      </c>
      <c r="E231" s="26">
        <v>5.6308795490816563E-2</v>
      </c>
      <c r="F231" s="24">
        <v>0.50946470377322672</v>
      </c>
      <c r="G231" s="25">
        <v>0.30214044224348197</v>
      </c>
      <c r="H231" s="26">
        <v>0.24736822266499403</v>
      </c>
      <c r="I231" s="24">
        <v>0.25000672447342165</v>
      </c>
      <c r="J231" s="25">
        <v>3.6752586889242975E-2</v>
      </c>
      <c r="K231" s="26">
        <v>0.15334011525248398</v>
      </c>
      <c r="L231" s="24">
        <v>0</v>
      </c>
      <c r="M231" s="25">
        <v>0</v>
      </c>
      <c r="N231" s="26">
        <v>0</v>
      </c>
      <c r="O231" s="27">
        <v>0</v>
      </c>
      <c r="P231" s="28">
        <v>0</v>
      </c>
      <c r="Q231" s="29">
        <v>0</v>
      </c>
      <c r="R231" s="24">
        <v>0</v>
      </c>
      <c r="S231" s="25">
        <v>0</v>
      </c>
      <c r="T231" s="26">
        <v>0</v>
      </c>
      <c r="U231" s="27">
        <v>152.07142857142858</v>
      </c>
      <c r="V231" s="28">
        <v>152.07142857142858</v>
      </c>
      <c r="W231" s="29">
        <v>151.07142857142858</v>
      </c>
      <c r="X231" s="24">
        <v>0.73852330464737215</v>
      </c>
      <c r="Y231" s="25">
        <v>0.66115540130435169</v>
      </c>
      <c r="Z231" s="26">
        <v>0.62603085130122627</v>
      </c>
      <c r="AA231" s="24">
        <v>2.1035107416516697E-2</v>
      </c>
      <c r="AB231" s="25">
        <v>0.14482625419252496</v>
      </c>
      <c r="AC231" s="26">
        <v>0.19180976846588663</v>
      </c>
      <c r="AD231" s="27">
        <v>386484</v>
      </c>
      <c r="AE231" s="28">
        <v>864903</v>
      </c>
      <c r="AF231" s="29">
        <v>374068</v>
      </c>
      <c r="AG231" s="27">
        <v>4219137</v>
      </c>
      <c r="AH231" s="28">
        <v>11514839</v>
      </c>
      <c r="AI231" s="29">
        <v>5691170</v>
      </c>
      <c r="AJ231" s="27">
        <v>1440672</v>
      </c>
      <c r="AK231" s="28">
        <v>444037</v>
      </c>
      <c r="AL231" s="29">
        <v>1018662</v>
      </c>
      <c r="AM231" s="30">
        <v>3708776</v>
      </c>
      <c r="AN231" s="30">
        <v>2712135</v>
      </c>
      <c r="AO231" s="30">
        <v>3767183</v>
      </c>
      <c r="AP231" s="27">
        <v>0</v>
      </c>
      <c r="AQ231" s="28">
        <v>0</v>
      </c>
      <c r="AR231" s="29">
        <v>0</v>
      </c>
      <c r="AS231" s="27">
        <v>0</v>
      </c>
      <c r="AT231" s="28">
        <v>0</v>
      </c>
      <c r="AU231" s="29">
        <v>0</v>
      </c>
      <c r="AV231" s="27">
        <v>254826.57000000007</v>
      </c>
      <c r="AW231" s="28">
        <v>116661.68000000025</v>
      </c>
      <c r="AX231" s="29">
        <v>112541.52000000014</v>
      </c>
      <c r="AY231" s="27">
        <v>647053.45000000007</v>
      </c>
      <c r="AZ231" s="28">
        <v>3802132.0900000003</v>
      </c>
      <c r="BA231" s="29">
        <v>15192878.869999999</v>
      </c>
      <c r="BB231" s="24">
        <v>0</v>
      </c>
      <c r="BC231" s="25">
        <v>0</v>
      </c>
      <c r="BD231" s="26">
        <v>0</v>
      </c>
      <c r="BE231" s="24">
        <v>2.2055896346710933E-2</v>
      </c>
      <c r="BF231" s="25">
        <v>1.2828650254309567E-2</v>
      </c>
      <c r="BG231" s="26">
        <v>8.7979362418560293E-3</v>
      </c>
      <c r="BH231" s="24">
        <v>5.6004143618076027E-2</v>
      </c>
      <c r="BI231" s="25">
        <v>0.41809978052173569</v>
      </c>
      <c r="BJ231" s="26">
        <v>1.1877036992969485</v>
      </c>
      <c r="BK231" s="24">
        <v>0.87434999999999996</v>
      </c>
      <c r="BL231" s="25">
        <v>0.66744000000000003</v>
      </c>
      <c r="BM231" s="26">
        <v>0.77090000000000003</v>
      </c>
    </row>
    <row r="232" spans="1:65" x14ac:dyDescent="0.2">
      <c r="A232" s="22">
        <v>7407</v>
      </c>
      <c r="B232" s="23" t="s">
        <v>248</v>
      </c>
      <c r="C232" s="24">
        <v>0.33622513394945586</v>
      </c>
      <c r="D232" s="25">
        <v>0.23482335974368423</v>
      </c>
      <c r="E232" s="26">
        <v>0.21303806317009147</v>
      </c>
      <c r="F232" s="24">
        <v>0.90746566482527391</v>
      </c>
      <c r="G232" s="25">
        <v>0.43899549932608278</v>
      </c>
      <c r="H232" s="26">
        <v>0.58149788731416496</v>
      </c>
      <c r="I232" s="24">
        <v>0.28953308910358161</v>
      </c>
      <c r="J232" s="25">
        <v>4.1638648305481474E-2</v>
      </c>
      <c r="K232" s="26">
        <v>0.14270875851510664</v>
      </c>
      <c r="L232" s="24">
        <v>0</v>
      </c>
      <c r="M232" s="25">
        <v>0</v>
      </c>
      <c r="N232" s="26">
        <v>0</v>
      </c>
      <c r="O232" s="27">
        <v>0</v>
      </c>
      <c r="P232" s="28">
        <v>0</v>
      </c>
      <c r="Q232" s="29">
        <v>0</v>
      </c>
      <c r="R232" s="24">
        <v>1.073896699541913E-4</v>
      </c>
      <c r="S232" s="25">
        <v>0</v>
      </c>
      <c r="T232" s="26">
        <v>0</v>
      </c>
      <c r="U232" s="27">
        <v>60.868421052631582</v>
      </c>
      <c r="V232" s="28">
        <v>58.556962025316459</v>
      </c>
      <c r="W232" s="29">
        <v>53.927710843373497</v>
      </c>
      <c r="X232" s="24">
        <v>0.51494881528524905</v>
      </c>
      <c r="Y232" s="25">
        <v>0.45811989406776543</v>
      </c>
      <c r="Z232" s="26">
        <v>0.61683325447356718</v>
      </c>
      <c r="AA232" s="24">
        <v>0.28622126124240083</v>
      </c>
      <c r="AB232" s="25">
        <v>0.31672544163356486</v>
      </c>
      <c r="AC232" s="26">
        <v>0.16834049141609514</v>
      </c>
      <c r="AD232" s="27">
        <v>1407972</v>
      </c>
      <c r="AE232" s="28">
        <v>1983865</v>
      </c>
      <c r="AF232" s="29">
        <v>711911</v>
      </c>
      <c r="AG232" s="27">
        <v>3057065</v>
      </c>
      <c r="AH232" s="28">
        <v>8157668</v>
      </c>
      <c r="AI232" s="29">
        <v>3020129</v>
      </c>
      <c r="AJ232" s="27">
        <v>1212445</v>
      </c>
      <c r="AK232" s="28">
        <v>351777</v>
      </c>
      <c r="AL232" s="29">
        <v>476891</v>
      </c>
      <c r="AM232" s="30">
        <v>3264036</v>
      </c>
      <c r="AN232" s="30">
        <v>2397548</v>
      </c>
      <c r="AO232" s="30">
        <v>2889873</v>
      </c>
      <c r="AP232" s="27">
        <v>0</v>
      </c>
      <c r="AQ232" s="28">
        <v>0</v>
      </c>
      <c r="AR232" s="29">
        <v>0</v>
      </c>
      <c r="AS232" s="27">
        <v>230</v>
      </c>
      <c r="AT232" s="28">
        <v>0</v>
      </c>
      <c r="AU232" s="29">
        <v>0</v>
      </c>
      <c r="AV232" s="27">
        <v>356208.06000000029</v>
      </c>
      <c r="AW232" s="28">
        <v>80560.950000000477</v>
      </c>
      <c r="AX232" s="29">
        <v>360507.56000000006</v>
      </c>
      <c r="AY232" s="27">
        <v>17980091.66</v>
      </c>
      <c r="AZ232" s="28">
        <v>17042424.270000003</v>
      </c>
      <c r="BA232" s="29">
        <v>20167966.620000001</v>
      </c>
      <c r="BB232" s="24">
        <v>2.6965238290638374E-5</v>
      </c>
      <c r="BC232" s="25">
        <v>0</v>
      </c>
      <c r="BD232" s="26">
        <v>0</v>
      </c>
      <c r="BE232" s="24">
        <v>4.1761892256287035E-2</v>
      </c>
      <c r="BF232" s="25">
        <v>1.1650060657402232E-2</v>
      </c>
      <c r="BG232" s="26">
        <v>4.0833511728429889E-2</v>
      </c>
      <c r="BH232" s="24">
        <v>2.1079889395626941</v>
      </c>
      <c r="BI232" s="25">
        <v>2.4645349452145586</v>
      </c>
      <c r="BJ232" s="26">
        <v>2.2843595887874097</v>
      </c>
      <c r="BK232" s="24">
        <v>0.62585000000000002</v>
      </c>
      <c r="BL232" s="25">
        <v>0.62339999999999995</v>
      </c>
      <c r="BM232" s="26">
        <v>0.62460000000000004</v>
      </c>
    </row>
    <row r="233" spans="1:65" x14ac:dyDescent="0.2">
      <c r="A233" s="22">
        <v>7408</v>
      </c>
      <c r="B233" s="23" t="s">
        <v>249</v>
      </c>
      <c r="C233" s="24">
        <v>0.18351414065529276</v>
      </c>
      <c r="D233" s="25">
        <v>0.145619894182384</v>
      </c>
      <c r="E233" s="26">
        <v>0.22003465911388401</v>
      </c>
      <c r="F233" s="24">
        <v>0.6794839440254421</v>
      </c>
      <c r="G233" s="25">
        <v>0.33886933483751314</v>
      </c>
      <c r="H233" s="26">
        <v>0.54250467032179128</v>
      </c>
      <c r="I233" s="24">
        <v>0.16547614143078712</v>
      </c>
      <c r="J233" s="25">
        <v>1.336004622349966E-2</v>
      </c>
      <c r="K233" s="26">
        <v>1.4285113770877001E-2</v>
      </c>
      <c r="L233" s="24">
        <v>1.0105365261366558E-2</v>
      </c>
      <c r="M233" s="25">
        <v>3.565061847662795E-3</v>
      </c>
      <c r="N233" s="26">
        <v>0</v>
      </c>
      <c r="O233" s="27">
        <v>5</v>
      </c>
      <c r="P233" s="28">
        <v>2</v>
      </c>
      <c r="Q233" s="29">
        <v>0</v>
      </c>
      <c r="R233" s="24">
        <v>0</v>
      </c>
      <c r="S233" s="25">
        <v>0</v>
      </c>
      <c r="T233" s="26">
        <v>0</v>
      </c>
      <c r="U233" s="27">
        <v>286.95348837209303</v>
      </c>
      <c r="V233" s="28">
        <v>286.95348837209303</v>
      </c>
      <c r="W233" s="29">
        <v>259.31914893617022</v>
      </c>
      <c r="X233" s="24">
        <v>0.61246463511506899</v>
      </c>
      <c r="Y233" s="25">
        <v>0.51752436515932365</v>
      </c>
      <c r="Z233" s="26">
        <v>0.54461166873288758</v>
      </c>
      <c r="AA233" s="24">
        <v>0.12984429958692273</v>
      </c>
      <c r="AB233" s="25">
        <v>0.27821426557282891</v>
      </c>
      <c r="AC233" s="26">
        <v>0.27239851938717508</v>
      </c>
      <c r="AD233" s="27">
        <v>3029011</v>
      </c>
      <c r="AE233" s="28">
        <v>5000729</v>
      </c>
      <c r="AF233" s="29">
        <v>3575115</v>
      </c>
      <c r="AG233" s="27">
        <v>13485128</v>
      </c>
      <c r="AH233" s="28">
        <v>33849871</v>
      </c>
      <c r="AI233" s="29">
        <v>16868961</v>
      </c>
      <c r="AJ233" s="27">
        <v>2731283</v>
      </c>
      <c r="AK233" s="28">
        <v>458797</v>
      </c>
      <c r="AL233" s="29">
        <v>232104</v>
      </c>
      <c r="AM233" s="30">
        <v>9693215</v>
      </c>
      <c r="AN233" s="30">
        <v>7437878</v>
      </c>
      <c r="AO233" s="30">
        <v>7745534</v>
      </c>
      <c r="AP233" s="27">
        <v>58758</v>
      </c>
      <c r="AQ233" s="28">
        <v>23496</v>
      </c>
      <c r="AR233" s="29">
        <v>0</v>
      </c>
      <c r="AS233" s="27">
        <v>0</v>
      </c>
      <c r="AT233" s="28">
        <v>0</v>
      </c>
      <c r="AU233" s="29">
        <v>0</v>
      </c>
      <c r="AV233" s="27">
        <v>801575.51999999932</v>
      </c>
      <c r="AW233" s="28">
        <v>5433924.5200000005</v>
      </c>
      <c r="AX233" s="29">
        <v>1118127.0300000005</v>
      </c>
      <c r="AY233" s="27">
        <v>15799071.140000001</v>
      </c>
      <c r="AZ233" s="28">
        <v>10466348.870000003</v>
      </c>
      <c r="BA233" s="29">
        <v>12881376.739999998</v>
      </c>
      <c r="BB233" s="24">
        <v>0</v>
      </c>
      <c r="BC233" s="25">
        <v>0</v>
      </c>
      <c r="BD233" s="26">
        <v>0</v>
      </c>
      <c r="BE233" s="24">
        <v>2.5055650029396567E-2</v>
      </c>
      <c r="BF233" s="25">
        <v>0.21787147994245454</v>
      </c>
      <c r="BG233" s="26">
        <v>3.2560963112590928E-2</v>
      </c>
      <c r="BH233" s="24">
        <v>0.49384741349558658</v>
      </c>
      <c r="BI233" s="25">
        <v>0.41964493792801838</v>
      </c>
      <c r="BJ233" s="26">
        <v>0.37511840928353773</v>
      </c>
      <c r="BK233" s="24">
        <v>0.89642999999999995</v>
      </c>
      <c r="BL233" s="25">
        <v>0.71987999999999996</v>
      </c>
      <c r="BM233" s="26">
        <v>0.80820000000000003</v>
      </c>
    </row>
    <row r="234" spans="1:65" x14ac:dyDescent="0.2">
      <c r="A234" s="22">
        <v>7409</v>
      </c>
      <c r="B234" s="23" t="s">
        <v>250</v>
      </c>
      <c r="C234" s="24">
        <v>0.21841939845219827</v>
      </c>
      <c r="D234" s="25">
        <v>0.2429460147886254</v>
      </c>
      <c r="E234" s="26">
        <v>0.26831598421316277</v>
      </c>
      <c r="F234" s="24">
        <v>0.43083370736536986</v>
      </c>
      <c r="G234" s="25">
        <v>0.52468450706619185</v>
      </c>
      <c r="H234" s="26">
        <v>1.2004412749143198</v>
      </c>
      <c r="I234" s="24">
        <v>-4.3381043920117289E-2</v>
      </c>
      <c r="J234" s="25">
        <v>-9.9063418537795614E-2</v>
      </c>
      <c r="K234" s="26">
        <v>0.16388646901314574</v>
      </c>
      <c r="L234" s="24">
        <v>0.16940446183310118</v>
      </c>
      <c r="M234" s="25">
        <v>0.12980297053775514</v>
      </c>
      <c r="N234" s="26">
        <v>0.11223720270057091</v>
      </c>
      <c r="O234" s="27">
        <v>104</v>
      </c>
      <c r="P234" s="28">
        <v>81</v>
      </c>
      <c r="Q234" s="29">
        <v>73</v>
      </c>
      <c r="R234" s="24">
        <v>0</v>
      </c>
      <c r="S234" s="25">
        <v>0</v>
      </c>
      <c r="T234" s="26">
        <v>0</v>
      </c>
      <c r="U234" s="27">
        <v>168.17894736842106</v>
      </c>
      <c r="V234" s="28">
        <v>168.17894736842106</v>
      </c>
      <c r="W234" s="29">
        <v>165.89473684210526</v>
      </c>
      <c r="X234" s="24">
        <v>0.52514905996215011</v>
      </c>
      <c r="Y234" s="25">
        <v>0.59346032527742421</v>
      </c>
      <c r="Z234" s="26">
        <v>0.74238510606839081</v>
      </c>
      <c r="AA234" s="24">
        <v>0.27161754648408637</v>
      </c>
      <c r="AB234" s="25">
        <v>0.22003414299016058</v>
      </c>
      <c r="AC234" s="26">
        <v>5.1020579339359162E-2</v>
      </c>
      <c r="AD234" s="27">
        <v>4182223</v>
      </c>
      <c r="AE234" s="28">
        <v>8643768</v>
      </c>
      <c r="AF234" s="29">
        <v>4974511</v>
      </c>
      <c r="AG234" s="27">
        <v>19795054</v>
      </c>
      <c r="AH234" s="28">
        <v>39400767</v>
      </c>
      <c r="AI234" s="29">
        <v>15379794</v>
      </c>
      <c r="AJ234" s="27">
        <v>-830646</v>
      </c>
      <c r="AK234" s="28">
        <v>-3524574</v>
      </c>
      <c r="AL234" s="29">
        <v>3038414</v>
      </c>
      <c r="AM234" s="30">
        <v>7969633</v>
      </c>
      <c r="AN234" s="30">
        <v>4835945</v>
      </c>
      <c r="AO234" s="30">
        <v>7675584</v>
      </c>
      <c r="AP234" s="27">
        <v>1654189</v>
      </c>
      <c r="AQ234" s="28">
        <v>1298389</v>
      </c>
      <c r="AR234" s="29">
        <v>1154020</v>
      </c>
      <c r="AS234" s="27">
        <v>0</v>
      </c>
      <c r="AT234" s="28">
        <v>0</v>
      </c>
      <c r="AU234" s="29">
        <v>0</v>
      </c>
      <c r="AV234" s="27">
        <v>1125777.5499999998</v>
      </c>
      <c r="AW234" s="28">
        <v>4601960.3599999975</v>
      </c>
      <c r="AX234" s="29">
        <v>8905884.3100000005</v>
      </c>
      <c r="AY234" s="27">
        <v>18938756.379999999</v>
      </c>
      <c r="AZ234" s="28">
        <v>16907419.799999997</v>
      </c>
      <c r="BA234" s="29">
        <v>22925442.789999999</v>
      </c>
      <c r="BB234" s="24">
        <v>0</v>
      </c>
      <c r="BC234" s="25">
        <v>0</v>
      </c>
      <c r="BD234" s="26">
        <v>0</v>
      </c>
      <c r="BE234" s="24">
        <v>2.8325272244934297E-2</v>
      </c>
      <c r="BF234" s="25">
        <v>0.14832056326975587</v>
      </c>
      <c r="BG234" s="26">
        <v>0.23494251905971544</v>
      </c>
      <c r="BH234" s="24">
        <v>0.47651103936473632</v>
      </c>
      <c r="BI234" s="25">
        <v>0.54492386548375749</v>
      </c>
      <c r="BJ234" s="26">
        <v>0.60478680074410152</v>
      </c>
      <c r="BK234" s="24">
        <v>0.89609000000000005</v>
      </c>
      <c r="BL234" s="25">
        <v>0.78820000000000001</v>
      </c>
      <c r="BM234" s="26">
        <v>0.84209999999999996</v>
      </c>
    </row>
    <row r="235" spans="1:65" x14ac:dyDescent="0.2">
      <c r="A235" s="22">
        <v>7410</v>
      </c>
      <c r="B235" s="23" t="s">
        <v>251</v>
      </c>
      <c r="C235" s="24">
        <v>0.24401840054955673</v>
      </c>
      <c r="D235" s="25">
        <v>0.22469341299616097</v>
      </c>
      <c r="E235" s="26">
        <v>0.27323407096912911</v>
      </c>
      <c r="F235" s="24">
        <v>1.1532536479327504</v>
      </c>
      <c r="G235" s="25">
        <v>0.79732089820132401</v>
      </c>
      <c r="H235" s="26">
        <v>1.3123384064895811</v>
      </c>
      <c r="I235" s="24">
        <v>0.20181638939759172</v>
      </c>
      <c r="J235" s="25">
        <v>1.8092730171820729E-2</v>
      </c>
      <c r="K235" s="26">
        <v>0.14847325317989002</v>
      </c>
      <c r="L235" s="24">
        <v>0.31592855545145226</v>
      </c>
      <c r="M235" s="25">
        <v>0.27676258568066303</v>
      </c>
      <c r="N235" s="26">
        <v>0.25714405362070258</v>
      </c>
      <c r="O235" s="27">
        <v>146</v>
      </c>
      <c r="P235" s="28">
        <v>136</v>
      </c>
      <c r="Q235" s="29">
        <v>138</v>
      </c>
      <c r="R235" s="24">
        <v>0</v>
      </c>
      <c r="S235" s="25">
        <v>7.4169068569566307E-3</v>
      </c>
      <c r="T235" s="26">
        <v>3.8428594037048661E-4</v>
      </c>
      <c r="U235" s="27">
        <v>407.87392550143267</v>
      </c>
      <c r="V235" s="28">
        <v>402.11299435028246</v>
      </c>
      <c r="W235" s="29">
        <v>407.72492836676219</v>
      </c>
      <c r="X235" s="24">
        <v>0.65511553290510893</v>
      </c>
      <c r="Y235" s="25">
        <v>0.60578025367976862</v>
      </c>
      <c r="Z235" s="26">
        <v>0.6869193544241825</v>
      </c>
      <c r="AA235" s="24">
        <v>5.833482275661947E-2</v>
      </c>
      <c r="AB235" s="25">
        <v>0.11340718871786443</v>
      </c>
      <c r="AC235" s="26">
        <v>3.7765864290904685E-2</v>
      </c>
      <c r="AD235" s="27">
        <v>34820651</v>
      </c>
      <c r="AE235" s="28">
        <v>62079445</v>
      </c>
      <c r="AF235" s="29">
        <v>42919189</v>
      </c>
      <c r="AG235" s="27">
        <v>121092731</v>
      </c>
      <c r="AH235" s="28">
        <v>278128762</v>
      </c>
      <c r="AI235" s="29">
        <v>132447836</v>
      </c>
      <c r="AJ235" s="27">
        <v>28798558</v>
      </c>
      <c r="AK235" s="28">
        <v>4998752</v>
      </c>
      <c r="AL235" s="29">
        <v>23321951</v>
      </c>
      <c r="AM235" s="30">
        <v>54867839</v>
      </c>
      <c r="AN235" s="30">
        <v>33304324</v>
      </c>
      <c r="AO235" s="30">
        <v>58205017</v>
      </c>
      <c r="AP235" s="27">
        <v>20769565</v>
      </c>
      <c r="AQ235" s="28">
        <v>19290337</v>
      </c>
      <c r="AR235" s="29">
        <v>19575916</v>
      </c>
      <c r="AS235" s="27">
        <v>0</v>
      </c>
      <c r="AT235" s="28">
        <v>516958</v>
      </c>
      <c r="AU235" s="29">
        <v>29255</v>
      </c>
      <c r="AV235" s="27">
        <v>530403.77000000072</v>
      </c>
      <c r="AW235" s="28">
        <v>6840302.5899999887</v>
      </c>
      <c r="AX235" s="29">
        <v>2334054.5200000079</v>
      </c>
      <c r="AY235" s="27">
        <v>181099509.13999999</v>
      </c>
      <c r="AZ235" s="28">
        <v>135150332.24000001</v>
      </c>
      <c r="BA235" s="29">
        <v>121801352.03</v>
      </c>
      <c r="BB235" s="24">
        <v>0</v>
      </c>
      <c r="BC235" s="25">
        <v>1.8587002519358281E-3</v>
      </c>
      <c r="BD235" s="26">
        <v>9.6921630210092136E-5</v>
      </c>
      <c r="BE235" s="24">
        <v>1.9122456173491502E-3</v>
      </c>
      <c r="BF235" s="25">
        <v>3.1235510104277005E-2</v>
      </c>
      <c r="BG235" s="26">
        <v>7.7327078816487732E-3</v>
      </c>
      <c r="BH235" s="24">
        <v>0.65291154068728974</v>
      </c>
      <c r="BI235" s="25">
        <v>0.6171495358188418</v>
      </c>
      <c r="BJ235" s="26">
        <v>0.40352710991423396</v>
      </c>
      <c r="BK235" s="24">
        <v>0.87192000000000003</v>
      </c>
      <c r="BL235" s="25">
        <v>0.79800000000000004</v>
      </c>
      <c r="BM235" s="26">
        <v>0.83499999999999996</v>
      </c>
    </row>
    <row r="236" spans="1:65" x14ac:dyDescent="0.2">
      <c r="A236" s="22">
        <v>7411</v>
      </c>
      <c r="B236" s="23" t="s">
        <v>252</v>
      </c>
      <c r="C236" s="24">
        <v>0.14793082598194537</v>
      </c>
      <c r="D236" s="25">
        <v>0.13147944072267961</v>
      </c>
      <c r="E236" s="26">
        <v>0.15937870771578211</v>
      </c>
      <c r="F236" s="24">
        <v>0.60927753020063613</v>
      </c>
      <c r="G236" s="25">
        <v>0.46783774218872431</v>
      </c>
      <c r="H236" s="26">
        <v>0.63127693750069769</v>
      </c>
      <c r="I236" s="24">
        <v>0.13289536086718251</v>
      </c>
      <c r="J236" s="25">
        <v>2.3384669397204551E-3</v>
      </c>
      <c r="K236" s="26">
        <v>6.9803413181158749E-2</v>
      </c>
      <c r="L236" s="24">
        <v>1.1486536937276839</v>
      </c>
      <c r="M236" s="25">
        <v>1.572100579398515</v>
      </c>
      <c r="N236" s="26">
        <v>0.94346978379897517</v>
      </c>
      <c r="O236" s="27">
        <v>645</v>
      </c>
      <c r="P236" s="28">
        <v>659</v>
      </c>
      <c r="Q236" s="29">
        <v>655</v>
      </c>
      <c r="R236" s="24">
        <v>4.3325823004729834E-2</v>
      </c>
      <c r="S236" s="25">
        <v>0.1230716882562964</v>
      </c>
      <c r="T236" s="26">
        <v>0</v>
      </c>
      <c r="U236" s="27">
        <v>232.63576158940398</v>
      </c>
      <c r="V236" s="28">
        <v>232.63576158940398</v>
      </c>
      <c r="W236" s="29">
        <v>220.1012658227848</v>
      </c>
      <c r="X236" s="24">
        <v>0.68375548483538784</v>
      </c>
      <c r="Y236" s="25">
        <v>0.64913160364140277</v>
      </c>
      <c r="Z236" s="26">
        <v>0.6859942576829865</v>
      </c>
      <c r="AA236" s="24">
        <v>7.3596306801739175E-2</v>
      </c>
      <c r="AB236" s="25">
        <v>0.14564409768065925</v>
      </c>
      <c r="AC236" s="26">
        <v>4.7351797335952774E-2</v>
      </c>
      <c r="AD236" s="27">
        <v>2779518</v>
      </c>
      <c r="AE236" s="28">
        <v>5039245</v>
      </c>
      <c r="AF236" s="29">
        <v>3449467</v>
      </c>
      <c r="AG236" s="27">
        <v>18037916</v>
      </c>
      <c r="AH236" s="28">
        <v>40206813</v>
      </c>
      <c r="AI236" s="29">
        <v>20275091</v>
      </c>
      <c r="AJ236" s="27">
        <v>2497012</v>
      </c>
      <c r="AK236" s="28">
        <v>89627</v>
      </c>
      <c r="AL236" s="29">
        <v>1510770</v>
      </c>
      <c r="AM236" s="30">
        <v>6856308</v>
      </c>
      <c r="AN236" s="30">
        <v>4624719</v>
      </c>
      <c r="AO236" s="30">
        <v>5682960</v>
      </c>
      <c r="AP236" s="27">
        <v>11325444</v>
      </c>
      <c r="AQ236" s="28">
        <v>11573718</v>
      </c>
      <c r="AR236" s="29">
        <v>11390489</v>
      </c>
      <c r="AS236" s="27">
        <v>427182</v>
      </c>
      <c r="AT236" s="28">
        <v>906047</v>
      </c>
      <c r="AU236" s="29">
        <v>0</v>
      </c>
      <c r="AV236" s="27">
        <v>7427213.6499999994</v>
      </c>
      <c r="AW236" s="28">
        <v>8131332.79</v>
      </c>
      <c r="AX236" s="29">
        <v>7766203.7000000002</v>
      </c>
      <c r="AY236" s="27">
        <v>8373789.8200000003</v>
      </c>
      <c r="AZ236" s="28">
        <v>8591376.5099999998</v>
      </c>
      <c r="BA236" s="29">
        <v>15474510.52</v>
      </c>
      <c r="BB236" s="24">
        <v>1.1128714371438472E-2</v>
      </c>
      <c r="BC236" s="25">
        <v>2.253466346611456E-2</v>
      </c>
      <c r="BD236" s="26">
        <v>0</v>
      </c>
      <c r="BE236" s="24">
        <v>0.19348975211150982</v>
      </c>
      <c r="BF236" s="25">
        <v>0.24191637259653975</v>
      </c>
      <c r="BG236" s="26">
        <v>0.18009465690142956</v>
      </c>
      <c r="BH236" s="24">
        <v>0.21814944242322754</v>
      </c>
      <c r="BI236" s="25">
        <v>0.25560319502189743</v>
      </c>
      <c r="BJ236" s="26">
        <v>0.35884671204503205</v>
      </c>
      <c r="BK236" s="24">
        <v>0.82150000000000001</v>
      </c>
      <c r="BL236" s="25">
        <v>0.73687999999999998</v>
      </c>
      <c r="BM236" s="26">
        <v>0.7792</v>
      </c>
    </row>
    <row r="237" spans="1:65" x14ac:dyDescent="0.2">
      <c r="A237" s="22">
        <v>7501</v>
      </c>
      <c r="B237" s="23" t="s">
        <v>253</v>
      </c>
      <c r="C237" s="24">
        <v>0.10310368863058285</v>
      </c>
      <c r="D237" s="25">
        <v>9.7153282859771872E-2</v>
      </c>
      <c r="E237" s="26">
        <v>0.14975216100391847</v>
      </c>
      <c r="F237" s="24">
        <v>0.22575802949483215</v>
      </c>
      <c r="G237" s="25">
        <v>0.26212138243991029</v>
      </c>
      <c r="H237" s="26">
        <v>0.30722350970650875</v>
      </c>
      <c r="I237" s="24">
        <v>-6.351239046906243E-2</v>
      </c>
      <c r="J237" s="25">
        <v>6.6490771564682374E-2</v>
      </c>
      <c r="K237" s="26">
        <v>-0.15475187658243506</v>
      </c>
      <c r="L237" s="24">
        <v>0</v>
      </c>
      <c r="M237" s="25">
        <v>0</v>
      </c>
      <c r="N237" s="26">
        <v>0</v>
      </c>
      <c r="O237" s="27">
        <v>0</v>
      </c>
      <c r="P237" s="28">
        <v>0</v>
      </c>
      <c r="Q237" s="29">
        <v>0</v>
      </c>
      <c r="R237" s="24">
        <v>0</v>
      </c>
      <c r="S237" s="25">
        <v>0</v>
      </c>
      <c r="T237" s="26">
        <v>0</v>
      </c>
      <c r="U237" s="27">
        <v>56.759493670886073</v>
      </c>
      <c r="V237" s="28">
        <v>56.759493670886073</v>
      </c>
      <c r="W237" s="29">
        <v>54.146341463414636</v>
      </c>
      <c r="X237" s="24">
        <v>0.57477562289857631</v>
      </c>
      <c r="Y237" s="25">
        <v>0.61245476541217159</v>
      </c>
      <c r="Z237" s="26">
        <v>0.69730272851303987</v>
      </c>
      <c r="AA237" s="24">
        <v>0.22858152125779352</v>
      </c>
      <c r="AB237" s="25">
        <v>0.18359197875088523</v>
      </c>
      <c r="AC237" s="26">
        <v>1.3732311896259416E-2</v>
      </c>
      <c r="AD237" s="27">
        <v>601586</v>
      </c>
      <c r="AE237" s="28">
        <v>1315150</v>
      </c>
      <c r="AF237" s="29">
        <v>687102</v>
      </c>
      <c r="AG237" s="27">
        <v>5882619</v>
      </c>
      <c r="AH237" s="28">
        <v>12341220</v>
      </c>
      <c r="AI237" s="29">
        <v>5153393</v>
      </c>
      <c r="AJ237" s="27">
        <v>-370580</v>
      </c>
      <c r="AK237" s="28">
        <v>900076</v>
      </c>
      <c r="AL237" s="29">
        <v>-710042</v>
      </c>
      <c r="AM237" s="30">
        <v>3414873</v>
      </c>
      <c r="AN237" s="30">
        <v>4695282</v>
      </c>
      <c r="AO237" s="30">
        <v>3993332</v>
      </c>
      <c r="AP237" s="27">
        <v>0</v>
      </c>
      <c r="AQ237" s="28">
        <v>0</v>
      </c>
      <c r="AR237" s="29">
        <v>0</v>
      </c>
      <c r="AS237" s="27">
        <v>0</v>
      </c>
      <c r="AT237" s="28">
        <v>0</v>
      </c>
      <c r="AU237" s="29">
        <v>0</v>
      </c>
      <c r="AV237" s="27">
        <v>162756.60999999987</v>
      </c>
      <c r="AW237" s="28">
        <v>1107815.7400000012</v>
      </c>
      <c r="AX237" s="29">
        <v>5773594.3800000008</v>
      </c>
      <c r="AY237" s="27">
        <v>3782349.4999999995</v>
      </c>
      <c r="AZ237" s="28">
        <v>3011977.0199999986</v>
      </c>
      <c r="BA237" s="29">
        <v>5164286.0200000005</v>
      </c>
      <c r="BB237" s="24">
        <v>0</v>
      </c>
      <c r="BC237" s="25">
        <v>0</v>
      </c>
      <c r="BD237" s="26">
        <v>0</v>
      </c>
      <c r="BE237" s="24">
        <v>1.05543811288715E-2</v>
      </c>
      <c r="BF237" s="25">
        <v>0.10005021766799616</v>
      </c>
      <c r="BG237" s="26">
        <v>0.36964017731938781</v>
      </c>
      <c r="BH237" s="24">
        <v>0.24527641725639643</v>
      </c>
      <c r="BI237" s="25">
        <v>0.27202082944046446</v>
      </c>
      <c r="BJ237" s="26">
        <v>0.33063070844973969</v>
      </c>
      <c r="BK237" s="24">
        <v>0.69159999999999999</v>
      </c>
      <c r="BL237" s="25">
        <v>0.70889000000000002</v>
      </c>
      <c r="BM237" s="26">
        <v>0.70020000000000004</v>
      </c>
    </row>
    <row r="238" spans="1:65" x14ac:dyDescent="0.2">
      <c r="A238" s="22">
        <v>7502</v>
      </c>
      <c r="B238" s="23" t="s">
        <v>254</v>
      </c>
      <c r="C238" s="24">
        <v>0.17939322532844473</v>
      </c>
      <c r="D238" s="25">
        <v>0.17025531327901458</v>
      </c>
      <c r="E238" s="26">
        <v>0.21462591129785319</v>
      </c>
      <c r="F238" s="24">
        <v>0.81306419582229272</v>
      </c>
      <c r="G238" s="25">
        <v>0.59315544590497149</v>
      </c>
      <c r="H238" s="26">
        <v>1.1060710716978572</v>
      </c>
      <c r="I238" s="24">
        <v>-3.7585234515786527E-2</v>
      </c>
      <c r="J238" s="25">
        <v>-3.331158294607707E-2</v>
      </c>
      <c r="K238" s="26">
        <v>4.6933437318933305E-2</v>
      </c>
      <c r="L238" s="24">
        <v>2.5990560393297701E-3</v>
      </c>
      <c r="M238" s="25">
        <v>9.5204645258458953E-2</v>
      </c>
      <c r="N238" s="26">
        <v>5.682077137586123E-2</v>
      </c>
      <c r="O238" s="27">
        <v>1</v>
      </c>
      <c r="P238" s="28">
        <v>47</v>
      </c>
      <c r="Q238" s="29">
        <v>34</v>
      </c>
      <c r="R238" s="24">
        <v>0</v>
      </c>
      <c r="S238" s="25">
        <v>0</v>
      </c>
      <c r="T238" s="26">
        <v>0</v>
      </c>
      <c r="U238" s="27">
        <v>173.86813186813185</v>
      </c>
      <c r="V238" s="28">
        <v>161.44897959183675</v>
      </c>
      <c r="W238" s="29">
        <v>166.86170212765958</v>
      </c>
      <c r="X238" s="24">
        <v>0.74823480402259401</v>
      </c>
      <c r="Y238" s="25">
        <v>0.7028977119190345</v>
      </c>
      <c r="Z238" s="26">
        <v>0.76761335765973993</v>
      </c>
      <c r="AA238" s="24">
        <v>8.2890295532154681E-3</v>
      </c>
      <c r="AB238" s="25">
        <v>8.5009232066314722E-2</v>
      </c>
      <c r="AC238" s="26">
        <v>2.5251791642114718E-2</v>
      </c>
      <c r="AD238" s="27">
        <v>2167869</v>
      </c>
      <c r="AE238" s="28">
        <v>5088782</v>
      </c>
      <c r="AF238" s="29">
        <v>3391559</v>
      </c>
      <c r="AG238" s="27">
        <v>12280931</v>
      </c>
      <c r="AH238" s="28">
        <v>30866871</v>
      </c>
      <c r="AI238" s="29">
        <v>14099356</v>
      </c>
      <c r="AJ238" s="27">
        <v>-454197</v>
      </c>
      <c r="AK238" s="28">
        <v>-995654</v>
      </c>
      <c r="AL238" s="29">
        <v>741651</v>
      </c>
      <c r="AM238" s="30">
        <v>2873893</v>
      </c>
      <c r="AN238" s="30">
        <v>2942100</v>
      </c>
      <c r="AO238" s="30">
        <v>3420071</v>
      </c>
      <c r="AP238" s="27">
        <v>22958</v>
      </c>
      <c r="AQ238" s="28">
        <v>739329</v>
      </c>
      <c r="AR238" s="29">
        <v>539331</v>
      </c>
      <c r="AS238" s="27">
        <v>0</v>
      </c>
      <c r="AT238" s="28">
        <v>0</v>
      </c>
      <c r="AU238" s="29">
        <v>0</v>
      </c>
      <c r="AV238" s="27">
        <v>372285.64000000106</v>
      </c>
      <c r="AW238" s="28">
        <v>351664.1</v>
      </c>
      <c r="AX238" s="29">
        <v>292753.25000000047</v>
      </c>
      <c r="AY238" s="27">
        <v>14781962.27</v>
      </c>
      <c r="AZ238" s="28">
        <v>15748415.140000001</v>
      </c>
      <c r="BA238" s="29">
        <v>20115154.200000003</v>
      </c>
      <c r="BB238" s="24">
        <v>0</v>
      </c>
      <c r="BC238" s="25">
        <v>0</v>
      </c>
      <c r="BD238" s="26">
        <v>0</v>
      </c>
      <c r="BE238" s="24">
        <v>1.0783128639084266E-2</v>
      </c>
      <c r="BF238" s="25">
        <v>1.3443891350646896E-2</v>
      </c>
      <c r="BG238" s="26">
        <v>7.8787173273017919E-3</v>
      </c>
      <c r="BH238" s="24">
        <v>0.4281545769412422</v>
      </c>
      <c r="BI238" s="25">
        <v>0.60205173654928856</v>
      </c>
      <c r="BJ238" s="26">
        <v>0.54134877729585296</v>
      </c>
      <c r="BK238" s="24">
        <v>0.79161999999999999</v>
      </c>
      <c r="BL238" s="25">
        <v>0.68062</v>
      </c>
      <c r="BM238" s="26">
        <v>0.73609999999999998</v>
      </c>
    </row>
    <row r="239" spans="1:65" x14ac:dyDescent="0.2">
      <c r="A239" s="22">
        <v>7503</v>
      </c>
      <c r="B239" s="23" t="s">
        <v>255</v>
      </c>
      <c r="C239" s="24">
        <v>0.12213787668917658</v>
      </c>
      <c r="D239" s="25">
        <v>0.10996385486583186</v>
      </c>
      <c r="E239" s="26">
        <v>8.8224478568537851E-2</v>
      </c>
      <c r="F239" s="24">
        <v>0.35928816138889708</v>
      </c>
      <c r="G239" s="25">
        <v>0.24225428625878118</v>
      </c>
      <c r="H239" s="26">
        <v>0.25648996480530994</v>
      </c>
      <c r="I239" s="24">
        <v>1.1607267577939645E-2</v>
      </c>
      <c r="J239" s="25">
        <v>-0.10058234711101424</v>
      </c>
      <c r="K239" s="26">
        <v>-3.4706283790896061E-2</v>
      </c>
      <c r="L239" s="24">
        <v>0</v>
      </c>
      <c r="M239" s="25">
        <v>7.8259613706615203E-2</v>
      </c>
      <c r="N239" s="26">
        <v>6.5429743479931343E-2</v>
      </c>
      <c r="O239" s="27">
        <v>0</v>
      </c>
      <c r="P239" s="28">
        <v>29</v>
      </c>
      <c r="Q239" s="29">
        <v>27</v>
      </c>
      <c r="R239" s="24">
        <v>5.2809008615073401E-3</v>
      </c>
      <c r="S239" s="25">
        <v>3.1092224586938076E-2</v>
      </c>
      <c r="T239" s="26">
        <v>0.72352142215214965</v>
      </c>
      <c r="U239" s="27">
        <v>128</v>
      </c>
      <c r="V239" s="28">
        <v>128</v>
      </c>
      <c r="W239" s="29">
        <v>138.34666666666666</v>
      </c>
      <c r="X239" s="24">
        <v>0.5997016251002254</v>
      </c>
      <c r="Y239" s="25">
        <v>0.54058394964286127</v>
      </c>
      <c r="Z239" s="26">
        <v>0.5262355268569302</v>
      </c>
      <c r="AA239" s="24">
        <v>0.16338966655522613</v>
      </c>
      <c r="AB239" s="25">
        <v>0.26558317446286805</v>
      </c>
      <c r="AC239" s="26">
        <v>0.31975687221006432</v>
      </c>
      <c r="AD239" s="27">
        <v>572710</v>
      </c>
      <c r="AE239" s="28">
        <v>1105932</v>
      </c>
      <c r="AF239" s="29">
        <v>577481</v>
      </c>
      <c r="AG239" s="27">
        <v>4573441</v>
      </c>
      <c r="AH239" s="28">
        <v>11061947</v>
      </c>
      <c r="AI239" s="29">
        <v>6662340</v>
      </c>
      <c r="AJ239" s="27">
        <v>54427</v>
      </c>
      <c r="AK239" s="28">
        <v>-1011580</v>
      </c>
      <c r="AL239" s="29">
        <v>-227173</v>
      </c>
      <c r="AM239" s="30">
        <v>3097350</v>
      </c>
      <c r="AN239" s="30">
        <v>2188337</v>
      </c>
      <c r="AO239" s="30">
        <v>1927804</v>
      </c>
      <c r="AP239" s="27">
        <v>0</v>
      </c>
      <c r="AQ239" s="28">
        <v>156060</v>
      </c>
      <c r="AR239" s="29">
        <v>138111</v>
      </c>
      <c r="AS239" s="27">
        <v>9565</v>
      </c>
      <c r="AT239" s="28">
        <v>62002</v>
      </c>
      <c r="AU239" s="29">
        <v>1527230</v>
      </c>
      <c r="AV239" s="27">
        <v>201954.75999999998</v>
      </c>
      <c r="AW239" s="28">
        <v>2167697.06</v>
      </c>
      <c r="AX239" s="29">
        <v>1645445.61</v>
      </c>
      <c r="AY239" s="27">
        <v>3124246.51</v>
      </c>
      <c r="AZ239" s="28">
        <v>15804004.42</v>
      </c>
      <c r="BA239" s="29">
        <v>14155961.34</v>
      </c>
      <c r="BB239" s="24">
        <v>8.6229931820206134E-4</v>
      </c>
      <c r="BC239" s="25">
        <v>5.6049807506761695E-3</v>
      </c>
      <c r="BD239" s="26">
        <v>0.12084013896343004</v>
      </c>
      <c r="BE239" s="24">
        <v>1.8206529206028322E-2</v>
      </c>
      <c r="BF239" s="25">
        <v>0.25143228677029644</v>
      </c>
      <c r="BG239" s="26">
        <v>0.13019379934205452</v>
      </c>
      <c r="BH239" s="24">
        <v>0.28165558133488439</v>
      </c>
      <c r="BI239" s="25">
        <v>1.8331145272893772</v>
      </c>
      <c r="BJ239" s="26">
        <v>1.1200725074065749</v>
      </c>
      <c r="BK239" s="24">
        <v>0.77273999999999998</v>
      </c>
      <c r="BL239" s="25">
        <v>0.73319000000000001</v>
      </c>
      <c r="BM239" s="26">
        <v>0.753</v>
      </c>
    </row>
    <row r="240" spans="1:65" x14ac:dyDescent="0.2">
      <c r="A240" s="22">
        <v>7504</v>
      </c>
      <c r="B240" s="23" t="s">
        <v>256</v>
      </c>
      <c r="C240" s="24">
        <v>0.16034655102036438</v>
      </c>
      <c r="D240" s="25">
        <v>0.18482816892852968</v>
      </c>
      <c r="E240" s="26">
        <v>0.19383975114038229</v>
      </c>
      <c r="F240" s="24">
        <v>0.64143321202325043</v>
      </c>
      <c r="G240" s="25">
        <v>0.73320688577383186</v>
      </c>
      <c r="H240" s="26">
        <v>1.0695611351708998</v>
      </c>
      <c r="I240" s="24">
        <v>8.8098725536946351E-2</v>
      </c>
      <c r="J240" s="25">
        <v>2.1124584662334637E-2</v>
      </c>
      <c r="K240" s="26">
        <v>0.14241431239095606</v>
      </c>
      <c r="L240" s="24">
        <v>0.38502150099297355</v>
      </c>
      <c r="M240" s="25">
        <v>0.2768044432865655</v>
      </c>
      <c r="N240" s="26">
        <v>0.27545488671127077</v>
      </c>
      <c r="O240" s="27">
        <v>182</v>
      </c>
      <c r="P240" s="28">
        <v>141</v>
      </c>
      <c r="Q240" s="29">
        <v>146</v>
      </c>
      <c r="R240" s="24">
        <v>1.3175228531610616E-2</v>
      </c>
      <c r="S240" s="25">
        <v>1.5270475948686173E-4</v>
      </c>
      <c r="T240" s="26">
        <v>0</v>
      </c>
      <c r="U240" s="27">
        <v>169.53488372093022</v>
      </c>
      <c r="V240" s="28">
        <v>169.53488372093022</v>
      </c>
      <c r="W240" s="29">
        <v>167.43410852713177</v>
      </c>
      <c r="X240" s="24">
        <v>0.66918528244876196</v>
      </c>
      <c r="Y240" s="25">
        <v>0.66766344084958174</v>
      </c>
      <c r="Z240" s="26">
        <v>0.73078752008396008</v>
      </c>
      <c r="AA240" s="24">
        <v>5.6211675444567219E-2</v>
      </c>
      <c r="AB240" s="25">
        <v>6.4059672371918869E-2</v>
      </c>
      <c r="AC240" s="26">
        <v>6.0152092590315953E-3</v>
      </c>
      <c r="AD240" s="27">
        <v>3885821</v>
      </c>
      <c r="AE240" s="28">
        <v>8787442</v>
      </c>
      <c r="AF240" s="29">
        <v>5142128</v>
      </c>
      <c r="AG240" s="27">
        <v>22126969</v>
      </c>
      <c r="AH240" s="28">
        <v>46718706</v>
      </c>
      <c r="AI240" s="29">
        <v>22547844</v>
      </c>
      <c r="AJ240" s="27">
        <v>2134975</v>
      </c>
      <c r="AK240" s="28">
        <v>1004344</v>
      </c>
      <c r="AL240" s="29">
        <v>3777928</v>
      </c>
      <c r="AM240" s="30">
        <v>5445689</v>
      </c>
      <c r="AN240" s="30">
        <v>3351070</v>
      </c>
      <c r="AO240" s="30">
        <v>7060019</v>
      </c>
      <c r="AP240" s="27">
        <v>3988549</v>
      </c>
      <c r="AQ240" s="28">
        <v>3083364</v>
      </c>
      <c r="AR240" s="29">
        <v>3150929</v>
      </c>
      <c r="AS240" s="27">
        <v>136486</v>
      </c>
      <c r="AT240" s="28">
        <v>1701</v>
      </c>
      <c r="AU240" s="29">
        <v>0</v>
      </c>
      <c r="AV240" s="27">
        <v>643458.58999999915</v>
      </c>
      <c r="AW240" s="28">
        <v>7038163.3899999978</v>
      </c>
      <c r="AX240" s="29">
        <v>9031090.9800000004</v>
      </c>
      <c r="AY240" s="27">
        <v>4590762.7400000012</v>
      </c>
      <c r="AZ240" s="28">
        <v>12366508.870000001</v>
      </c>
      <c r="BA240" s="29">
        <v>10441690.489999998</v>
      </c>
      <c r="BB240" s="24">
        <v>2.2239205412218905E-3</v>
      </c>
      <c r="BC240" s="25">
        <v>3.6409398839085995E-5</v>
      </c>
      <c r="BD240" s="26">
        <v>0</v>
      </c>
      <c r="BE240" s="24">
        <v>1.0484597509830112E-2</v>
      </c>
      <c r="BF240" s="25">
        <v>0.17325934746697658</v>
      </c>
      <c r="BG240" s="26">
        <v>0.17666238105118556</v>
      </c>
      <c r="BH240" s="24">
        <v>7.4802481993479858E-2</v>
      </c>
      <c r="BI240" s="25">
        <v>0.30442789383165747</v>
      </c>
      <c r="BJ240" s="26">
        <v>0.2042559318966046</v>
      </c>
      <c r="BK240" s="24">
        <v>0.83026999999999995</v>
      </c>
      <c r="BL240" s="25">
        <v>0.73617999999999995</v>
      </c>
      <c r="BM240" s="26">
        <v>0.78320000000000001</v>
      </c>
    </row>
    <row r="241" spans="1:65" x14ac:dyDescent="0.2">
      <c r="A241" s="22">
        <v>7505</v>
      </c>
      <c r="B241" s="23" t="s">
        <v>257</v>
      </c>
      <c r="C241" s="24">
        <v>0.19700357048380995</v>
      </c>
      <c r="D241" s="25">
        <v>0.16387637505879901</v>
      </c>
      <c r="E241" s="26">
        <v>0.20883925085552638</v>
      </c>
      <c r="F241" s="24">
        <v>0.76473833131497249</v>
      </c>
      <c r="G241" s="25">
        <v>0.46198818050109841</v>
      </c>
      <c r="H241" s="26">
        <v>0.8483072355652842</v>
      </c>
      <c r="I241" s="24">
        <v>0.23406222206652583</v>
      </c>
      <c r="J241" s="25">
        <v>7.0525654950831093E-3</v>
      </c>
      <c r="K241" s="26">
        <v>0.23461561741383927</v>
      </c>
      <c r="L241" s="24">
        <v>0.12990560200666748</v>
      </c>
      <c r="M241" s="25">
        <v>8.0012030396494196E-2</v>
      </c>
      <c r="N241" s="26">
        <v>7.1882383830053506E-2</v>
      </c>
      <c r="O241" s="27">
        <v>53</v>
      </c>
      <c r="P241" s="28">
        <v>37</v>
      </c>
      <c r="Q241" s="29">
        <v>35</v>
      </c>
      <c r="R241" s="24">
        <v>0</v>
      </c>
      <c r="S241" s="25">
        <v>0</v>
      </c>
      <c r="T241" s="26">
        <v>0</v>
      </c>
      <c r="U241" s="27">
        <v>397.69421487603307</v>
      </c>
      <c r="V241" s="28">
        <v>422.11403508771929</v>
      </c>
      <c r="W241" s="29">
        <v>382.584</v>
      </c>
      <c r="X241" s="24">
        <v>0.67987590075868165</v>
      </c>
      <c r="Y241" s="25">
        <v>0.64905971689529385</v>
      </c>
      <c r="Z241" s="26">
        <v>0.67999904938447642</v>
      </c>
      <c r="AA241" s="24">
        <v>5.1500196949283095E-2</v>
      </c>
      <c r="AB241" s="25">
        <v>0.11478171804142449</v>
      </c>
      <c r="AC241" s="26">
        <v>3.9503784595915928E-2</v>
      </c>
      <c r="AD241" s="27">
        <v>10752289</v>
      </c>
      <c r="AE241" s="28">
        <v>17990473</v>
      </c>
      <c r="AF241" s="29">
        <v>13142248</v>
      </c>
      <c r="AG241" s="27">
        <v>41287279</v>
      </c>
      <c r="AH241" s="28">
        <v>108764211</v>
      </c>
      <c r="AI241" s="29">
        <v>47463984</v>
      </c>
      <c r="AJ241" s="27">
        <v>12774919</v>
      </c>
      <c r="AK241" s="28">
        <v>774236</v>
      </c>
      <c r="AL241" s="29">
        <v>14764354</v>
      </c>
      <c r="AM241" s="30">
        <v>28254891</v>
      </c>
      <c r="AN241" s="30">
        <v>15735400</v>
      </c>
      <c r="AO241" s="30">
        <v>30848093</v>
      </c>
      <c r="AP241" s="27">
        <v>2526814</v>
      </c>
      <c r="AQ241" s="28">
        <v>1803437</v>
      </c>
      <c r="AR241" s="29">
        <v>1657463</v>
      </c>
      <c r="AS241" s="27">
        <v>0</v>
      </c>
      <c r="AT241" s="28">
        <v>0</v>
      </c>
      <c r="AU241" s="29">
        <v>0</v>
      </c>
      <c r="AV241" s="27">
        <v>4166621.320000004</v>
      </c>
      <c r="AW241" s="28">
        <v>1751620.1500000036</v>
      </c>
      <c r="AX241" s="29">
        <v>5667384.9900000021</v>
      </c>
      <c r="AY241" s="27">
        <v>47219489.109999999</v>
      </c>
      <c r="AZ241" s="28">
        <v>53153550.079999998</v>
      </c>
      <c r="BA241" s="29">
        <v>47501290.490000002</v>
      </c>
      <c r="BB241" s="24">
        <v>0</v>
      </c>
      <c r="BC241" s="25">
        <v>0</v>
      </c>
      <c r="BD241" s="26">
        <v>0</v>
      </c>
      <c r="BE241" s="24">
        <v>3.8547305959908899E-2</v>
      </c>
      <c r="BF241" s="25">
        <v>2.0296989066229586E-2</v>
      </c>
      <c r="BG241" s="26">
        <v>4.7262108178643854E-2</v>
      </c>
      <c r="BH241" s="24">
        <v>0.43684893687285087</v>
      </c>
      <c r="BI241" s="25">
        <v>0.61591951017750313</v>
      </c>
      <c r="BJ241" s="26">
        <v>0.39612822028587225</v>
      </c>
      <c r="BK241" s="24">
        <v>0.88741000000000003</v>
      </c>
      <c r="BL241" s="25">
        <v>0.71282999999999996</v>
      </c>
      <c r="BM241" s="26">
        <v>0.80010000000000003</v>
      </c>
    </row>
    <row r="242" spans="1:65" x14ac:dyDescent="0.2">
      <c r="A242" s="22">
        <v>7601</v>
      </c>
      <c r="B242" s="23" t="s">
        <v>258</v>
      </c>
      <c r="C242" s="24">
        <v>0.27217059000584148</v>
      </c>
      <c r="D242" s="25">
        <v>0.26498725210442436</v>
      </c>
      <c r="E242" s="26">
        <v>0.2739517529660665</v>
      </c>
      <c r="F242" s="24">
        <v>0.7575582332128169</v>
      </c>
      <c r="G242" s="25">
        <v>0.6225022786521649</v>
      </c>
      <c r="H242" s="26">
        <v>0.97864406582291963</v>
      </c>
      <c r="I242" s="24">
        <v>0.14769365743910312</v>
      </c>
      <c r="J242" s="25">
        <v>-6.795032069001572E-2</v>
      </c>
      <c r="K242" s="26">
        <v>0.17140359198876123</v>
      </c>
      <c r="L242" s="24">
        <v>0.13388248097584976</v>
      </c>
      <c r="M242" s="25">
        <v>0.11621424979739015</v>
      </c>
      <c r="N242" s="26">
        <v>8.9873564611248388E-2</v>
      </c>
      <c r="O242" s="27">
        <v>70</v>
      </c>
      <c r="P242" s="28">
        <v>60</v>
      </c>
      <c r="Q242" s="29">
        <v>52</v>
      </c>
      <c r="R242" s="24">
        <v>1.0363653072556375E-4</v>
      </c>
      <c r="S242" s="25">
        <v>0</v>
      </c>
      <c r="T242" s="26">
        <v>0</v>
      </c>
      <c r="U242" s="27">
        <v>277.03870967741938</v>
      </c>
      <c r="V242" s="28">
        <v>277.03870967741938</v>
      </c>
      <c r="W242" s="29">
        <v>273.80645161290323</v>
      </c>
      <c r="X242" s="24">
        <v>0.56256258235962497</v>
      </c>
      <c r="Y242" s="25">
        <v>0.58878716111221274</v>
      </c>
      <c r="Z242" s="26">
        <v>0.63628295061065021</v>
      </c>
      <c r="AA242" s="24">
        <v>0.14862401550445345</v>
      </c>
      <c r="AB242" s="25">
        <v>0.12937939564081782</v>
      </c>
      <c r="AC242" s="26">
        <v>6.2996067270581213E-2</v>
      </c>
      <c r="AD242" s="27">
        <v>10390646</v>
      </c>
      <c r="AE242" s="28">
        <v>18338482</v>
      </c>
      <c r="AF242" s="29">
        <v>11765807</v>
      </c>
      <c r="AG242" s="27">
        <v>34686292</v>
      </c>
      <c r="AH242" s="28">
        <v>78761838</v>
      </c>
      <c r="AI242" s="29">
        <v>34656338</v>
      </c>
      <c r="AJ242" s="27">
        <v>5638495</v>
      </c>
      <c r="AK242" s="28">
        <v>-4702512</v>
      </c>
      <c r="AL242" s="29">
        <v>7361521</v>
      </c>
      <c r="AM242" s="30">
        <v>18491441</v>
      </c>
      <c r="AN242" s="30">
        <v>7805173</v>
      </c>
      <c r="AO242" s="30">
        <v>14750694</v>
      </c>
      <c r="AP242" s="27">
        <v>3011294</v>
      </c>
      <c r="AQ242" s="28">
        <v>2591750</v>
      </c>
      <c r="AR242" s="29">
        <v>2204961</v>
      </c>
      <c r="AS242" s="27">
        <v>2331</v>
      </c>
      <c r="AT242" s="28">
        <v>0</v>
      </c>
      <c r="AU242" s="29">
        <v>0</v>
      </c>
      <c r="AV242" s="27">
        <v>548195.40999999968</v>
      </c>
      <c r="AW242" s="28">
        <v>1747094.4000000022</v>
      </c>
      <c r="AX242" s="29">
        <v>638819.27000000118</v>
      </c>
      <c r="AY242" s="27">
        <v>17253297.479999997</v>
      </c>
      <c r="AZ242" s="28">
        <v>40098037.149999999</v>
      </c>
      <c r="BA242" s="29">
        <v>66208534.640000001</v>
      </c>
      <c r="BB242" s="24">
        <v>2.644821777646327E-5</v>
      </c>
      <c r="BC242" s="25">
        <v>0</v>
      </c>
      <c r="BD242" s="26">
        <v>0</v>
      </c>
      <c r="BE242" s="24">
        <v>6.2199878111272259E-3</v>
      </c>
      <c r="BF242" s="25">
        <v>2.7652532274791905E-2</v>
      </c>
      <c r="BG242" s="26">
        <v>7.2084000693917478E-3</v>
      </c>
      <c r="BH242" s="24">
        <v>0.19576103351057267</v>
      </c>
      <c r="BI242" s="25">
        <v>0.63466076386380632</v>
      </c>
      <c r="BJ242" s="26">
        <v>0.74709331434742265</v>
      </c>
      <c r="BK242" s="24">
        <v>0.84909999999999997</v>
      </c>
      <c r="BL242" s="25">
        <v>0.77036000000000004</v>
      </c>
      <c r="BM242" s="26">
        <v>0.80969999999999998</v>
      </c>
    </row>
    <row r="243" spans="1:65" x14ac:dyDescent="0.2">
      <c r="A243" s="22">
        <v>7602</v>
      </c>
      <c r="B243" s="23" t="s">
        <v>259</v>
      </c>
      <c r="C243" s="24">
        <v>0.12021706548057266</v>
      </c>
      <c r="D243" s="25">
        <v>0.13494387937243199</v>
      </c>
      <c r="E243" s="26">
        <v>0.13974680477185519</v>
      </c>
      <c r="F243" s="24">
        <v>0.24372853902299341</v>
      </c>
      <c r="G243" s="25">
        <v>0.24898167208529226</v>
      </c>
      <c r="H243" s="26">
        <v>0.29886986425438966</v>
      </c>
      <c r="I243" s="24">
        <v>4.9029422163195712E-3</v>
      </c>
      <c r="J243" s="25">
        <v>-4.1452798533155533E-2</v>
      </c>
      <c r="K243" s="26">
        <v>0.1185471722994814</v>
      </c>
      <c r="L243" s="24">
        <v>1.1586078787219678</v>
      </c>
      <c r="M243" s="25">
        <v>0.63431292066570044</v>
      </c>
      <c r="N243" s="26">
        <v>0.42751121167121964</v>
      </c>
      <c r="O243" s="27">
        <v>814</v>
      </c>
      <c r="P243" s="28">
        <v>448</v>
      </c>
      <c r="Q243" s="29">
        <v>363</v>
      </c>
      <c r="R243" s="24">
        <v>1.7419499916169347E-2</v>
      </c>
      <c r="S243" s="25">
        <v>5.0881335815239855E-2</v>
      </c>
      <c r="T243" s="26">
        <v>2.258596773926607E-2</v>
      </c>
      <c r="U243" s="27">
        <v>102.53061224489795</v>
      </c>
      <c r="V243" s="28">
        <v>102.53061224489795</v>
      </c>
      <c r="W243" s="29">
        <v>100.08163265306122</v>
      </c>
      <c r="X243" s="24">
        <v>0.59335649147335756</v>
      </c>
      <c r="Y243" s="25">
        <v>0.54483551361982963</v>
      </c>
      <c r="Z243" s="26">
        <v>0.5595197655936669</v>
      </c>
      <c r="AA243" s="24">
        <v>0.15469253422330953</v>
      </c>
      <c r="AB243" s="25">
        <v>0.26034059780221563</v>
      </c>
      <c r="AC243" s="26">
        <v>0.18484960684451326</v>
      </c>
      <c r="AD243" s="27">
        <v>879657</v>
      </c>
      <c r="AE243" s="28">
        <v>2192008</v>
      </c>
      <c r="AF243" s="29">
        <v>1303445</v>
      </c>
      <c r="AG243" s="27">
        <v>7306862</v>
      </c>
      <c r="AH243" s="28">
        <v>17268755</v>
      </c>
      <c r="AI243" s="29">
        <v>8440045</v>
      </c>
      <c r="AJ243" s="27">
        <v>35876</v>
      </c>
      <c r="AK243" s="28">
        <v>-673353</v>
      </c>
      <c r="AL243" s="29">
        <v>1105712</v>
      </c>
      <c r="AM243" s="30">
        <v>3562343</v>
      </c>
      <c r="AN243" s="30">
        <v>1528384</v>
      </c>
      <c r="AO243" s="30">
        <v>2165655</v>
      </c>
      <c r="AP243" s="27">
        <v>4090961</v>
      </c>
      <c r="AQ243" s="28">
        <v>2253148</v>
      </c>
      <c r="AR243" s="29">
        <v>1782334</v>
      </c>
      <c r="AS243" s="27">
        <v>61507</v>
      </c>
      <c r="AT243" s="28">
        <v>180736</v>
      </c>
      <c r="AU243" s="29">
        <v>94163</v>
      </c>
      <c r="AV243" s="27">
        <v>408453.35000000009</v>
      </c>
      <c r="AW243" s="28">
        <v>2996156.6599999992</v>
      </c>
      <c r="AX243" s="29">
        <v>2032308.66</v>
      </c>
      <c r="AY243" s="27">
        <v>12155244.609999999</v>
      </c>
      <c r="AZ243" s="28">
        <v>12928304.530000001</v>
      </c>
      <c r="BA243" s="29">
        <v>11289866.810000001</v>
      </c>
      <c r="BB243" s="24">
        <v>3.593682452666802E-3</v>
      </c>
      <c r="BC243" s="25">
        <v>1.0466070078589915E-2</v>
      </c>
      <c r="BD243" s="26">
        <v>5.1648446761944121E-3</v>
      </c>
      <c r="BE243" s="24">
        <v>2.3864789969076237E-2</v>
      </c>
      <c r="BF243" s="25">
        <v>0.21619261986139135</v>
      </c>
      <c r="BG243" s="26">
        <v>0.1114722190561558</v>
      </c>
      <c r="BH243" s="24">
        <v>0.71019703875704754</v>
      </c>
      <c r="BI243" s="25">
        <v>0.93286311227350671</v>
      </c>
      <c r="BJ243" s="26">
        <v>0.6192496892470768</v>
      </c>
      <c r="BK243" s="24">
        <v>0.74212999999999996</v>
      </c>
      <c r="BL243" s="25">
        <v>0.74468999999999996</v>
      </c>
      <c r="BM243" s="26">
        <v>0.74339999999999995</v>
      </c>
    </row>
    <row r="244" spans="1:65" x14ac:dyDescent="0.2">
      <c r="A244" s="22">
        <v>7603</v>
      </c>
      <c r="B244" s="23" t="s">
        <v>260</v>
      </c>
      <c r="C244" s="24">
        <v>0.13053486707264911</v>
      </c>
      <c r="D244" s="25">
        <v>0.10347925550722392</v>
      </c>
      <c r="E244" s="26">
        <v>0.18381991700529254</v>
      </c>
      <c r="F244" s="24">
        <v>0.33660056478839812</v>
      </c>
      <c r="G244" s="25">
        <v>0.2153191913312302</v>
      </c>
      <c r="H244" s="26">
        <v>0.38329308214978691</v>
      </c>
      <c r="I244" s="24">
        <v>5.2438252165332627E-2</v>
      </c>
      <c r="J244" s="25">
        <v>-1.4570000367649601E-2</v>
      </c>
      <c r="K244" s="26">
        <v>5.830342836365877E-4</v>
      </c>
      <c r="L244" s="24">
        <v>0.16103499099295812</v>
      </c>
      <c r="M244" s="25">
        <v>0.13589701306205501</v>
      </c>
      <c r="N244" s="26">
        <v>0.1027022092386343</v>
      </c>
      <c r="O244" s="27">
        <v>68</v>
      </c>
      <c r="P244" s="28">
        <v>60</v>
      </c>
      <c r="Q244" s="29">
        <v>52</v>
      </c>
      <c r="R244" s="24">
        <v>5.8600360281674767E-4</v>
      </c>
      <c r="S244" s="25">
        <v>2.9270125890288773E-5</v>
      </c>
      <c r="T244" s="26">
        <v>1.1833576775607084E-3</v>
      </c>
      <c r="U244" s="27">
        <v>233.94594594594594</v>
      </c>
      <c r="V244" s="28">
        <v>227.78947368421052</v>
      </c>
      <c r="W244" s="29">
        <v>232.62162162162161</v>
      </c>
      <c r="X244" s="24">
        <v>0.56522161784026514</v>
      </c>
      <c r="Y244" s="25">
        <v>0.48722145445040832</v>
      </c>
      <c r="Z244" s="26">
        <v>0.55776291858291527</v>
      </c>
      <c r="AA244" s="24">
        <v>0.29176240907982803</v>
      </c>
      <c r="AB244" s="25">
        <v>0.38212067653585263</v>
      </c>
      <c r="AC244" s="26">
        <v>0.27324934937384499</v>
      </c>
      <c r="AD244" s="27">
        <v>1389817</v>
      </c>
      <c r="AE244" s="28">
        <v>2662627</v>
      </c>
      <c r="AF244" s="29">
        <v>1897364</v>
      </c>
      <c r="AG244" s="27">
        <v>9906355</v>
      </c>
      <c r="AH244" s="28">
        <v>25591371</v>
      </c>
      <c r="AI244" s="29">
        <v>10927166</v>
      </c>
      <c r="AJ244" s="27">
        <v>558315</v>
      </c>
      <c r="AK244" s="28">
        <v>-374901</v>
      </c>
      <c r="AL244" s="29">
        <v>6018</v>
      </c>
      <c r="AM244" s="30">
        <v>4817180</v>
      </c>
      <c r="AN244" s="30">
        <v>3808668</v>
      </c>
      <c r="AO244" s="30">
        <v>3769878</v>
      </c>
      <c r="AP244" s="27">
        <v>590000</v>
      </c>
      <c r="AQ244" s="28">
        <v>520000</v>
      </c>
      <c r="AR244" s="29">
        <v>450000</v>
      </c>
      <c r="AS244" s="27">
        <v>2147</v>
      </c>
      <c r="AT244" s="28">
        <v>112</v>
      </c>
      <c r="AU244" s="29">
        <v>5185</v>
      </c>
      <c r="AV244" s="27">
        <v>290522.48999999993</v>
      </c>
      <c r="AW244" s="28">
        <v>1138784.2599999981</v>
      </c>
      <c r="AX244" s="29">
        <v>932136.96999999974</v>
      </c>
      <c r="AY244" s="27">
        <v>10398015.83</v>
      </c>
      <c r="AZ244" s="28">
        <v>7162159.6299999999</v>
      </c>
      <c r="BA244" s="29">
        <v>6586603.4299999997</v>
      </c>
      <c r="BB244" s="24">
        <v>1.0050606465390827E-4</v>
      </c>
      <c r="BC244" s="25">
        <v>4.3764751798565225E-6</v>
      </c>
      <c r="BD244" s="26">
        <v>2.3494594611984845E-4</v>
      </c>
      <c r="BE244" s="24">
        <v>1.360003361125031E-2</v>
      </c>
      <c r="BF244" s="25">
        <v>6.4416536385607542E-2</v>
      </c>
      <c r="BG244" s="26">
        <v>4.2237570362572557E-2</v>
      </c>
      <c r="BH244" s="24">
        <v>0.48675531033178471</v>
      </c>
      <c r="BI244" s="25">
        <v>0.40513513631232068</v>
      </c>
      <c r="BJ244" s="26">
        <v>0.29845627282113574</v>
      </c>
      <c r="BK244" s="24">
        <v>0.87014000000000002</v>
      </c>
      <c r="BL244" s="25">
        <v>0.77232999999999996</v>
      </c>
      <c r="BM244" s="26">
        <v>0.82120000000000004</v>
      </c>
    </row>
    <row r="245" spans="1:65" x14ac:dyDescent="0.2">
      <c r="A245" s="22">
        <v>7604</v>
      </c>
      <c r="B245" s="23" t="s">
        <v>261</v>
      </c>
      <c r="C245" s="24">
        <v>9.9373243644325857E-2</v>
      </c>
      <c r="D245" s="25">
        <v>6.7331250940638673E-2</v>
      </c>
      <c r="E245" s="26">
        <v>0.12174590214358016</v>
      </c>
      <c r="F245" s="24">
        <v>0.43994550000079774</v>
      </c>
      <c r="G245" s="25">
        <v>0.16973491341068639</v>
      </c>
      <c r="H245" s="26">
        <v>0.45089975158286633</v>
      </c>
      <c r="I245" s="24">
        <v>0.26249638728584085</v>
      </c>
      <c r="J245" s="25">
        <v>0.21079886026807867</v>
      </c>
      <c r="K245" s="26">
        <v>0.19326300380844794</v>
      </c>
      <c r="L245" s="24">
        <v>0</v>
      </c>
      <c r="M245" s="25">
        <v>0</v>
      </c>
      <c r="N245" s="26">
        <v>0</v>
      </c>
      <c r="O245" s="27">
        <v>0</v>
      </c>
      <c r="P245" s="28">
        <v>0</v>
      </c>
      <c r="Q245" s="29">
        <v>0</v>
      </c>
      <c r="R245" s="24">
        <v>0</v>
      </c>
      <c r="S245" s="25">
        <v>2.6174456746932044E-3</v>
      </c>
      <c r="T245" s="26">
        <v>2.1313488909760854E-3</v>
      </c>
      <c r="U245" s="27">
        <v>50.685714285714283</v>
      </c>
      <c r="V245" s="28">
        <v>54.584615384615383</v>
      </c>
      <c r="W245" s="29">
        <v>87.121951219512198</v>
      </c>
      <c r="X245" s="24">
        <v>0.67302800148276687</v>
      </c>
      <c r="Y245" s="25">
        <v>0.50813312740605854</v>
      </c>
      <c r="Z245" s="26">
        <v>0.71853320205361482</v>
      </c>
      <c r="AA245" s="24">
        <v>5.2838846863581368E-2</v>
      </c>
      <c r="AB245" s="25">
        <v>0.25919296837115402</v>
      </c>
      <c r="AC245" s="26">
        <v>3.8895541053545904E-3</v>
      </c>
      <c r="AD245" s="27">
        <v>275753</v>
      </c>
      <c r="AE245" s="28">
        <v>553853</v>
      </c>
      <c r="AF245" s="29">
        <v>348316</v>
      </c>
      <c r="AG245" s="27">
        <v>1963896</v>
      </c>
      <c r="AH245" s="28">
        <v>6467008</v>
      </c>
      <c r="AI245" s="29">
        <v>2293322</v>
      </c>
      <c r="AJ245" s="27">
        <v>728407</v>
      </c>
      <c r="AK245" s="28">
        <v>1733988</v>
      </c>
      <c r="AL245" s="29">
        <v>552927</v>
      </c>
      <c r="AM245" s="30">
        <v>2080036</v>
      </c>
      <c r="AN245" s="30">
        <v>3085664</v>
      </c>
      <c r="AO245" s="30">
        <v>3640455</v>
      </c>
      <c r="AP245" s="27">
        <v>0</v>
      </c>
      <c r="AQ245" s="28">
        <v>0</v>
      </c>
      <c r="AR245" s="29">
        <v>0</v>
      </c>
      <c r="AS245" s="27">
        <v>0</v>
      </c>
      <c r="AT245" s="28">
        <v>2950</v>
      </c>
      <c r="AU245" s="29">
        <v>2950</v>
      </c>
      <c r="AV245" s="27">
        <v>61937.379999999946</v>
      </c>
      <c r="AW245" s="28">
        <v>303405.94</v>
      </c>
      <c r="AX245" s="29">
        <v>428156.45999999996</v>
      </c>
      <c r="AY245" s="27">
        <v>912423.28999999992</v>
      </c>
      <c r="AZ245" s="28">
        <v>4178851.6</v>
      </c>
      <c r="BA245" s="29">
        <v>6261124.4000000004</v>
      </c>
      <c r="BB245" s="24">
        <v>0</v>
      </c>
      <c r="BC245" s="25">
        <v>4.5616148920799232E-4</v>
      </c>
      <c r="BD245" s="26">
        <v>3.1483864412763492E-4</v>
      </c>
      <c r="BE245" s="24">
        <v>8.8895449563189625E-3</v>
      </c>
      <c r="BF245" s="25">
        <v>5.9433197825422217E-2</v>
      </c>
      <c r="BG245" s="26">
        <v>4.5694982827419649E-2</v>
      </c>
      <c r="BH245" s="24">
        <v>0.13095529477752305</v>
      </c>
      <c r="BI245" s="25">
        <v>0.81858158026135597</v>
      </c>
      <c r="BJ245" s="26">
        <v>0.66821827688489899</v>
      </c>
      <c r="BK245" s="24">
        <v>0.73443999999999998</v>
      </c>
      <c r="BL245" s="25">
        <v>0.71340999999999999</v>
      </c>
      <c r="BM245" s="26">
        <v>0.72389999999999999</v>
      </c>
    </row>
    <row r="246" spans="1:65" x14ac:dyDescent="0.2">
      <c r="A246" s="22">
        <v>7605</v>
      </c>
      <c r="B246" s="23" t="s">
        <v>262</v>
      </c>
      <c r="C246" s="24">
        <v>0.2568880975569402</v>
      </c>
      <c r="D246" s="25">
        <v>0.22061175152893689</v>
      </c>
      <c r="E246" s="26">
        <v>0.27689514011044014</v>
      </c>
      <c r="F246" s="24">
        <v>0.41656420151726675</v>
      </c>
      <c r="G246" s="25">
        <v>0.43706638520901808</v>
      </c>
      <c r="H246" s="26">
        <v>0.81235614237213538</v>
      </c>
      <c r="I246" s="24">
        <v>-0.24112759788972576</v>
      </c>
      <c r="J246" s="25">
        <v>-0.14653723518337136</v>
      </c>
      <c r="K246" s="26">
        <v>4.7822564168082865E-2</v>
      </c>
      <c r="L246" s="24">
        <v>0.12857126441272387</v>
      </c>
      <c r="M246" s="25">
        <v>0.16935204090524794</v>
      </c>
      <c r="N246" s="26">
        <v>0.10124224284032693</v>
      </c>
      <c r="O246" s="27">
        <v>101</v>
      </c>
      <c r="P246" s="28">
        <v>93</v>
      </c>
      <c r="Q246" s="29">
        <v>86</v>
      </c>
      <c r="R246" s="24">
        <v>0.12004692969049846</v>
      </c>
      <c r="S246" s="25">
        <v>0.16885450376342617</v>
      </c>
      <c r="T246" s="26">
        <v>7.1258614016127625E-2</v>
      </c>
      <c r="U246" s="27">
        <v>149.05405405405406</v>
      </c>
      <c r="V246" s="28">
        <v>149.05405405405406</v>
      </c>
      <c r="W246" s="29">
        <v>147.86486486486487</v>
      </c>
      <c r="X246" s="24">
        <v>0.49220855604407965</v>
      </c>
      <c r="Y246" s="25">
        <v>0.54762810910067661</v>
      </c>
      <c r="Z246" s="26">
        <v>0.63067247342943289</v>
      </c>
      <c r="AA246" s="24">
        <v>0.29484552220319121</v>
      </c>
      <c r="AB246" s="25">
        <v>0.23513816546887797</v>
      </c>
      <c r="AC246" s="26">
        <v>9.7993360537373994E-2</v>
      </c>
      <c r="AD246" s="27">
        <v>1366321</v>
      </c>
      <c r="AE246" s="28">
        <v>2346279</v>
      </c>
      <c r="AF246" s="29">
        <v>1616791</v>
      </c>
      <c r="AG246" s="27">
        <v>6579910</v>
      </c>
      <c r="AH246" s="28">
        <v>12181336</v>
      </c>
      <c r="AI246" s="29">
        <v>5661904</v>
      </c>
      <c r="AJ246" s="27">
        <v>-1282495</v>
      </c>
      <c r="AK246" s="28">
        <v>-1558472</v>
      </c>
      <c r="AL246" s="29">
        <v>279236</v>
      </c>
      <c r="AM246" s="30">
        <v>888009</v>
      </c>
      <c r="AN246" s="30">
        <v>568962</v>
      </c>
      <c r="AO246" s="30">
        <v>800566</v>
      </c>
      <c r="AP246" s="27">
        <v>559438</v>
      </c>
      <c r="AQ246" s="28">
        <v>514996</v>
      </c>
      <c r="AR246" s="29">
        <v>470554</v>
      </c>
      <c r="AS246" s="27">
        <v>522347</v>
      </c>
      <c r="AT246" s="28">
        <v>513483</v>
      </c>
      <c r="AU246" s="29">
        <v>331196</v>
      </c>
      <c r="AV246" s="27">
        <v>699885.27</v>
      </c>
      <c r="AW246" s="28">
        <v>658504.73000000021</v>
      </c>
      <c r="AX246" s="29">
        <v>512592.75999999995</v>
      </c>
      <c r="AY246" s="27">
        <v>22456895.210000001</v>
      </c>
      <c r="AZ246" s="28">
        <v>27033483.320000004</v>
      </c>
      <c r="BA246" s="29">
        <v>21194686.09</v>
      </c>
      <c r="BB246" s="24">
        <v>4.0430711262612662E-2</v>
      </c>
      <c r="BC246" s="25">
        <v>4.2153258066274506E-2</v>
      </c>
      <c r="BD246" s="26">
        <v>2.780307628972532E-2</v>
      </c>
      <c r="BE246" s="24">
        <v>5.4172531417478617E-2</v>
      </c>
      <c r="BF246" s="25">
        <v>6.3302618565866192E-2</v>
      </c>
      <c r="BG246" s="26">
        <v>4.3030880843491048E-2</v>
      </c>
      <c r="BH246" s="24">
        <v>1.7382089800271836</v>
      </c>
      <c r="BI246" s="25">
        <v>2.5987516947868627</v>
      </c>
      <c r="BJ246" s="26">
        <v>1.7792409156422484</v>
      </c>
      <c r="BK246" s="24">
        <v>0.84243999999999997</v>
      </c>
      <c r="BL246" s="25">
        <v>0.76459999999999995</v>
      </c>
      <c r="BM246" s="26">
        <v>0.80349999999999999</v>
      </c>
    </row>
    <row r="247" spans="1:65" x14ac:dyDescent="0.2">
      <c r="A247" s="22">
        <v>7606</v>
      </c>
      <c r="B247" s="23" t="s">
        <v>263</v>
      </c>
      <c r="C247" s="24">
        <v>0.21865601034947166</v>
      </c>
      <c r="D247" s="25">
        <v>0.19440113098106881</v>
      </c>
      <c r="E247" s="26">
        <v>0.24493162274338418</v>
      </c>
      <c r="F247" s="24">
        <v>1.1310409834636179</v>
      </c>
      <c r="G247" s="25">
        <v>0.77740658889271597</v>
      </c>
      <c r="H247" s="26">
        <v>1.4060535919327883</v>
      </c>
      <c r="I247" s="24">
        <v>0.25685481937419036</v>
      </c>
      <c r="J247" s="25">
        <v>4.112678080535237E-2</v>
      </c>
      <c r="K247" s="26">
        <v>0.26918335846460412</v>
      </c>
      <c r="L247" s="24">
        <v>0.18408928571071184</v>
      </c>
      <c r="M247" s="25">
        <v>5.7032734136367835E-2</v>
      </c>
      <c r="N247" s="26">
        <v>3.6766859496818717E-2</v>
      </c>
      <c r="O247" s="27">
        <v>90</v>
      </c>
      <c r="P247" s="28">
        <v>31</v>
      </c>
      <c r="Q247" s="29">
        <v>22</v>
      </c>
      <c r="R247" s="24">
        <v>0</v>
      </c>
      <c r="S247" s="25">
        <v>2.0018073731178507E-2</v>
      </c>
      <c r="T247" s="26">
        <v>0</v>
      </c>
      <c r="U247" s="27">
        <v>195.50961538461539</v>
      </c>
      <c r="V247" s="28">
        <v>239.21176470588236</v>
      </c>
      <c r="W247" s="29">
        <v>242.28915662650601</v>
      </c>
      <c r="X247" s="24">
        <v>0.73195308325735275</v>
      </c>
      <c r="Y247" s="25">
        <v>0.65597160589238757</v>
      </c>
      <c r="Z247" s="26">
        <v>0.75883555971994909</v>
      </c>
      <c r="AA247" s="24">
        <v>4.3259281164510839E-2</v>
      </c>
      <c r="AB247" s="25">
        <v>0.15674002887660909</v>
      </c>
      <c r="AC247" s="26">
        <v>2.8458761493582355E-2</v>
      </c>
      <c r="AD247" s="27">
        <v>4929244</v>
      </c>
      <c r="AE247" s="28">
        <v>9084443</v>
      </c>
      <c r="AF247" s="29">
        <v>6183894</v>
      </c>
      <c r="AG247" s="27">
        <v>17029571</v>
      </c>
      <c r="AH247" s="28">
        <v>45454783</v>
      </c>
      <c r="AI247" s="29">
        <v>18209401</v>
      </c>
      <c r="AJ247" s="27">
        <v>5790374</v>
      </c>
      <c r="AK247" s="28">
        <v>1921871</v>
      </c>
      <c r="AL247" s="29">
        <v>6796188</v>
      </c>
      <c r="AM247" s="30">
        <v>10851883</v>
      </c>
      <c r="AN247" s="30">
        <v>5750970</v>
      </c>
      <c r="AO247" s="30">
        <v>12385229</v>
      </c>
      <c r="AP247" s="27">
        <v>1839637</v>
      </c>
      <c r="AQ247" s="28">
        <v>622087</v>
      </c>
      <c r="AR247" s="29">
        <v>434587</v>
      </c>
      <c r="AS247" s="27">
        <v>0</v>
      </c>
      <c r="AT247" s="28">
        <v>218348</v>
      </c>
      <c r="AU247" s="29">
        <v>0</v>
      </c>
      <c r="AV247" s="27">
        <v>466618.91999999969</v>
      </c>
      <c r="AW247" s="28">
        <v>1064456.2400000007</v>
      </c>
      <c r="AX247" s="29">
        <v>1594216.06</v>
      </c>
      <c r="AY247" s="27">
        <v>9818611.6999999993</v>
      </c>
      <c r="AZ247" s="28">
        <v>11499187.41</v>
      </c>
      <c r="BA247" s="29">
        <v>31479685.43</v>
      </c>
      <c r="BB247" s="24">
        <v>0</v>
      </c>
      <c r="BC247" s="25">
        <v>4.803630896224936E-3</v>
      </c>
      <c r="BD247" s="26">
        <v>0</v>
      </c>
      <c r="BE247" s="24">
        <v>1.0560172960743769E-2</v>
      </c>
      <c r="BF247" s="25">
        <v>2.8934015365151024E-2</v>
      </c>
      <c r="BG247" s="26">
        <v>3.2086126895106773E-2</v>
      </c>
      <c r="BH247" s="24">
        <v>0.22220753026127288</v>
      </c>
      <c r="BI247" s="25">
        <v>0.31257054325473349</v>
      </c>
      <c r="BJ247" s="26">
        <v>0.6335786012123249</v>
      </c>
      <c r="BK247" s="24">
        <v>0.88658999999999999</v>
      </c>
      <c r="BL247" s="25">
        <v>0.76161000000000001</v>
      </c>
      <c r="BM247" s="26">
        <v>0.82410000000000005</v>
      </c>
    </row>
    <row r="248" spans="1:65" x14ac:dyDescent="0.2">
      <c r="A248" s="22">
        <v>7607</v>
      </c>
      <c r="B248" s="23" t="s">
        <v>264</v>
      </c>
      <c r="C248" s="24">
        <v>0.10307046630286269</v>
      </c>
      <c r="D248" s="25">
        <v>0.18359448311692514</v>
      </c>
      <c r="E248" s="26">
        <v>0.11861867983510285</v>
      </c>
      <c r="F248" s="24">
        <v>0.51085737079604099</v>
      </c>
      <c r="G248" s="25">
        <v>0.49147934730438059</v>
      </c>
      <c r="H248" s="26">
        <v>0.37307331841159602</v>
      </c>
      <c r="I248" s="24">
        <v>0.14926578683396036</v>
      </c>
      <c r="J248" s="25">
        <v>9.1764153830419817E-2</v>
      </c>
      <c r="K248" s="26">
        <v>0.12734184071058113</v>
      </c>
      <c r="L248" s="24">
        <v>0.11673960720989862</v>
      </c>
      <c r="M248" s="25">
        <v>0.10736238905913291</v>
      </c>
      <c r="N248" s="26">
        <v>0.10859269939245525</v>
      </c>
      <c r="O248" s="27">
        <v>84</v>
      </c>
      <c r="P248" s="28">
        <v>72</v>
      </c>
      <c r="Q248" s="29">
        <v>60</v>
      </c>
      <c r="R248" s="24">
        <v>4.2046287129313846E-2</v>
      </c>
      <c r="S248" s="25">
        <v>7.9854084213449125E-2</v>
      </c>
      <c r="T248" s="26">
        <v>0.10174943906192241</v>
      </c>
      <c r="U248" s="27">
        <v>196.34210526315789</v>
      </c>
      <c r="V248" s="28">
        <v>196.34210526315789</v>
      </c>
      <c r="W248" s="29">
        <v>193.39473684210526</v>
      </c>
      <c r="X248" s="24">
        <v>0.72387404075152162</v>
      </c>
      <c r="Y248" s="25">
        <v>0.54578466228740674</v>
      </c>
      <c r="Z248" s="26">
        <v>0.62031896969953459</v>
      </c>
      <c r="AA248" s="24">
        <v>2.1611136503965296E-2</v>
      </c>
      <c r="AB248" s="25">
        <v>0.2947214214652813</v>
      </c>
      <c r="AC248" s="26">
        <v>0.17415404581716434</v>
      </c>
      <c r="AD248" s="27">
        <v>778658</v>
      </c>
      <c r="AE248" s="28">
        <v>3723190</v>
      </c>
      <c r="AF248" s="29">
        <v>1073586</v>
      </c>
      <c r="AG248" s="27">
        <v>6235350</v>
      </c>
      <c r="AH248" s="28">
        <v>18221648</v>
      </c>
      <c r="AI248" s="29">
        <v>8152185</v>
      </c>
      <c r="AJ248" s="27">
        <v>1127646</v>
      </c>
      <c r="AK248" s="28">
        <v>1860924</v>
      </c>
      <c r="AL248" s="29">
        <v>1152537</v>
      </c>
      <c r="AM248" s="30">
        <v>1831608</v>
      </c>
      <c r="AN248" s="30">
        <v>2487909</v>
      </c>
      <c r="AO248" s="30">
        <v>3568028</v>
      </c>
      <c r="AP248" s="27">
        <v>625066</v>
      </c>
      <c r="AQ248" s="28">
        <v>533590</v>
      </c>
      <c r="AR248" s="29">
        <v>442114</v>
      </c>
      <c r="AS248" s="27">
        <v>225131</v>
      </c>
      <c r="AT248" s="28">
        <v>396874</v>
      </c>
      <c r="AU248" s="29">
        <v>414253</v>
      </c>
      <c r="AV248" s="27">
        <v>289956.25000000012</v>
      </c>
      <c r="AW248" s="28">
        <v>1655252.2699999993</v>
      </c>
      <c r="AX248" s="29">
        <v>634650.58000000031</v>
      </c>
      <c r="AY248" s="27">
        <v>6606362.3700000001</v>
      </c>
      <c r="AZ248" s="28">
        <v>7489014.2700000014</v>
      </c>
      <c r="BA248" s="29">
        <v>28195021.18</v>
      </c>
      <c r="BB248" s="24">
        <v>1.3744422401044017E-2</v>
      </c>
      <c r="BC248" s="25">
        <v>2.1780357078569401E-2</v>
      </c>
      <c r="BD248" s="26">
        <v>2.1365650513199982E-2</v>
      </c>
      <c r="BE248" s="24">
        <v>1.7702054260953493E-2</v>
      </c>
      <c r="BF248" s="25">
        <v>0.1269224396648623</v>
      </c>
      <c r="BG248" s="26">
        <v>3.2732949405990239E-2</v>
      </c>
      <c r="BH248" s="24">
        <v>0.40332355360941963</v>
      </c>
      <c r="BI248" s="25">
        <v>0.57424718821462073</v>
      </c>
      <c r="BJ248" s="26">
        <v>1.4541957903603628</v>
      </c>
      <c r="BK248" s="24">
        <v>0.67630999999999997</v>
      </c>
      <c r="BL248" s="25">
        <v>0.54749000000000003</v>
      </c>
      <c r="BM248" s="26">
        <v>0.6119</v>
      </c>
    </row>
    <row r="249" spans="1:65" x14ac:dyDescent="0.2">
      <c r="A249" s="22">
        <v>7608</v>
      </c>
      <c r="B249" s="23" t="s">
        <v>265</v>
      </c>
      <c r="C249" s="24">
        <v>0.18187207030406971</v>
      </c>
      <c r="D249" s="25">
        <v>0.12999033443669877</v>
      </c>
      <c r="E249" s="26">
        <v>0.17427515501115146</v>
      </c>
      <c r="F249" s="24">
        <v>0.69117207491597832</v>
      </c>
      <c r="G249" s="25">
        <v>0.30192516682554815</v>
      </c>
      <c r="H249" s="26">
        <v>0.69215429386325955</v>
      </c>
      <c r="I249" s="24">
        <v>-3.3089605652256902E-2</v>
      </c>
      <c r="J249" s="25">
        <v>-4.244133112523437E-2</v>
      </c>
      <c r="K249" s="26">
        <v>-0.19578677160328042</v>
      </c>
      <c r="L249" s="24">
        <v>0</v>
      </c>
      <c r="M249" s="25">
        <v>0</v>
      </c>
      <c r="N249" s="26">
        <v>0.18513031219223669</v>
      </c>
      <c r="O249" s="27">
        <v>0</v>
      </c>
      <c r="P249" s="28">
        <v>0</v>
      </c>
      <c r="Q249" s="29">
        <v>98</v>
      </c>
      <c r="R249" s="24">
        <v>5.9313839298728972E-2</v>
      </c>
      <c r="S249" s="25">
        <v>3.9809728005339023E-2</v>
      </c>
      <c r="T249" s="26">
        <v>8.4878789705954139E-2</v>
      </c>
      <c r="U249" s="27">
        <v>121.01960784313725</v>
      </c>
      <c r="V249" s="28">
        <v>121.01960784313725</v>
      </c>
      <c r="W249" s="29">
        <v>126.36538461538461</v>
      </c>
      <c r="X249" s="24">
        <v>0.71014125010572615</v>
      </c>
      <c r="Y249" s="25">
        <v>0.54335817868242176</v>
      </c>
      <c r="Z249" s="26">
        <v>0.72159012942998391</v>
      </c>
      <c r="AA249" s="24">
        <v>8.5797209677981823E-2</v>
      </c>
      <c r="AB249" s="25">
        <v>0.20948530173841165</v>
      </c>
      <c r="AC249" s="26">
        <v>9.5763994113320747E-2</v>
      </c>
      <c r="AD249" s="27">
        <v>948060</v>
      </c>
      <c r="AE249" s="28">
        <v>1900317</v>
      </c>
      <c r="AF249" s="29">
        <v>895485</v>
      </c>
      <c r="AG249" s="27">
        <v>5190297</v>
      </c>
      <c r="AH249" s="28">
        <v>15032458</v>
      </c>
      <c r="AI249" s="29">
        <v>5509388</v>
      </c>
      <c r="AJ249" s="27">
        <v>-172489</v>
      </c>
      <c r="AK249" s="28">
        <v>-620446</v>
      </c>
      <c r="AL249" s="29">
        <v>-1006019</v>
      </c>
      <c r="AM249" s="30">
        <v>4017546</v>
      </c>
      <c r="AN249" s="30">
        <v>3594515</v>
      </c>
      <c r="AO249" s="30">
        <v>3249144</v>
      </c>
      <c r="AP249" s="27">
        <v>0</v>
      </c>
      <c r="AQ249" s="28">
        <v>0</v>
      </c>
      <c r="AR249" s="29">
        <v>644770</v>
      </c>
      <c r="AS249" s="27">
        <v>168870</v>
      </c>
      <c r="AT249" s="28">
        <v>115007</v>
      </c>
      <c r="AU249" s="29">
        <v>295615</v>
      </c>
      <c r="AV249" s="27">
        <v>387393.43999999989</v>
      </c>
      <c r="AW249" s="28">
        <v>250738.22999999992</v>
      </c>
      <c r="AX249" s="29">
        <v>826845.82999999973</v>
      </c>
      <c r="AY249" s="27">
        <v>3622521.13</v>
      </c>
      <c r="AZ249" s="28">
        <v>5700910.5800000001</v>
      </c>
      <c r="BA249" s="29">
        <v>14631920.539999999</v>
      </c>
      <c r="BB249" s="24">
        <v>1.076725026731626E-2</v>
      </c>
      <c r="BC249" s="25">
        <v>7.6505785015331491E-3</v>
      </c>
      <c r="BD249" s="26">
        <v>1.7017358436692998E-2</v>
      </c>
      <c r="BE249" s="24">
        <v>2.4700432998143923E-2</v>
      </c>
      <c r="BF249" s="25">
        <v>2.3228142658154247E-2</v>
      </c>
      <c r="BG249" s="26">
        <v>4.7598166063951147E-2</v>
      </c>
      <c r="BH249" s="24">
        <v>0.23097407239504528</v>
      </c>
      <c r="BI249" s="25">
        <v>0.52812674091869005</v>
      </c>
      <c r="BJ249" s="26">
        <v>0.84230041251760068</v>
      </c>
      <c r="BK249" s="24">
        <v>0.71099999999999997</v>
      </c>
      <c r="BL249" s="25">
        <v>0.65337999999999996</v>
      </c>
      <c r="BM249" s="26">
        <v>0.68220000000000003</v>
      </c>
    </row>
    <row r="250" spans="1:65" x14ac:dyDescent="0.2">
      <c r="A250" s="22">
        <v>7609</v>
      </c>
      <c r="B250" s="23" t="s">
        <v>266</v>
      </c>
      <c r="C250" s="24">
        <v>0.1180278358261523</v>
      </c>
      <c r="D250" s="25">
        <v>0.12200405823110486</v>
      </c>
      <c r="E250" s="26">
        <v>0.14374118628149044</v>
      </c>
      <c r="F250" s="24">
        <v>0.23028402861760683</v>
      </c>
      <c r="G250" s="25">
        <v>0.22020039451498014</v>
      </c>
      <c r="H250" s="26">
        <v>0.33793747726370454</v>
      </c>
      <c r="I250" s="24">
        <v>-1.3077258644745184E-2</v>
      </c>
      <c r="J250" s="25">
        <v>-7.3256844949379424E-2</v>
      </c>
      <c r="K250" s="26">
        <v>7.4350728508379441E-2</v>
      </c>
      <c r="L250" s="24">
        <v>0</v>
      </c>
      <c r="M250" s="25">
        <v>0.12840628167773233</v>
      </c>
      <c r="N250" s="26">
        <v>0.17819918889408828</v>
      </c>
      <c r="O250" s="27">
        <v>0</v>
      </c>
      <c r="P250" s="28">
        <v>70</v>
      </c>
      <c r="Q250" s="29">
        <v>108</v>
      </c>
      <c r="R250" s="24">
        <v>0</v>
      </c>
      <c r="S250" s="25">
        <v>0</v>
      </c>
      <c r="T250" s="26">
        <v>0</v>
      </c>
      <c r="U250" s="27">
        <v>190.65934065934067</v>
      </c>
      <c r="V250" s="28">
        <v>190.65934065934067</v>
      </c>
      <c r="W250" s="29">
        <v>190.06741573033707</v>
      </c>
      <c r="X250" s="24">
        <v>0.49119387957263305</v>
      </c>
      <c r="Y250" s="25">
        <v>0.4826626090917831</v>
      </c>
      <c r="Z250" s="26">
        <v>0.52415815159987345</v>
      </c>
      <c r="AA250" s="24">
        <v>0.33974196449426897</v>
      </c>
      <c r="AB250" s="25">
        <v>0.35735367653336259</v>
      </c>
      <c r="AC250" s="26">
        <v>0.25521308524951392</v>
      </c>
      <c r="AD250" s="27">
        <v>1528113</v>
      </c>
      <c r="AE250" s="28">
        <v>3228925</v>
      </c>
      <c r="AF250" s="29">
        <v>2075295</v>
      </c>
      <c r="AG250" s="27">
        <v>13027587</v>
      </c>
      <c r="AH250" s="28">
        <v>29353494</v>
      </c>
      <c r="AI250" s="29">
        <v>13623890</v>
      </c>
      <c r="AJ250" s="27">
        <v>-169312</v>
      </c>
      <c r="AK250" s="28">
        <v>-1938795</v>
      </c>
      <c r="AL250" s="29">
        <v>1073455</v>
      </c>
      <c r="AM250" s="30">
        <v>2641041</v>
      </c>
      <c r="AN250" s="30">
        <v>1504889</v>
      </c>
      <c r="AO250" s="30">
        <v>2900854</v>
      </c>
      <c r="AP250" s="27">
        <v>0</v>
      </c>
      <c r="AQ250" s="28">
        <v>604861</v>
      </c>
      <c r="AR250" s="29">
        <v>913948</v>
      </c>
      <c r="AS250" s="27">
        <v>0</v>
      </c>
      <c r="AT250" s="28">
        <v>0</v>
      </c>
      <c r="AU250" s="29">
        <v>0</v>
      </c>
      <c r="AV250" s="27">
        <v>945811.96</v>
      </c>
      <c r="AW250" s="28">
        <v>3808684.1300000004</v>
      </c>
      <c r="AX250" s="29">
        <v>343284.7099999995</v>
      </c>
      <c r="AY250" s="27">
        <v>20954345.48</v>
      </c>
      <c r="AZ250" s="28">
        <v>21598714.990000002</v>
      </c>
      <c r="BA250" s="29">
        <v>23913637.359999999</v>
      </c>
      <c r="BB250" s="24">
        <v>0</v>
      </c>
      <c r="BC250" s="25">
        <v>0</v>
      </c>
      <c r="BD250" s="26">
        <v>0</v>
      </c>
      <c r="BE250" s="24">
        <v>3.7932582485178383E-2</v>
      </c>
      <c r="BF250" s="25">
        <v>0.19039454731579414</v>
      </c>
      <c r="BG250" s="26">
        <v>1.5378558073889782E-2</v>
      </c>
      <c r="BH250" s="24">
        <v>0.84039161266582518</v>
      </c>
      <c r="BI250" s="25">
        <v>1.0797108457308344</v>
      </c>
      <c r="BJ250" s="26">
        <v>1.0712893705597923</v>
      </c>
      <c r="BK250" s="24">
        <v>0.72884000000000004</v>
      </c>
      <c r="BL250" s="25">
        <v>0.71745999999999999</v>
      </c>
      <c r="BM250" s="26">
        <v>0.72319999999999995</v>
      </c>
    </row>
    <row r="251" spans="1:65" x14ac:dyDescent="0.2">
      <c r="A251" s="22">
        <v>7610</v>
      </c>
      <c r="B251" s="23" t="s">
        <v>267</v>
      </c>
      <c r="C251" s="24">
        <v>0.23616418251592042</v>
      </c>
      <c r="D251" s="25">
        <v>0.24425778843478238</v>
      </c>
      <c r="E251" s="26">
        <v>0.20030243625880539</v>
      </c>
      <c r="F251" s="24">
        <v>1.1680832204453824</v>
      </c>
      <c r="G251" s="25">
        <v>0.9159434735630031</v>
      </c>
      <c r="H251" s="26">
        <v>0.78373587823220159</v>
      </c>
      <c r="I251" s="24">
        <v>0.16397206762105673</v>
      </c>
      <c r="J251" s="25">
        <v>6.0658978361342958E-2</v>
      </c>
      <c r="K251" s="26">
        <v>0.12814694318927389</v>
      </c>
      <c r="L251" s="24">
        <v>0.36438819076819073</v>
      </c>
      <c r="M251" s="25">
        <v>0.29425270188329289</v>
      </c>
      <c r="N251" s="26">
        <v>0.31891692670040822</v>
      </c>
      <c r="O251" s="27">
        <v>201</v>
      </c>
      <c r="P251" s="28">
        <v>187</v>
      </c>
      <c r="Q251" s="29">
        <v>165</v>
      </c>
      <c r="R251" s="24">
        <v>1.4574097057081254E-2</v>
      </c>
      <c r="S251" s="25">
        <v>1.166090027108004E-2</v>
      </c>
      <c r="T251" s="26">
        <v>2.1677092141206555E-2</v>
      </c>
      <c r="U251" s="27">
        <v>242.6057142857143</v>
      </c>
      <c r="V251" s="28">
        <v>242.6057142857143</v>
      </c>
      <c r="W251" s="29">
        <v>258.16949152542372</v>
      </c>
      <c r="X251" s="24">
        <v>0.70365845902894075</v>
      </c>
      <c r="Y251" s="25">
        <v>0.66941568346682212</v>
      </c>
      <c r="Z251" s="26">
        <v>0.70447294696390472</v>
      </c>
      <c r="AA251" s="24">
        <v>5.6564306426905013E-2</v>
      </c>
      <c r="AB251" s="25">
        <v>0.10454366005223592</v>
      </c>
      <c r="AC251" s="26">
        <v>8.7872045255636994E-2</v>
      </c>
      <c r="AD251" s="27">
        <v>5148634</v>
      </c>
      <c r="AE251" s="28">
        <v>11100580</v>
      </c>
      <c r="AF251" s="29">
        <v>4881919</v>
      </c>
      <c r="AG251" s="27">
        <v>17925580</v>
      </c>
      <c r="AH251" s="28">
        <v>42313795</v>
      </c>
      <c r="AI251" s="29">
        <v>20972415</v>
      </c>
      <c r="AJ251" s="27">
        <v>3574768</v>
      </c>
      <c r="AK251" s="28">
        <v>2756718</v>
      </c>
      <c r="AL251" s="29">
        <v>3123292</v>
      </c>
      <c r="AM251" s="30">
        <v>10204807</v>
      </c>
      <c r="AN251" s="30">
        <v>8980186</v>
      </c>
      <c r="AO251" s="30">
        <v>11833324</v>
      </c>
      <c r="AP251" s="27">
        <v>4269019</v>
      </c>
      <c r="AQ251" s="28">
        <v>3959841</v>
      </c>
      <c r="AR251" s="29">
        <v>3767535</v>
      </c>
      <c r="AS251" s="27">
        <v>170744</v>
      </c>
      <c r="AT251" s="28">
        <v>156924</v>
      </c>
      <c r="AU251" s="29">
        <v>256083</v>
      </c>
      <c r="AV251" s="27">
        <v>648464.66999999993</v>
      </c>
      <c r="AW251" s="28">
        <v>394018.1999999999</v>
      </c>
      <c r="AX251" s="29">
        <v>540421.98999999976</v>
      </c>
      <c r="AY251" s="27">
        <v>10873604.109999999</v>
      </c>
      <c r="AZ251" s="28">
        <v>20960111.709999997</v>
      </c>
      <c r="BA251" s="29">
        <v>16891988.140000001</v>
      </c>
      <c r="BB251" s="24">
        <v>3.7818658310756702E-3</v>
      </c>
      <c r="BC251" s="25">
        <v>3.7085777817848766E-3</v>
      </c>
      <c r="BD251" s="26">
        <v>4.8936062061390269E-3</v>
      </c>
      <c r="BE251" s="24">
        <v>1.436306036014595E-2</v>
      </c>
      <c r="BF251" s="25">
        <v>1.1786715650871709E-2</v>
      </c>
      <c r="BG251" s="26">
        <v>1.0327168942093E-2</v>
      </c>
      <c r="BH251" s="24">
        <v>0.24084308581416022</v>
      </c>
      <c r="BI251" s="25">
        <v>0.62700371895581575</v>
      </c>
      <c r="BJ251" s="26">
        <v>0.32279666356583936</v>
      </c>
      <c r="BK251" s="24">
        <v>0.84189000000000003</v>
      </c>
      <c r="BL251" s="25">
        <v>0.76839000000000002</v>
      </c>
      <c r="BM251" s="26">
        <v>0.80510000000000004</v>
      </c>
    </row>
    <row r="252" spans="1:65" x14ac:dyDescent="0.2">
      <c r="A252" s="22">
        <v>7611</v>
      </c>
      <c r="B252" s="23" t="s">
        <v>268</v>
      </c>
      <c r="C252" s="24">
        <v>0.25544559902918368</v>
      </c>
      <c r="D252" s="25">
        <v>0.23914535562734723</v>
      </c>
      <c r="E252" s="26">
        <v>0.26161112599699066</v>
      </c>
      <c r="F252" s="24">
        <v>0.95822252548286402</v>
      </c>
      <c r="G252" s="25">
        <v>0.79539459887583996</v>
      </c>
      <c r="H252" s="26">
        <v>1.5568907759562749</v>
      </c>
      <c r="I252" s="24">
        <v>8.8534414260305005E-2</v>
      </c>
      <c r="J252" s="25">
        <v>-1.3527653049892932E-2</v>
      </c>
      <c r="K252" s="26">
        <v>0.13154210572066877</v>
      </c>
      <c r="L252" s="24">
        <v>0</v>
      </c>
      <c r="M252" s="25">
        <v>0</v>
      </c>
      <c r="N252" s="26">
        <v>0</v>
      </c>
      <c r="O252" s="27">
        <v>0</v>
      </c>
      <c r="P252" s="28">
        <v>0</v>
      </c>
      <c r="Q252" s="29">
        <v>0</v>
      </c>
      <c r="R252" s="24">
        <v>0</v>
      </c>
      <c r="S252" s="25">
        <v>0</v>
      </c>
      <c r="T252" s="26">
        <v>0</v>
      </c>
      <c r="U252" s="27">
        <v>362.26027397260276</v>
      </c>
      <c r="V252" s="28">
        <v>355.76233183856505</v>
      </c>
      <c r="W252" s="29">
        <v>373.51658767772511</v>
      </c>
      <c r="X252" s="24">
        <v>0.63531257428866295</v>
      </c>
      <c r="Y252" s="25">
        <v>0.62717151475600041</v>
      </c>
      <c r="Z252" s="26">
        <v>0.71966079560934593</v>
      </c>
      <c r="AA252" s="24">
        <v>0.10338390854130085</v>
      </c>
      <c r="AB252" s="25">
        <v>9.502085359940303E-2</v>
      </c>
      <c r="AC252" s="26">
        <v>-2.7284794052213671E-3</v>
      </c>
      <c r="AD252" s="27">
        <v>20901982</v>
      </c>
      <c r="AE252" s="28">
        <v>37522706</v>
      </c>
      <c r="AF252" s="29">
        <v>22273661</v>
      </c>
      <c r="AG252" s="27">
        <v>72828239</v>
      </c>
      <c r="AH252" s="28">
        <v>156990644</v>
      </c>
      <c r="AI252" s="29">
        <v>72898113</v>
      </c>
      <c r="AJ252" s="27">
        <v>7244379</v>
      </c>
      <c r="AK252" s="28">
        <v>-2122534</v>
      </c>
      <c r="AL252" s="29">
        <v>11199540</v>
      </c>
      <c r="AM252" s="30">
        <v>30014097</v>
      </c>
      <c r="AN252" s="30">
        <v>20882723</v>
      </c>
      <c r="AO252" s="30">
        <v>34444876</v>
      </c>
      <c r="AP252" s="27">
        <v>0</v>
      </c>
      <c r="AQ252" s="28">
        <v>0</v>
      </c>
      <c r="AR252" s="29">
        <v>0</v>
      </c>
      <c r="AS252" s="27">
        <v>0</v>
      </c>
      <c r="AT252" s="28">
        <v>0</v>
      </c>
      <c r="AU252" s="29">
        <v>0</v>
      </c>
      <c r="AV252" s="27">
        <v>1654983.6100000006</v>
      </c>
      <c r="AW252" s="28">
        <v>3055230.840000005</v>
      </c>
      <c r="AX252" s="29">
        <v>1483915.86</v>
      </c>
      <c r="AY252" s="27">
        <v>56468305.229999997</v>
      </c>
      <c r="AZ252" s="28">
        <v>65739699.460000001</v>
      </c>
      <c r="BA252" s="29">
        <v>82103828.539999992</v>
      </c>
      <c r="BB252" s="24">
        <v>0</v>
      </c>
      <c r="BC252" s="25">
        <v>0</v>
      </c>
      <c r="BD252" s="26">
        <v>0</v>
      </c>
      <c r="BE252" s="24">
        <v>1.0022879644717318E-2</v>
      </c>
      <c r="BF252" s="25">
        <v>2.3923593923988459E-2</v>
      </c>
      <c r="BG252" s="26">
        <v>8.3103412150207275E-3</v>
      </c>
      <c r="BH252" s="24">
        <v>0.34198225507589841</v>
      </c>
      <c r="BI252" s="25">
        <v>0.51476629980799771</v>
      </c>
      <c r="BJ252" s="26">
        <v>0.45980425751831844</v>
      </c>
      <c r="BK252" s="24">
        <v>0.86404000000000003</v>
      </c>
      <c r="BL252" s="25">
        <v>0.75875999999999999</v>
      </c>
      <c r="BM252" s="26">
        <v>0.81140000000000001</v>
      </c>
    </row>
    <row r="253" spans="1:65" x14ac:dyDescent="0.2">
      <c r="A253" s="22">
        <v>7701</v>
      </c>
      <c r="B253" s="23" t="s">
        <v>269</v>
      </c>
      <c r="C253" s="24">
        <v>0.14199986526769309</v>
      </c>
      <c r="D253" s="25">
        <v>0.16479998333486487</v>
      </c>
      <c r="E253" s="26">
        <v>0.1678937095919629</v>
      </c>
      <c r="F253" s="24">
        <v>0.67752502136106518</v>
      </c>
      <c r="G253" s="25">
        <v>0.69317365730387226</v>
      </c>
      <c r="H253" s="26">
        <v>1.004283785282041</v>
      </c>
      <c r="I253" s="24">
        <v>8.9550663998202815E-2</v>
      </c>
      <c r="J253" s="25">
        <v>-5.6701370123306422E-3</v>
      </c>
      <c r="K253" s="26">
        <v>0.17083068054099318</v>
      </c>
      <c r="L253" s="24">
        <v>2.4847079223634504E-3</v>
      </c>
      <c r="M253" s="25">
        <v>0</v>
      </c>
      <c r="N253" s="26">
        <v>0</v>
      </c>
      <c r="O253" s="27">
        <v>1</v>
      </c>
      <c r="P253" s="28">
        <v>0</v>
      </c>
      <c r="Q253" s="29">
        <v>0</v>
      </c>
      <c r="R253" s="24">
        <v>0</v>
      </c>
      <c r="S253" s="25">
        <v>2.8958929111133312E-3</v>
      </c>
      <c r="T253" s="26">
        <v>0</v>
      </c>
      <c r="U253" s="27">
        <v>181.09417040358744</v>
      </c>
      <c r="V253" s="28">
        <v>181.09417040358744</v>
      </c>
      <c r="W253" s="29">
        <v>178.92376681614348</v>
      </c>
      <c r="X253" s="24">
        <v>0.65872877784791806</v>
      </c>
      <c r="Y253" s="25">
        <v>0.67147089549699635</v>
      </c>
      <c r="Z253" s="26">
        <v>0.73996020773347948</v>
      </c>
      <c r="AA253" s="24">
        <v>5.5204762090415679E-2</v>
      </c>
      <c r="AB253" s="25">
        <v>6.8486942734772391E-2</v>
      </c>
      <c r="AC253" s="26">
        <v>2.8119679986157855E-2</v>
      </c>
      <c r="AD253" s="27">
        <v>1511351</v>
      </c>
      <c r="AE253" s="28">
        <v>3385962</v>
      </c>
      <c r="AF253" s="29">
        <v>2074311</v>
      </c>
      <c r="AG253" s="27">
        <v>9644168</v>
      </c>
      <c r="AH253" s="28">
        <v>20631962</v>
      </c>
      <c r="AI253" s="29">
        <v>10264306</v>
      </c>
      <c r="AJ253" s="27">
        <v>953117</v>
      </c>
      <c r="AK253" s="28">
        <v>-116498</v>
      </c>
      <c r="AL253" s="29">
        <v>2110597</v>
      </c>
      <c r="AM253" s="30">
        <v>4146053</v>
      </c>
      <c r="AN253" s="30">
        <v>3060916</v>
      </c>
      <c r="AO253" s="30">
        <v>5212062</v>
      </c>
      <c r="AP253" s="27">
        <v>11280</v>
      </c>
      <c r="AQ253" s="28">
        <v>0</v>
      </c>
      <c r="AR253" s="29">
        <v>0</v>
      </c>
      <c r="AS253" s="27">
        <v>0</v>
      </c>
      <c r="AT253" s="28">
        <v>13855</v>
      </c>
      <c r="AU253" s="29">
        <v>0</v>
      </c>
      <c r="AV253" s="27">
        <v>20836.550000000047</v>
      </c>
      <c r="AW253" s="28">
        <v>4430650.1000000006</v>
      </c>
      <c r="AX253" s="29">
        <v>18860.129999999423</v>
      </c>
      <c r="AY253" s="27">
        <v>3190948.0300000003</v>
      </c>
      <c r="AZ253" s="28">
        <v>10142171.34</v>
      </c>
      <c r="BA253" s="29">
        <v>12851750.940000001</v>
      </c>
      <c r="BB253" s="24">
        <v>0</v>
      </c>
      <c r="BC253" s="25">
        <v>6.715308994849835E-4</v>
      </c>
      <c r="BD253" s="26">
        <v>0</v>
      </c>
      <c r="BE253" s="24">
        <v>9.386837978695398E-4</v>
      </c>
      <c r="BF253" s="25">
        <v>0.25241919982206779</v>
      </c>
      <c r="BG253" s="26">
        <v>7.4326227148682809E-4</v>
      </c>
      <c r="BH253" s="24">
        <v>0.14375178307371997</v>
      </c>
      <c r="BI253" s="25">
        <v>0.57781109234988071</v>
      </c>
      <c r="BJ253" s="26">
        <v>0.50647697530439462</v>
      </c>
      <c r="BK253" s="24">
        <v>0.83796000000000004</v>
      </c>
      <c r="BL253" s="25">
        <v>0.75061999999999995</v>
      </c>
      <c r="BM253" s="26">
        <v>0.79430000000000001</v>
      </c>
    </row>
    <row r="254" spans="1:65" x14ac:dyDescent="0.2">
      <c r="A254" s="22">
        <v>7702</v>
      </c>
      <c r="B254" s="23" t="s">
        <v>270</v>
      </c>
      <c r="C254" s="24">
        <v>9.1137990603833735E-2</v>
      </c>
      <c r="D254" s="25">
        <v>0.13290137882955005</v>
      </c>
      <c r="E254" s="26">
        <v>0.10785782565354635</v>
      </c>
      <c r="F254" s="24">
        <v>0.23433246310278588</v>
      </c>
      <c r="G254" s="25">
        <v>0.39777429894310568</v>
      </c>
      <c r="H254" s="26">
        <v>0.44586515378203984</v>
      </c>
      <c r="I254" s="24">
        <v>-9.2130203790113857E-2</v>
      </c>
      <c r="J254" s="25">
        <v>-6.1201005486391312E-2</v>
      </c>
      <c r="K254" s="26">
        <v>9.6669409658558511E-2</v>
      </c>
      <c r="L254" s="24">
        <v>0.69369690267597561</v>
      </c>
      <c r="M254" s="25">
        <v>0.52742853411610802</v>
      </c>
      <c r="N254" s="26">
        <v>0.47876971828661341</v>
      </c>
      <c r="O254" s="27">
        <v>246</v>
      </c>
      <c r="P254" s="28">
        <v>230</v>
      </c>
      <c r="Q254" s="29">
        <v>210</v>
      </c>
      <c r="R254" s="24">
        <v>0</v>
      </c>
      <c r="S254" s="25">
        <v>0</v>
      </c>
      <c r="T254" s="26">
        <v>0</v>
      </c>
      <c r="U254" s="27">
        <v>151.4390243902439</v>
      </c>
      <c r="V254" s="28">
        <v>151.4390243902439</v>
      </c>
      <c r="W254" s="29">
        <v>151.73170731707316</v>
      </c>
      <c r="X254" s="24">
        <v>0.60774744064707775</v>
      </c>
      <c r="Y254" s="25">
        <v>0.64169973984498874</v>
      </c>
      <c r="Z254" s="26">
        <v>0.66983439671670797</v>
      </c>
      <c r="AA254" s="24">
        <v>0.21590263026611325</v>
      </c>
      <c r="AB254" s="25">
        <v>0.16786928113412897</v>
      </c>
      <c r="AC254" s="26">
        <v>0.11762140396985749</v>
      </c>
      <c r="AD254" s="27">
        <v>570776</v>
      </c>
      <c r="AE254" s="28">
        <v>1654899</v>
      </c>
      <c r="AF254" s="29">
        <v>822207</v>
      </c>
      <c r="AG254" s="27">
        <v>6660961</v>
      </c>
      <c r="AH254" s="28">
        <v>13016086</v>
      </c>
      <c r="AI254" s="29">
        <v>6846543</v>
      </c>
      <c r="AJ254" s="27">
        <v>-576990</v>
      </c>
      <c r="AK254" s="28">
        <v>-762080</v>
      </c>
      <c r="AL254" s="29">
        <v>736917</v>
      </c>
      <c r="AM254" s="30">
        <v>1188653</v>
      </c>
      <c r="AN254" s="30">
        <v>921584</v>
      </c>
      <c r="AO254" s="30">
        <v>1543618</v>
      </c>
      <c r="AP254" s="27">
        <v>1526847</v>
      </c>
      <c r="AQ254" s="28">
        <v>1429700</v>
      </c>
      <c r="AR254" s="29">
        <v>1305380</v>
      </c>
      <c r="AS254" s="27">
        <v>0</v>
      </c>
      <c r="AT254" s="28">
        <v>0</v>
      </c>
      <c r="AU254" s="29">
        <v>0</v>
      </c>
      <c r="AV254" s="27">
        <v>151117.37999999974</v>
      </c>
      <c r="AW254" s="28">
        <v>806751.84999999951</v>
      </c>
      <c r="AX254" s="29">
        <v>230331.30000000005</v>
      </c>
      <c r="AY254" s="27">
        <v>2645090.48</v>
      </c>
      <c r="AZ254" s="28">
        <v>7260984.1999999993</v>
      </c>
      <c r="BA254" s="29">
        <v>8566098</v>
      </c>
      <c r="BB254" s="24">
        <v>0</v>
      </c>
      <c r="BC254" s="25">
        <v>0</v>
      </c>
      <c r="BD254" s="26">
        <v>0</v>
      </c>
      <c r="BE254" s="24">
        <v>1.1988202300137349E-2</v>
      </c>
      <c r="BF254" s="25">
        <v>6.6541876705092984E-2</v>
      </c>
      <c r="BG254" s="26">
        <v>1.6564103755297658E-2</v>
      </c>
      <c r="BH254" s="24">
        <v>0.20983608752618299</v>
      </c>
      <c r="BI254" s="25">
        <v>0.59889483413521571</v>
      </c>
      <c r="BJ254" s="26">
        <v>0.6160245526771555</v>
      </c>
      <c r="BK254" s="24">
        <v>0.93777999999999995</v>
      </c>
      <c r="BL254" s="25">
        <v>0.74714000000000003</v>
      </c>
      <c r="BM254" s="26">
        <v>0.84250000000000003</v>
      </c>
    </row>
    <row r="255" spans="1:65" x14ac:dyDescent="0.2">
      <c r="A255" s="22">
        <v>7703</v>
      </c>
      <c r="B255" s="23" t="s">
        <v>271</v>
      </c>
      <c r="C255" s="24">
        <v>0.11127442231217732</v>
      </c>
      <c r="D255" s="25">
        <v>0.13956773527153829</v>
      </c>
      <c r="E255" s="26">
        <v>0.10712389446584358</v>
      </c>
      <c r="F255" s="24">
        <v>0.31511805993974118</v>
      </c>
      <c r="G255" s="25">
        <v>0.23749212627733615</v>
      </c>
      <c r="H255" s="26">
        <v>0.23470426417199183</v>
      </c>
      <c r="I255" s="24">
        <v>5.2301849985933881E-2</v>
      </c>
      <c r="J255" s="25">
        <v>-0.23440314192659556</v>
      </c>
      <c r="K255" s="26">
        <v>-5.1628914128525799E-2</v>
      </c>
      <c r="L255" s="24">
        <v>0.47130714674697738</v>
      </c>
      <c r="M255" s="25">
        <v>0.63722097965862845</v>
      </c>
      <c r="N255" s="26">
        <v>0.39961409857284613</v>
      </c>
      <c r="O255" s="27">
        <v>249</v>
      </c>
      <c r="P255" s="28">
        <v>324</v>
      </c>
      <c r="Q255" s="29">
        <v>307</v>
      </c>
      <c r="R255" s="24">
        <v>0</v>
      </c>
      <c r="S255" s="25">
        <v>4.0001678356316071E-3</v>
      </c>
      <c r="T255" s="26">
        <v>0</v>
      </c>
      <c r="U255" s="27">
        <v>153.94</v>
      </c>
      <c r="V255" s="28">
        <v>153.94</v>
      </c>
      <c r="W255" s="29">
        <v>153.78</v>
      </c>
      <c r="X255" s="24">
        <v>0.6803347752074268</v>
      </c>
      <c r="Y255" s="25">
        <v>0.55701226062868847</v>
      </c>
      <c r="Z255" s="26">
        <v>0.63458617192130384</v>
      </c>
      <c r="AA255" s="24">
        <v>8.9356680475405612E-2</v>
      </c>
      <c r="AB255" s="25">
        <v>0.26230755148741419</v>
      </c>
      <c r="AC255" s="26">
        <v>0.13131428474200083</v>
      </c>
      <c r="AD255" s="27">
        <v>973821</v>
      </c>
      <c r="AE255" s="28">
        <v>2357586</v>
      </c>
      <c r="AF255" s="29">
        <v>1062049</v>
      </c>
      <c r="AG255" s="27">
        <v>8284126</v>
      </c>
      <c r="AH255" s="28">
        <v>20757500</v>
      </c>
      <c r="AI255" s="29">
        <v>10578910</v>
      </c>
      <c r="AJ255" s="27">
        <v>457721</v>
      </c>
      <c r="AK255" s="28">
        <v>-3959551</v>
      </c>
      <c r="AL255" s="29">
        <v>-511860</v>
      </c>
      <c r="AM255" s="30">
        <v>5188390</v>
      </c>
      <c r="AN255" s="30">
        <v>1327687</v>
      </c>
      <c r="AO255" s="30">
        <v>713104</v>
      </c>
      <c r="AP255" s="27">
        <v>1916119</v>
      </c>
      <c r="AQ255" s="28">
        <v>2490633</v>
      </c>
      <c r="AR255" s="29">
        <v>2357497</v>
      </c>
      <c r="AS255" s="27">
        <v>0</v>
      </c>
      <c r="AT255" s="28">
        <v>15635</v>
      </c>
      <c r="AU255" s="29">
        <v>0</v>
      </c>
      <c r="AV255" s="27">
        <v>152376.88000000105</v>
      </c>
      <c r="AW255" s="28">
        <v>111478.1800000018</v>
      </c>
      <c r="AX255" s="29">
        <v>102423.72000000181</v>
      </c>
      <c r="AY255" s="27">
        <v>3740148.8699999982</v>
      </c>
      <c r="AZ255" s="28">
        <v>2083663.9299999997</v>
      </c>
      <c r="BA255" s="29">
        <v>8374863.2299999986</v>
      </c>
      <c r="BB255" s="24">
        <v>0</v>
      </c>
      <c r="BC255" s="25">
        <v>7.5322172708659524E-4</v>
      </c>
      <c r="BD255" s="26">
        <v>0</v>
      </c>
      <c r="BE255" s="24">
        <v>7.0881961208845963E-3</v>
      </c>
      <c r="BF255" s="25">
        <v>6.9965996773780443E-3</v>
      </c>
      <c r="BG255" s="26">
        <v>3.6429594096870819E-3</v>
      </c>
      <c r="BH255" s="24">
        <v>0.17398248810360675</v>
      </c>
      <c r="BI255" s="25">
        <v>0.13077503041763</v>
      </c>
      <c r="BJ255" s="26">
        <v>0.29787325444311441</v>
      </c>
      <c r="BK255" s="24">
        <v>0.74439</v>
      </c>
      <c r="BL255" s="25">
        <v>0.67344999999999999</v>
      </c>
      <c r="BM255" s="26">
        <v>0.70889999999999997</v>
      </c>
    </row>
    <row r="256" spans="1:65" x14ac:dyDescent="0.2">
      <c r="A256" s="22">
        <v>7704</v>
      </c>
      <c r="B256" s="23" t="s">
        <v>272</v>
      </c>
      <c r="C256" s="24">
        <v>0.14359405166808159</v>
      </c>
      <c r="D256" s="25">
        <v>0.13304403542355975</v>
      </c>
      <c r="E256" s="26">
        <v>0.12741714648261895</v>
      </c>
      <c r="F256" s="24">
        <v>0.85074622901214303</v>
      </c>
      <c r="G256" s="25">
        <v>0.37193400684901257</v>
      </c>
      <c r="H256" s="26">
        <v>0.59745387479470147</v>
      </c>
      <c r="I256" s="24">
        <v>0.14116914017681303</v>
      </c>
      <c r="J256" s="25">
        <v>-4.0884107647202267E-2</v>
      </c>
      <c r="K256" s="26">
        <v>8.4152924178943544E-2</v>
      </c>
      <c r="L256" s="24">
        <v>0.59021924766474831</v>
      </c>
      <c r="M256" s="25">
        <v>0.47063447149632692</v>
      </c>
      <c r="N256" s="26">
        <v>0.46888373197232786</v>
      </c>
      <c r="O256" s="27">
        <v>227</v>
      </c>
      <c r="P256" s="28">
        <v>213</v>
      </c>
      <c r="Q256" s="29">
        <v>198</v>
      </c>
      <c r="R256" s="24">
        <v>0</v>
      </c>
      <c r="S256" s="25">
        <v>0</v>
      </c>
      <c r="T256" s="26">
        <v>0</v>
      </c>
      <c r="U256" s="27">
        <v>167.296875</v>
      </c>
      <c r="V256" s="28">
        <v>166</v>
      </c>
      <c r="W256" s="29">
        <v>167.22480620155039</v>
      </c>
      <c r="X256" s="24">
        <v>0.71483319430230419</v>
      </c>
      <c r="Y256" s="25">
        <v>0.58201649818406742</v>
      </c>
      <c r="Z256" s="26">
        <v>0.70866855614413249</v>
      </c>
      <c r="AA256" s="24">
        <v>6.3020130260474982E-2</v>
      </c>
      <c r="AB256" s="25">
        <v>0.23543568513204802</v>
      </c>
      <c r="AC256" s="26">
        <v>7.0214839132004755E-2</v>
      </c>
      <c r="AD256" s="27">
        <v>1601443</v>
      </c>
      <c r="AE256" s="28">
        <v>3157822</v>
      </c>
      <c r="AF256" s="29">
        <v>1550394</v>
      </c>
      <c r="AG256" s="27">
        <v>9354027</v>
      </c>
      <c r="AH256" s="28">
        <v>24481361</v>
      </c>
      <c r="AI256" s="29">
        <v>11038678</v>
      </c>
      <c r="AJ256" s="27">
        <v>1574399</v>
      </c>
      <c r="AK256" s="28">
        <v>-970391</v>
      </c>
      <c r="AL256" s="29">
        <v>1023961</v>
      </c>
      <c r="AM256" s="30">
        <v>7083957</v>
      </c>
      <c r="AN256" s="30">
        <v>4408787</v>
      </c>
      <c r="AO256" s="30">
        <v>5358419</v>
      </c>
      <c r="AP256" s="27">
        <v>2426399</v>
      </c>
      <c r="AQ256" s="28">
        <v>2283670</v>
      </c>
      <c r="AR256" s="29">
        <v>2140940</v>
      </c>
      <c r="AS256" s="27">
        <v>0</v>
      </c>
      <c r="AT256" s="28">
        <v>0</v>
      </c>
      <c r="AU256" s="29">
        <v>0</v>
      </c>
      <c r="AV256" s="27">
        <v>153336.82000000004</v>
      </c>
      <c r="AW256" s="28">
        <v>211551.34999999905</v>
      </c>
      <c r="AX256" s="29">
        <v>733465.74999999988</v>
      </c>
      <c r="AY256" s="27">
        <v>3726941</v>
      </c>
      <c r="AZ256" s="28">
        <v>4560771.5199999996</v>
      </c>
      <c r="BA256" s="29">
        <v>5518221.5700000003</v>
      </c>
      <c r="BB256" s="24">
        <v>0</v>
      </c>
      <c r="BC256" s="25">
        <v>0</v>
      </c>
      <c r="BD256" s="26">
        <v>0</v>
      </c>
      <c r="BE256" s="24">
        <v>6.4750730487758285E-3</v>
      </c>
      <c r="BF256" s="25">
        <v>1.0730271060488876E-2</v>
      </c>
      <c r="BG256" s="26">
        <v>2.9219985172206767E-2</v>
      </c>
      <c r="BH256" s="24">
        <v>0.15738043363281976</v>
      </c>
      <c r="BI256" s="25">
        <v>0.23133066583861592</v>
      </c>
      <c r="BJ256" s="26">
        <v>0.21983623973219144</v>
      </c>
      <c r="BK256" s="24">
        <v>0.67957000000000001</v>
      </c>
      <c r="BL256" s="25">
        <v>0.59584999999999999</v>
      </c>
      <c r="BM256" s="26">
        <v>0.63770000000000004</v>
      </c>
    </row>
    <row r="257" spans="1:65" x14ac:dyDescent="0.2">
      <c r="A257" s="22">
        <v>7705</v>
      </c>
      <c r="B257" s="23" t="s">
        <v>273</v>
      </c>
      <c r="C257" s="24">
        <v>0.15428351295001419</v>
      </c>
      <c r="D257" s="25">
        <v>0.15915270908790058</v>
      </c>
      <c r="E257" s="26">
        <v>0.14912052785307905</v>
      </c>
      <c r="F257" s="24">
        <v>0.46055490825591328</v>
      </c>
      <c r="G257" s="25">
        <v>0.49486315283998639</v>
      </c>
      <c r="H257" s="26">
        <v>0.62911589977916582</v>
      </c>
      <c r="I257" s="24">
        <v>-4.1120108024104134E-3</v>
      </c>
      <c r="J257" s="25">
        <v>-5.0870942409064528E-2</v>
      </c>
      <c r="K257" s="26">
        <v>9.3252174775596761E-2</v>
      </c>
      <c r="L257" s="24">
        <v>0</v>
      </c>
      <c r="M257" s="25">
        <v>0</v>
      </c>
      <c r="N257" s="26">
        <v>0</v>
      </c>
      <c r="O257" s="27">
        <v>0</v>
      </c>
      <c r="P257" s="28">
        <v>0</v>
      </c>
      <c r="Q257" s="29">
        <v>0</v>
      </c>
      <c r="R257" s="24">
        <v>0</v>
      </c>
      <c r="S257" s="25">
        <v>0</v>
      </c>
      <c r="T257" s="26">
        <v>0</v>
      </c>
      <c r="U257" s="27">
        <v>119.67619047619047</v>
      </c>
      <c r="V257" s="28">
        <v>119.67619047619047</v>
      </c>
      <c r="W257" s="29">
        <v>117.96190476190476</v>
      </c>
      <c r="X257" s="24">
        <v>0.62278130868660109</v>
      </c>
      <c r="Y257" s="25">
        <v>0.64421171257607346</v>
      </c>
      <c r="Z257" s="26">
        <v>0.69088475091047896</v>
      </c>
      <c r="AA257" s="24">
        <v>0.14958090876492475</v>
      </c>
      <c r="AB257" s="25">
        <v>0.12164368848261507</v>
      </c>
      <c r="AC257" s="26">
        <v>9.3304997076133836E-2</v>
      </c>
      <c r="AD257" s="27">
        <v>1244733</v>
      </c>
      <c r="AE257" s="28">
        <v>2423813</v>
      </c>
      <c r="AF257" s="29">
        <v>1334955</v>
      </c>
      <c r="AG257" s="27">
        <v>7900547</v>
      </c>
      <c r="AH257" s="28">
        <v>16077061</v>
      </c>
      <c r="AI257" s="29">
        <v>7915889</v>
      </c>
      <c r="AJ257" s="27">
        <v>-33175</v>
      </c>
      <c r="AK257" s="28">
        <v>-774738</v>
      </c>
      <c r="AL257" s="29">
        <v>834811</v>
      </c>
      <c r="AM257" s="30">
        <v>1656176</v>
      </c>
      <c r="AN257" s="30">
        <v>921301</v>
      </c>
      <c r="AO257" s="30">
        <v>1749724</v>
      </c>
      <c r="AP257" s="27">
        <v>0</v>
      </c>
      <c r="AQ257" s="28">
        <v>0</v>
      </c>
      <c r="AR257" s="29">
        <v>0</v>
      </c>
      <c r="AS257" s="27">
        <v>0</v>
      </c>
      <c r="AT257" s="28">
        <v>0</v>
      </c>
      <c r="AU257" s="29">
        <v>0</v>
      </c>
      <c r="AV257" s="27">
        <v>185098.81000000011</v>
      </c>
      <c r="AW257" s="28">
        <v>2091694.8399999989</v>
      </c>
      <c r="AX257" s="29">
        <v>105023.00999999973</v>
      </c>
      <c r="AY257" s="27">
        <v>1720463.55</v>
      </c>
      <c r="AZ257" s="28">
        <v>8930332.1199999992</v>
      </c>
      <c r="BA257" s="29">
        <v>10073640.369999999</v>
      </c>
      <c r="BB257" s="24">
        <v>0</v>
      </c>
      <c r="BC257" s="25">
        <v>0</v>
      </c>
      <c r="BD257" s="26">
        <v>0</v>
      </c>
      <c r="BE257" s="24">
        <v>1.1769266591307276E-2</v>
      </c>
      <c r="BF257" s="25">
        <v>0.15851610613095152</v>
      </c>
      <c r="BG257" s="26">
        <v>6.1530393133493828E-3</v>
      </c>
      <c r="BH257" s="24">
        <v>0.10939343251627012</v>
      </c>
      <c r="BI257" s="25">
        <v>0.67677246558516435</v>
      </c>
      <c r="BJ257" s="26">
        <v>0.59018976151182079</v>
      </c>
      <c r="BK257" s="24">
        <v>0.85272000000000003</v>
      </c>
      <c r="BL257" s="25">
        <v>0.67308000000000001</v>
      </c>
      <c r="BM257" s="26">
        <v>0.76290000000000002</v>
      </c>
    </row>
    <row r="258" spans="1:65" x14ac:dyDescent="0.2">
      <c r="A258" s="22">
        <v>7706</v>
      </c>
      <c r="B258" s="23" t="s">
        <v>274</v>
      </c>
      <c r="C258" s="24">
        <v>8.7586345111279496E-2</v>
      </c>
      <c r="D258" s="25">
        <v>0.18177300452319681</v>
      </c>
      <c r="E258" s="26">
        <v>0.11092955675977724</v>
      </c>
      <c r="F258" s="24">
        <v>0.50391442960928079</v>
      </c>
      <c r="G258" s="25">
        <v>0.69531423144730764</v>
      </c>
      <c r="H258" s="26">
        <v>0.54227354942035144</v>
      </c>
      <c r="I258" s="24">
        <v>0.12653914457996998</v>
      </c>
      <c r="J258" s="25">
        <v>-1.3263245595673519E-3</v>
      </c>
      <c r="K258" s="26">
        <v>6.5164810184697816E-2</v>
      </c>
      <c r="L258" s="24">
        <v>0.89946915490233992</v>
      </c>
      <c r="M258" s="25">
        <v>0.72302802419366019</v>
      </c>
      <c r="N258" s="26">
        <v>0.65414434604168914</v>
      </c>
      <c r="O258" s="27">
        <v>523</v>
      </c>
      <c r="P258" s="28">
        <v>488</v>
      </c>
      <c r="Q258" s="29">
        <v>455</v>
      </c>
      <c r="R258" s="24">
        <v>0</v>
      </c>
      <c r="S258" s="25">
        <v>0</v>
      </c>
      <c r="T258" s="26">
        <v>0</v>
      </c>
      <c r="U258" s="27">
        <v>118.62222222222222</v>
      </c>
      <c r="V258" s="28">
        <v>260.39024390243901</v>
      </c>
      <c r="W258" s="29">
        <v>119.68539325842697</v>
      </c>
      <c r="X258" s="24">
        <v>0.73026417608322447</v>
      </c>
      <c r="Y258" s="25">
        <v>0.68139892675664282</v>
      </c>
      <c r="Z258" s="26">
        <v>0.70220805545547194</v>
      </c>
      <c r="AA258" s="24">
        <v>4.5779759311929347E-2</v>
      </c>
      <c r="AB258" s="25">
        <v>0.11010727133010922</v>
      </c>
      <c r="AC258" s="26">
        <v>5.0480042766114168E-2</v>
      </c>
      <c r="AD258" s="27">
        <v>598735</v>
      </c>
      <c r="AE258" s="28">
        <v>2641642</v>
      </c>
      <c r="AF258" s="29">
        <v>892534</v>
      </c>
      <c r="AG258" s="27">
        <v>5854050</v>
      </c>
      <c r="AH258" s="28">
        <v>14149447</v>
      </c>
      <c r="AI258" s="29">
        <v>7574221</v>
      </c>
      <c r="AJ258" s="27">
        <v>865014</v>
      </c>
      <c r="AK258" s="28">
        <v>-19275</v>
      </c>
      <c r="AL258" s="29">
        <v>524313</v>
      </c>
      <c r="AM258" s="30">
        <v>2641145</v>
      </c>
      <c r="AN258" s="30">
        <v>1593090</v>
      </c>
      <c r="AO258" s="30">
        <v>1927669</v>
      </c>
      <c r="AP258" s="27">
        <v>2790693</v>
      </c>
      <c r="AQ258" s="28">
        <v>2606691</v>
      </c>
      <c r="AR258" s="29">
        <v>2422689</v>
      </c>
      <c r="AS258" s="27">
        <v>0</v>
      </c>
      <c r="AT258" s="28">
        <v>0</v>
      </c>
      <c r="AU258" s="29">
        <v>0</v>
      </c>
      <c r="AV258" s="27">
        <v>229417.31</v>
      </c>
      <c r="AW258" s="28">
        <v>673598.41000000015</v>
      </c>
      <c r="AX258" s="29">
        <v>691850.49</v>
      </c>
      <c r="AY258" s="27">
        <v>533500.08000000007</v>
      </c>
      <c r="AZ258" s="28">
        <v>5232895.53</v>
      </c>
      <c r="BA258" s="29">
        <v>6877600.5500000007</v>
      </c>
      <c r="BB258" s="24">
        <v>0</v>
      </c>
      <c r="BC258" s="25">
        <v>0</v>
      </c>
      <c r="BD258" s="26">
        <v>0</v>
      </c>
      <c r="BE258" s="24">
        <v>1.6085613177764798E-2</v>
      </c>
      <c r="BF258" s="25">
        <v>5.3029883228488339E-2</v>
      </c>
      <c r="BG258" s="26">
        <v>4.2133110450544742E-2</v>
      </c>
      <c r="BH258" s="24">
        <v>3.7406401100189758E-2</v>
      </c>
      <c r="BI258" s="25">
        <v>0.41196629146256231</v>
      </c>
      <c r="BJ258" s="26">
        <v>0.41884006414142638</v>
      </c>
      <c r="BK258" s="24">
        <v>0.65434000000000003</v>
      </c>
      <c r="BL258" s="25">
        <v>0.65783000000000003</v>
      </c>
      <c r="BM258" s="26">
        <v>0.65610000000000002</v>
      </c>
    </row>
    <row r="259" spans="1:65" x14ac:dyDescent="0.2">
      <c r="A259" s="22">
        <v>7707</v>
      </c>
      <c r="B259" s="23" t="s">
        <v>275</v>
      </c>
      <c r="C259" s="24">
        <v>0.14286217991247155</v>
      </c>
      <c r="D259" s="25">
        <v>0.13561977151351912</v>
      </c>
      <c r="E259" s="26">
        <v>0.16595842640444791</v>
      </c>
      <c r="F259" s="24">
        <v>0.69742951796809516</v>
      </c>
      <c r="G259" s="25">
        <v>0.63577006610973807</v>
      </c>
      <c r="H259" s="26">
        <v>0.95947528051730802</v>
      </c>
      <c r="I259" s="24">
        <v>7.0436956925236077E-2</v>
      </c>
      <c r="J259" s="25">
        <v>5.9071250793097871E-4</v>
      </c>
      <c r="K259" s="26">
        <v>5.3269922644229979E-2</v>
      </c>
      <c r="L259" s="24">
        <v>0.4521092705910153</v>
      </c>
      <c r="M259" s="25">
        <v>0.37525367148192179</v>
      </c>
      <c r="N259" s="26">
        <v>0.32310595290407629</v>
      </c>
      <c r="O259" s="27">
        <v>208</v>
      </c>
      <c r="P259" s="28">
        <v>174</v>
      </c>
      <c r="Q259" s="29">
        <v>175</v>
      </c>
      <c r="R259" s="24">
        <v>0</v>
      </c>
      <c r="S259" s="25">
        <v>0</v>
      </c>
      <c r="T259" s="26">
        <v>0</v>
      </c>
      <c r="U259" s="27">
        <v>238.16528925619835</v>
      </c>
      <c r="V259" s="28">
        <v>238.16528925619835</v>
      </c>
      <c r="W259" s="29">
        <v>235.96694214876032</v>
      </c>
      <c r="X259" s="24">
        <v>0.7139069839954304</v>
      </c>
      <c r="Y259" s="25">
        <v>0.68111928209174388</v>
      </c>
      <c r="Z259" s="26">
        <v>0.74589540232728047</v>
      </c>
      <c r="AA259" s="24">
        <v>4.5719648452676599E-2</v>
      </c>
      <c r="AB259" s="25">
        <v>9.4066021042288644E-2</v>
      </c>
      <c r="AC259" s="26">
        <v>1.5677305921918981E-2</v>
      </c>
      <c r="AD259" s="27">
        <v>2516136</v>
      </c>
      <c r="AE259" s="28">
        <v>4855760</v>
      </c>
      <c r="AF259" s="29">
        <v>3283050</v>
      </c>
      <c r="AG259" s="27">
        <v>16619441</v>
      </c>
      <c r="AH259" s="28">
        <v>36296337</v>
      </c>
      <c r="AI259" s="29">
        <v>18153119</v>
      </c>
      <c r="AJ259" s="27">
        <v>1240559</v>
      </c>
      <c r="AK259" s="28">
        <v>21150</v>
      </c>
      <c r="AL259" s="29">
        <v>1053805</v>
      </c>
      <c r="AM259" s="30">
        <v>4723883</v>
      </c>
      <c r="AN259" s="30">
        <v>3007352</v>
      </c>
      <c r="AO259" s="30">
        <v>4060034</v>
      </c>
      <c r="AP259" s="27">
        <v>3000000</v>
      </c>
      <c r="AQ259" s="28">
        <v>2500000</v>
      </c>
      <c r="AR259" s="29">
        <v>2500000</v>
      </c>
      <c r="AS259" s="27">
        <v>0</v>
      </c>
      <c r="AT259" s="28">
        <v>0</v>
      </c>
      <c r="AU259" s="29">
        <v>0</v>
      </c>
      <c r="AV259" s="27">
        <v>378846.86999999982</v>
      </c>
      <c r="AW259" s="28">
        <v>645143.87000000093</v>
      </c>
      <c r="AX259" s="29">
        <v>671541.68999999983</v>
      </c>
      <c r="AY259" s="27">
        <v>7748092.5600000005</v>
      </c>
      <c r="AZ259" s="28">
        <v>6949404.9900000002</v>
      </c>
      <c r="BA259" s="29">
        <v>14961083.52</v>
      </c>
      <c r="BB259" s="24">
        <v>0</v>
      </c>
      <c r="BC259" s="25">
        <v>0</v>
      </c>
      <c r="BD259" s="26">
        <v>0</v>
      </c>
      <c r="BE259" s="24">
        <v>1.0678857041381084E-2</v>
      </c>
      <c r="BF259" s="25">
        <v>2.0525748263137435E-2</v>
      </c>
      <c r="BG259" s="26">
        <v>1.7182370779450389E-2</v>
      </c>
      <c r="BH259" s="24">
        <v>0.21840162699939539</v>
      </c>
      <c r="BI259" s="25">
        <v>0.22110066302471562</v>
      </c>
      <c r="BJ259" s="26">
        <v>0.38280108015775582</v>
      </c>
      <c r="BK259" s="24">
        <v>0.80752999999999997</v>
      </c>
      <c r="BL259" s="25">
        <v>0.63222999999999996</v>
      </c>
      <c r="BM259" s="26">
        <v>0.71989999999999998</v>
      </c>
    </row>
    <row r="260" spans="1:65" x14ac:dyDescent="0.2">
      <c r="A260" s="22">
        <v>7708</v>
      </c>
      <c r="B260" s="23" t="s">
        <v>276</v>
      </c>
      <c r="C260" s="24">
        <v>0.1201303369325304</v>
      </c>
      <c r="D260" s="25">
        <v>0.11730664007096005</v>
      </c>
      <c r="E260" s="26">
        <v>0.11131231460377913</v>
      </c>
      <c r="F260" s="24">
        <v>1.0650594589285542</v>
      </c>
      <c r="G260" s="25">
        <v>0.5504269758551591</v>
      </c>
      <c r="H260" s="26">
        <v>0.99308221218918236</v>
      </c>
      <c r="I260" s="24">
        <v>0.18476897826874888</v>
      </c>
      <c r="J260" s="25">
        <v>2.4666686624817677E-2</v>
      </c>
      <c r="K260" s="26">
        <v>0.20942237621161605</v>
      </c>
      <c r="L260" s="24">
        <v>0</v>
      </c>
      <c r="M260" s="25">
        <v>0</v>
      </c>
      <c r="N260" s="26">
        <v>0</v>
      </c>
      <c r="O260" s="27">
        <v>0</v>
      </c>
      <c r="P260" s="28">
        <v>0</v>
      </c>
      <c r="Q260" s="29">
        <v>0</v>
      </c>
      <c r="R260" s="24">
        <v>0</v>
      </c>
      <c r="S260" s="25">
        <v>0</v>
      </c>
      <c r="T260" s="26">
        <v>0</v>
      </c>
      <c r="U260" s="27">
        <v>154.55072463768116</v>
      </c>
      <c r="V260" s="28">
        <v>154.55072463768116</v>
      </c>
      <c r="W260" s="29">
        <v>152.78260869565219</v>
      </c>
      <c r="X260" s="24">
        <v>0.75590651118580021</v>
      </c>
      <c r="Y260" s="25">
        <v>0.65918665285361033</v>
      </c>
      <c r="Z260" s="26">
        <v>0.78121220379593481</v>
      </c>
      <c r="AA260" s="24">
        <v>2.8326159015154059E-2</v>
      </c>
      <c r="AB260" s="25">
        <v>0.12227538185193436</v>
      </c>
      <c r="AC260" s="26">
        <v>3.0699325654268639E-2</v>
      </c>
      <c r="AD260" s="27">
        <v>997638</v>
      </c>
      <c r="AE260" s="28">
        <v>1994476</v>
      </c>
      <c r="AF260" s="29">
        <v>1136524</v>
      </c>
      <c r="AG260" s="27">
        <v>6909832</v>
      </c>
      <c r="AH260" s="28">
        <v>16625816</v>
      </c>
      <c r="AI260" s="29">
        <v>7933171</v>
      </c>
      <c r="AJ260" s="27">
        <v>1534438</v>
      </c>
      <c r="AK260" s="28">
        <v>419389</v>
      </c>
      <c r="AL260" s="29">
        <v>2138250</v>
      </c>
      <c r="AM260" s="30">
        <v>3670842</v>
      </c>
      <c r="AN260" s="30">
        <v>2577290</v>
      </c>
      <c r="AO260" s="30">
        <v>4717165</v>
      </c>
      <c r="AP260" s="27">
        <v>0</v>
      </c>
      <c r="AQ260" s="28">
        <v>0</v>
      </c>
      <c r="AR260" s="29">
        <v>0</v>
      </c>
      <c r="AS260" s="27">
        <v>0</v>
      </c>
      <c r="AT260" s="28">
        <v>0</v>
      </c>
      <c r="AU260" s="29">
        <v>0</v>
      </c>
      <c r="AV260" s="27">
        <v>23720.010000000009</v>
      </c>
      <c r="AW260" s="28">
        <v>397028.30999999965</v>
      </c>
      <c r="AX260" s="29">
        <v>732186.1100000001</v>
      </c>
      <c r="AY260" s="27">
        <v>1798887.55</v>
      </c>
      <c r="AZ260" s="28">
        <v>4388059.93</v>
      </c>
      <c r="BA260" s="29">
        <v>10439834.879999999</v>
      </c>
      <c r="BB260" s="24">
        <v>0</v>
      </c>
      <c r="BC260" s="25">
        <v>0</v>
      </c>
      <c r="BD260" s="26">
        <v>0</v>
      </c>
      <c r="BE260" s="24">
        <v>1.3213985248251799E-3</v>
      </c>
      <c r="BF260" s="25">
        <v>2.9973698256591262E-2</v>
      </c>
      <c r="BG260" s="26">
        <v>3.6540140495063926E-2</v>
      </c>
      <c r="BH260" s="24">
        <v>0.10021274674405201</v>
      </c>
      <c r="BI260" s="25">
        <v>0.33127709274348494</v>
      </c>
      <c r="BJ260" s="26">
        <v>0.5210055586283503</v>
      </c>
      <c r="BK260" s="24">
        <v>0.86560999999999999</v>
      </c>
      <c r="BL260" s="25">
        <v>0.72623000000000004</v>
      </c>
      <c r="BM260" s="26">
        <v>0.79590000000000005</v>
      </c>
    </row>
    <row r="261" spans="1:65" x14ac:dyDescent="0.2">
      <c r="A261" s="22">
        <v>7709</v>
      </c>
      <c r="B261" s="23" t="s">
        <v>277</v>
      </c>
      <c r="C261" s="24">
        <v>0.16199824623398379</v>
      </c>
      <c r="D261" s="25">
        <v>0.18437820217965989</v>
      </c>
      <c r="E261" s="26">
        <v>0.18687133350337376</v>
      </c>
      <c r="F261" s="24">
        <v>0.54731570134892937</v>
      </c>
      <c r="G261" s="25">
        <v>0.49110069120077354</v>
      </c>
      <c r="H261" s="26">
        <v>0.98250782544651072</v>
      </c>
      <c r="I261" s="24">
        <v>0.12497685639622896</v>
      </c>
      <c r="J261" s="25">
        <v>2.7316021167751402E-2</v>
      </c>
      <c r="K261" s="26">
        <v>0.20474348815807042</v>
      </c>
      <c r="L261" s="24">
        <v>0.52339230259255387</v>
      </c>
      <c r="M261" s="25">
        <v>0.38536123158321234</v>
      </c>
      <c r="N261" s="26">
        <v>0.35385991544140261</v>
      </c>
      <c r="O261" s="27">
        <v>248</v>
      </c>
      <c r="P261" s="28">
        <v>210</v>
      </c>
      <c r="Q261" s="29">
        <v>198</v>
      </c>
      <c r="R261" s="24">
        <v>0</v>
      </c>
      <c r="S261" s="25">
        <v>0</v>
      </c>
      <c r="T261" s="26">
        <v>0</v>
      </c>
      <c r="U261" s="27">
        <v>159.31578947368422</v>
      </c>
      <c r="V261" s="28">
        <v>159.31578947368422</v>
      </c>
      <c r="W261" s="29">
        <v>157.74358974358975</v>
      </c>
      <c r="X261" s="24">
        <v>0.64032868433333301</v>
      </c>
      <c r="Y261" s="25">
        <v>0.58886637418106091</v>
      </c>
      <c r="Z261" s="26">
        <v>0.76754445730009802</v>
      </c>
      <c r="AA261" s="24">
        <v>1.5279044924788926E-2</v>
      </c>
      <c r="AB261" s="25">
        <v>0.11020744855506606</v>
      </c>
      <c r="AC261" s="26">
        <v>1.5255421465858329E-2</v>
      </c>
      <c r="AD261" s="27">
        <v>928335</v>
      </c>
      <c r="AE261" s="28">
        <v>2173786</v>
      </c>
      <c r="AF261" s="29">
        <v>1168584</v>
      </c>
      <c r="AG261" s="27">
        <v>5003585</v>
      </c>
      <c r="AH261" s="28">
        <v>11457202</v>
      </c>
      <c r="AI261" s="29">
        <v>4843524</v>
      </c>
      <c r="AJ261" s="27">
        <v>716183</v>
      </c>
      <c r="AK261" s="28">
        <v>322051</v>
      </c>
      <c r="AL261" s="29">
        <v>1280346</v>
      </c>
      <c r="AM261" s="30">
        <v>2696666</v>
      </c>
      <c r="AN261" s="30">
        <v>2092983</v>
      </c>
      <c r="AO261" s="30">
        <v>3327521</v>
      </c>
      <c r="AP261" s="27">
        <v>1499990</v>
      </c>
      <c r="AQ261" s="28">
        <v>1272573</v>
      </c>
      <c r="AR261" s="29">
        <v>1219615</v>
      </c>
      <c r="AS261" s="27">
        <v>0</v>
      </c>
      <c r="AT261" s="28">
        <v>0</v>
      </c>
      <c r="AU261" s="29">
        <v>0</v>
      </c>
      <c r="AV261" s="27">
        <v>137664.71</v>
      </c>
      <c r="AW261" s="28">
        <v>621213.89999999991</v>
      </c>
      <c r="AX261" s="29">
        <v>504904.76</v>
      </c>
      <c r="AY261" s="27">
        <v>8196502.6199999992</v>
      </c>
      <c r="AZ261" s="28">
        <v>12445869.759999998</v>
      </c>
      <c r="BA261" s="29">
        <v>13782911.77</v>
      </c>
      <c r="BB261" s="24">
        <v>0</v>
      </c>
      <c r="BC261" s="25">
        <v>0</v>
      </c>
      <c r="BD261" s="26">
        <v>0</v>
      </c>
      <c r="BE261" s="24">
        <v>1.1243707892157858E-2</v>
      </c>
      <c r="BF261" s="25">
        <v>5.8870663799265754E-2</v>
      </c>
      <c r="BG261" s="26">
        <v>3.6793979631820274E-2</v>
      </c>
      <c r="BH261" s="24">
        <v>0.66944594004219793</v>
      </c>
      <c r="BI261" s="25">
        <v>1.1794594652991641</v>
      </c>
      <c r="BJ261" s="26">
        <v>1.0044036323455456</v>
      </c>
      <c r="BK261" s="24">
        <v>0.89002999999999999</v>
      </c>
      <c r="BL261" s="25">
        <v>0.79256000000000004</v>
      </c>
      <c r="BM261" s="26">
        <v>0.84130000000000005</v>
      </c>
    </row>
    <row r="262" spans="1:65" x14ac:dyDescent="0.2">
      <c r="A262" s="22">
        <v>7710</v>
      </c>
      <c r="B262" s="23" t="s">
        <v>278</v>
      </c>
      <c r="C262" s="24">
        <v>0.23981096130862606</v>
      </c>
      <c r="D262" s="25">
        <v>0.24141044719060928</v>
      </c>
      <c r="E262" s="26">
        <v>0.2252558679072614</v>
      </c>
      <c r="F262" s="24">
        <v>0.82763613794633262</v>
      </c>
      <c r="G262" s="25">
        <v>0.85691035753443834</v>
      </c>
      <c r="H262" s="26">
        <v>0.8561632600837954</v>
      </c>
      <c r="I262" s="24">
        <v>0.12972690277947269</v>
      </c>
      <c r="J262" s="25">
        <v>1.940661200743558E-2</v>
      </c>
      <c r="K262" s="26">
        <v>0.11592618953326034</v>
      </c>
      <c r="L262" s="24">
        <v>0.39744186008667082</v>
      </c>
      <c r="M262" s="25">
        <v>0.35983885484801431</v>
      </c>
      <c r="N262" s="26">
        <v>0.35689766845503101</v>
      </c>
      <c r="O262" s="27">
        <v>205</v>
      </c>
      <c r="P262" s="28">
        <v>210</v>
      </c>
      <c r="Q262" s="29">
        <v>215</v>
      </c>
      <c r="R262" s="24">
        <v>0</v>
      </c>
      <c r="S262" s="25">
        <v>0</v>
      </c>
      <c r="T262" s="26">
        <v>0</v>
      </c>
      <c r="U262" s="27">
        <v>394.77862595419845</v>
      </c>
      <c r="V262" s="28">
        <v>389.81909547738695</v>
      </c>
      <c r="W262" s="29">
        <v>377.51219512195121</v>
      </c>
      <c r="X262" s="24">
        <v>0.6323204814494644</v>
      </c>
      <c r="Y262" s="25">
        <v>0.66168657317887314</v>
      </c>
      <c r="Z262" s="26">
        <v>0.67532957272056104</v>
      </c>
      <c r="AA262" s="24">
        <v>0.12413312488383822</v>
      </c>
      <c r="AB262" s="25">
        <v>9.1554737966528008E-2</v>
      </c>
      <c r="AC262" s="26">
        <v>8.6159999077150246E-2</v>
      </c>
      <c r="AD262" s="27">
        <v>21789458</v>
      </c>
      <c r="AE262" s="28">
        <v>39837053</v>
      </c>
      <c r="AF262" s="29">
        <v>22376528</v>
      </c>
      <c r="AG262" s="27">
        <v>79280595</v>
      </c>
      <c r="AH262" s="28">
        <v>163663862</v>
      </c>
      <c r="AI262" s="29">
        <v>86688000</v>
      </c>
      <c r="AJ262" s="27">
        <v>11787113</v>
      </c>
      <c r="AK262" s="28">
        <v>3202439</v>
      </c>
      <c r="AL262" s="29">
        <v>11515907</v>
      </c>
      <c r="AM262" s="30">
        <v>40609564</v>
      </c>
      <c r="AN262" s="30">
        <v>32459930</v>
      </c>
      <c r="AO262" s="30">
        <v>44289701</v>
      </c>
      <c r="AP262" s="27">
        <v>15875054</v>
      </c>
      <c r="AQ262" s="28">
        <v>16294458</v>
      </c>
      <c r="AR262" s="29">
        <v>16605532</v>
      </c>
      <c r="AS262" s="27">
        <v>0</v>
      </c>
      <c r="AT262" s="28">
        <v>0</v>
      </c>
      <c r="AU262" s="29">
        <v>0</v>
      </c>
      <c r="AV262" s="27">
        <v>1323275.3299999984</v>
      </c>
      <c r="AW262" s="28">
        <v>3777651.8699999927</v>
      </c>
      <c r="AX262" s="29">
        <v>1860244.8199999994</v>
      </c>
      <c r="AY262" s="27">
        <v>65280542.289999992</v>
      </c>
      <c r="AZ262" s="28">
        <v>76423211</v>
      </c>
      <c r="BA262" s="29">
        <v>71804475.409999996</v>
      </c>
      <c r="BB262" s="24">
        <v>0</v>
      </c>
      <c r="BC262" s="25">
        <v>0</v>
      </c>
      <c r="BD262" s="26">
        <v>0</v>
      </c>
      <c r="BE262" s="24">
        <v>7.4305123661489551E-3</v>
      </c>
      <c r="BF262" s="25">
        <v>2.8070693319737033E-2</v>
      </c>
      <c r="BG262" s="26">
        <v>9.1942865029697677E-3</v>
      </c>
      <c r="BH262" s="24">
        <v>0.3665660998567512</v>
      </c>
      <c r="BI262" s="25">
        <v>0.56787988737844119</v>
      </c>
      <c r="BJ262" s="26">
        <v>0.35489464183267438</v>
      </c>
      <c r="BK262" s="24">
        <v>0.87653000000000003</v>
      </c>
      <c r="BL262" s="25">
        <v>0.77137</v>
      </c>
      <c r="BM262" s="26">
        <v>0.82399999999999995</v>
      </c>
    </row>
    <row r="263" spans="1:65" x14ac:dyDescent="0.2">
      <c r="A263" s="22">
        <v>7801</v>
      </c>
      <c r="B263" s="23" t="s">
        <v>279</v>
      </c>
      <c r="C263" s="24">
        <v>0.10764938184153092</v>
      </c>
      <c r="D263" s="25">
        <v>0.12945060559226063</v>
      </c>
      <c r="E263" s="26">
        <v>0.12203380754162352</v>
      </c>
      <c r="F263" s="24">
        <v>0.23496455147787146</v>
      </c>
      <c r="G263" s="25">
        <v>0.24892809681018366</v>
      </c>
      <c r="H263" s="26">
        <v>0.55478773583440932</v>
      </c>
      <c r="I263" s="24">
        <v>-1.4198422302184165E-2</v>
      </c>
      <c r="J263" s="25">
        <v>-9.1218430924352584E-2</v>
      </c>
      <c r="K263" s="26">
        <v>0.15873662485497325</v>
      </c>
      <c r="L263" s="24">
        <v>0</v>
      </c>
      <c r="M263" s="25">
        <v>1.4533351292409872E-2</v>
      </c>
      <c r="N263" s="26">
        <v>0.11838240928672784</v>
      </c>
      <c r="O263" s="27">
        <v>0</v>
      </c>
      <c r="P263" s="28">
        <v>16</v>
      </c>
      <c r="Q263" s="29">
        <v>137</v>
      </c>
      <c r="R263" s="24">
        <v>0</v>
      </c>
      <c r="S263" s="25">
        <v>0</v>
      </c>
      <c r="T263" s="26">
        <v>0</v>
      </c>
      <c r="U263" s="27">
        <v>69.441860465116278</v>
      </c>
      <c r="V263" s="28">
        <v>63.531914893617021</v>
      </c>
      <c r="W263" s="29">
        <v>70.11904761904762</v>
      </c>
      <c r="X263" s="24">
        <v>0.46376748639261278</v>
      </c>
      <c r="Y263" s="25">
        <v>0.40418302840945342</v>
      </c>
      <c r="Z263" s="26">
        <v>0.70441586971422143</v>
      </c>
      <c r="AA263" s="24">
        <v>0.30138498715576895</v>
      </c>
      <c r="AB263" s="25">
        <v>0.33688408652678309</v>
      </c>
      <c r="AC263" s="26">
        <v>1.6119565237277797E-2</v>
      </c>
      <c r="AD263" s="27">
        <v>903309</v>
      </c>
      <c r="AE263" s="28">
        <v>2353419</v>
      </c>
      <c r="AF263" s="29">
        <v>893312</v>
      </c>
      <c r="AG263" s="27">
        <v>8402605</v>
      </c>
      <c r="AH263" s="28">
        <v>20031994</v>
      </c>
      <c r="AI263" s="29">
        <v>6012383</v>
      </c>
      <c r="AJ263" s="27">
        <v>-119142</v>
      </c>
      <c r="AK263" s="28">
        <v>-1658356</v>
      </c>
      <c r="AL263" s="29">
        <v>1161984</v>
      </c>
      <c r="AM263" s="30">
        <v>3350635</v>
      </c>
      <c r="AN263" s="30">
        <v>2141575</v>
      </c>
      <c r="AO263" s="30">
        <v>3624940</v>
      </c>
      <c r="AP263" s="27">
        <v>0</v>
      </c>
      <c r="AQ263" s="28">
        <v>46289</v>
      </c>
      <c r="AR263" s="29">
        <v>403208</v>
      </c>
      <c r="AS263" s="27">
        <v>0</v>
      </c>
      <c r="AT263" s="28">
        <v>0</v>
      </c>
      <c r="AU263" s="29">
        <v>0</v>
      </c>
      <c r="AV263" s="27">
        <v>62105.040000000037</v>
      </c>
      <c r="AW263" s="28">
        <v>238931.55000000171</v>
      </c>
      <c r="AX263" s="29">
        <v>82382.229999999981</v>
      </c>
      <c r="AY263" s="27">
        <v>1575109.19</v>
      </c>
      <c r="AZ263" s="28">
        <v>11102568.029999999</v>
      </c>
      <c r="BA263" s="29">
        <v>9102340.5899999999</v>
      </c>
      <c r="BB263" s="24">
        <v>0</v>
      </c>
      <c r="BC263" s="25">
        <v>0</v>
      </c>
      <c r="BD263" s="26">
        <v>0</v>
      </c>
      <c r="BE263" s="24">
        <v>3.4049857446296896E-3</v>
      </c>
      <c r="BF263" s="25">
        <v>1.8946216423177821E-2</v>
      </c>
      <c r="BG263" s="26">
        <v>4.8211260260782023E-3</v>
      </c>
      <c r="BH263" s="24">
        <v>8.6357312356375809E-2</v>
      </c>
      <c r="BI263" s="25">
        <v>0.88038459864104812</v>
      </c>
      <c r="BJ263" s="26">
        <v>0.53268200092030804</v>
      </c>
      <c r="BK263" s="24">
        <v>0.81950000000000001</v>
      </c>
      <c r="BL263" s="25">
        <v>0.65447</v>
      </c>
      <c r="BM263" s="26">
        <v>0.73699999999999999</v>
      </c>
    </row>
    <row r="264" spans="1:65" x14ac:dyDescent="0.2">
      <c r="A264" s="22">
        <v>7802</v>
      </c>
      <c r="B264" s="23" t="s">
        <v>280</v>
      </c>
      <c r="C264" s="24">
        <v>0.18290661456110946</v>
      </c>
      <c r="D264" s="25">
        <v>0.1702016414349056</v>
      </c>
      <c r="E264" s="26">
        <v>0.17989585693983356</v>
      </c>
      <c r="F264" s="24">
        <v>0.72725850371941747</v>
      </c>
      <c r="G264" s="25">
        <v>0.59431996382923835</v>
      </c>
      <c r="H264" s="26">
        <v>0.9882097057424426</v>
      </c>
      <c r="I264" s="24">
        <v>0.12374111711330622</v>
      </c>
      <c r="J264" s="25">
        <v>-4.344397944158071E-3</v>
      </c>
      <c r="K264" s="26">
        <v>0.19225245632356516</v>
      </c>
      <c r="L264" s="24">
        <v>0</v>
      </c>
      <c r="M264" s="25">
        <v>0</v>
      </c>
      <c r="N264" s="26">
        <v>0</v>
      </c>
      <c r="O264" s="27">
        <v>0</v>
      </c>
      <c r="P264" s="28">
        <v>0</v>
      </c>
      <c r="Q264" s="29">
        <v>0</v>
      </c>
      <c r="R264" s="24">
        <v>0</v>
      </c>
      <c r="S264" s="25">
        <v>0</v>
      </c>
      <c r="T264" s="26">
        <v>0</v>
      </c>
      <c r="U264" s="27">
        <v>168.35526315789474</v>
      </c>
      <c r="V264" s="28">
        <v>164.03846153846155</v>
      </c>
      <c r="W264" s="29">
        <v>161.39743589743588</v>
      </c>
      <c r="X264" s="24">
        <v>0.67297444878458745</v>
      </c>
      <c r="Y264" s="25">
        <v>0.65460548705577326</v>
      </c>
      <c r="Z264" s="26">
        <v>0.72037361330568239</v>
      </c>
      <c r="AA264" s="24">
        <v>0.11717434992144686</v>
      </c>
      <c r="AB264" s="25">
        <v>0.13003456006790262</v>
      </c>
      <c r="AC264" s="26">
        <v>6.7844774642670747E-2</v>
      </c>
      <c r="AD264" s="27">
        <v>2379896</v>
      </c>
      <c r="AE264" s="28">
        <v>4321997</v>
      </c>
      <c r="AF264" s="29">
        <v>2787872</v>
      </c>
      <c r="AG264" s="27">
        <v>11984244</v>
      </c>
      <c r="AH264" s="28">
        <v>25872345</v>
      </c>
      <c r="AI264" s="29">
        <v>12273974</v>
      </c>
      <c r="AJ264" s="27">
        <v>1610062</v>
      </c>
      <c r="AK264" s="28">
        <v>-110319</v>
      </c>
      <c r="AL264" s="29">
        <v>2979364</v>
      </c>
      <c r="AM264" s="30">
        <v>8331513</v>
      </c>
      <c r="AN264" s="30">
        <v>6655519</v>
      </c>
      <c r="AO264" s="30">
        <v>9651714</v>
      </c>
      <c r="AP264" s="27">
        <v>0</v>
      </c>
      <c r="AQ264" s="28">
        <v>0</v>
      </c>
      <c r="AR264" s="29">
        <v>0</v>
      </c>
      <c r="AS264" s="27">
        <v>0</v>
      </c>
      <c r="AT264" s="28">
        <v>0</v>
      </c>
      <c r="AU264" s="29">
        <v>0</v>
      </c>
      <c r="AV264" s="27">
        <v>157338.48999999912</v>
      </c>
      <c r="AW264" s="28">
        <v>2744412.1700000013</v>
      </c>
      <c r="AX264" s="29">
        <v>209754.33000000101</v>
      </c>
      <c r="AY264" s="27">
        <v>3896372.27</v>
      </c>
      <c r="AZ264" s="28">
        <v>6353743.6600000001</v>
      </c>
      <c r="BA264" s="29">
        <v>13036458.48</v>
      </c>
      <c r="BB264" s="24">
        <v>0</v>
      </c>
      <c r="BC264" s="25">
        <v>0</v>
      </c>
      <c r="BD264" s="26">
        <v>0</v>
      </c>
      <c r="BE264" s="24">
        <v>5.199608006468512E-3</v>
      </c>
      <c r="BF264" s="25">
        <v>0.12966448211992651</v>
      </c>
      <c r="BG264" s="26">
        <v>6.2944503179764924E-3</v>
      </c>
      <c r="BH264" s="24">
        <v>0.12876447747321082</v>
      </c>
      <c r="BI264" s="25">
        <v>0.30019356793504748</v>
      </c>
      <c r="BJ264" s="26">
        <v>0.39120689534620307</v>
      </c>
      <c r="BK264" s="24">
        <v>0.77895000000000003</v>
      </c>
      <c r="BL264" s="25">
        <v>0.75163999999999997</v>
      </c>
      <c r="BM264" s="26">
        <v>0.76529999999999998</v>
      </c>
    </row>
    <row r="265" spans="1:65" x14ac:dyDescent="0.2">
      <c r="A265" s="22">
        <v>7803</v>
      </c>
      <c r="B265" s="23" t="s">
        <v>281</v>
      </c>
      <c r="C265" s="24">
        <v>0.16362770931265511</v>
      </c>
      <c r="D265" s="25">
        <v>0.16638408509625247</v>
      </c>
      <c r="E265" s="26">
        <v>0.18470454760542904</v>
      </c>
      <c r="F265" s="24">
        <v>1.0880608380202133</v>
      </c>
      <c r="G265" s="25">
        <v>0.82386085908389006</v>
      </c>
      <c r="H265" s="26">
        <v>1.1028192782150694</v>
      </c>
      <c r="I265" s="24">
        <v>0.16904206015728532</v>
      </c>
      <c r="J265" s="25">
        <v>1.8746419524310127E-2</v>
      </c>
      <c r="K265" s="26">
        <v>0.19620087120553717</v>
      </c>
      <c r="L265" s="24">
        <v>1.5599236523022517E-3</v>
      </c>
      <c r="M265" s="25">
        <v>0</v>
      </c>
      <c r="N265" s="26">
        <v>0</v>
      </c>
      <c r="O265" s="27">
        <v>1</v>
      </c>
      <c r="P265" s="28">
        <v>0</v>
      </c>
      <c r="Q265" s="29">
        <v>0</v>
      </c>
      <c r="R265" s="24">
        <v>2.2459426123330084E-3</v>
      </c>
      <c r="S265" s="25">
        <v>2.4994198359530834E-3</v>
      </c>
      <c r="T265" s="26">
        <v>2.0565294897752755E-3</v>
      </c>
      <c r="U265" s="27">
        <v>109.31891891891892</v>
      </c>
      <c r="V265" s="28">
        <v>113.61797752808988</v>
      </c>
      <c r="W265" s="29">
        <v>102.01015228426395</v>
      </c>
      <c r="X265" s="24">
        <v>0.77635422458725323</v>
      </c>
      <c r="Y265" s="25">
        <v>0.76994259564711898</v>
      </c>
      <c r="Z265" s="26">
        <v>0.79255654349617177</v>
      </c>
      <c r="AA265" s="24">
        <v>2.3184744053192947E-2</v>
      </c>
      <c r="AB265" s="25">
        <v>3.0766950480951297E-2</v>
      </c>
      <c r="AC265" s="26">
        <v>8.6288520335562977E-3</v>
      </c>
      <c r="AD265" s="27">
        <v>1961864</v>
      </c>
      <c r="AE265" s="28">
        <v>3537806</v>
      </c>
      <c r="AF265" s="29">
        <v>2449355</v>
      </c>
      <c r="AG265" s="27">
        <v>9085716</v>
      </c>
      <c r="AH265" s="28">
        <v>20800339</v>
      </c>
      <c r="AI265" s="29">
        <v>10509741</v>
      </c>
      <c r="AJ265" s="27">
        <v>2026781</v>
      </c>
      <c r="AK265" s="28">
        <v>398603</v>
      </c>
      <c r="AL265" s="29">
        <v>2601807</v>
      </c>
      <c r="AM265" s="30">
        <v>8351268</v>
      </c>
      <c r="AN265" s="30">
        <v>6622572</v>
      </c>
      <c r="AO265" s="30">
        <v>9230886</v>
      </c>
      <c r="AP265" s="27">
        <v>8261</v>
      </c>
      <c r="AQ265" s="28">
        <v>0</v>
      </c>
      <c r="AR265" s="29">
        <v>0</v>
      </c>
      <c r="AS265" s="27">
        <v>11894</v>
      </c>
      <c r="AT265" s="28">
        <v>12989</v>
      </c>
      <c r="AU265" s="29">
        <v>11894</v>
      </c>
      <c r="AV265" s="27">
        <v>341471.29999999912</v>
      </c>
      <c r="AW265" s="28">
        <v>269736.80000000098</v>
      </c>
      <c r="AX265" s="29">
        <v>377299.33000000101</v>
      </c>
      <c r="AY265" s="27">
        <v>3044247.22</v>
      </c>
      <c r="AZ265" s="28">
        <v>7380502.8600000003</v>
      </c>
      <c r="BA265" s="29">
        <v>7440582.4900000002</v>
      </c>
      <c r="BB265" s="24">
        <v>4.3333575370819218E-4</v>
      </c>
      <c r="BC265" s="25">
        <v>6.2446097633312608E-4</v>
      </c>
      <c r="BD265" s="26">
        <v>3.8145219949173916E-4</v>
      </c>
      <c r="BE265" s="24">
        <v>1.2440871292686718E-2</v>
      </c>
      <c r="BF265" s="25">
        <v>1.4809656269587091E-2</v>
      </c>
      <c r="BG265" s="26">
        <v>1.2100358104528326E-2</v>
      </c>
      <c r="BH265" s="24">
        <v>0.11091148171790557</v>
      </c>
      <c r="BI265" s="25">
        <v>0.40521986786120423</v>
      </c>
      <c r="BJ265" s="26">
        <v>0.23862674931143613</v>
      </c>
      <c r="BK265" s="24">
        <v>0.78425999999999996</v>
      </c>
      <c r="BL265" s="25">
        <v>0.67349999999999999</v>
      </c>
      <c r="BM265" s="26">
        <v>0.72889999999999999</v>
      </c>
    </row>
    <row r="266" spans="1:65" x14ac:dyDescent="0.2">
      <c r="A266" s="22">
        <v>7804</v>
      </c>
      <c r="B266" s="23" t="s">
        <v>282</v>
      </c>
      <c r="C266" s="24">
        <v>0.21761934164677629</v>
      </c>
      <c r="D266" s="25">
        <v>0.23060812282101828</v>
      </c>
      <c r="E266" s="26">
        <v>0.21145032214922577</v>
      </c>
      <c r="F266" s="24">
        <v>0.8012307150462582</v>
      </c>
      <c r="G266" s="25">
        <v>0.65866613834811494</v>
      </c>
      <c r="H266" s="26">
        <v>0.9380066153438481</v>
      </c>
      <c r="I266" s="24">
        <v>9.0918771089186598E-2</v>
      </c>
      <c r="J266" s="25">
        <v>-5.9035131452904455E-2</v>
      </c>
      <c r="K266" s="26">
        <v>0.11369776266773818</v>
      </c>
      <c r="L266" s="24">
        <v>2.6635577534093353E-2</v>
      </c>
      <c r="M266" s="25">
        <v>3.1919465165657454E-2</v>
      </c>
      <c r="N266" s="26">
        <v>3.1172555953406962E-2</v>
      </c>
      <c r="O266" s="27">
        <v>13</v>
      </c>
      <c r="P266" s="28">
        <v>17</v>
      </c>
      <c r="Q266" s="29">
        <v>17</v>
      </c>
      <c r="R266" s="24">
        <v>0</v>
      </c>
      <c r="S266" s="25">
        <v>0</v>
      </c>
      <c r="T266" s="26">
        <v>0</v>
      </c>
      <c r="U266" s="27">
        <v>258.39999999999998</v>
      </c>
      <c r="V266" s="28">
        <v>263.33757961783442</v>
      </c>
      <c r="W266" s="29">
        <v>254.44720496894411</v>
      </c>
      <c r="X266" s="24">
        <v>0.62619601851893525</v>
      </c>
      <c r="Y266" s="25">
        <v>0.58116710306410668</v>
      </c>
      <c r="Z266" s="26">
        <v>0.64807601083492894</v>
      </c>
      <c r="AA266" s="24">
        <v>3.9490968548464851E-2</v>
      </c>
      <c r="AB266" s="25">
        <v>0.11712180213705839</v>
      </c>
      <c r="AC266" s="26">
        <v>5.8805472131735446E-2</v>
      </c>
      <c r="AD266" s="27">
        <v>4122183</v>
      </c>
      <c r="AE266" s="28">
        <v>8524251</v>
      </c>
      <c r="AF266" s="29">
        <v>4623005</v>
      </c>
      <c r="AG266" s="27">
        <v>16884772</v>
      </c>
      <c r="AH266" s="28">
        <v>38464555</v>
      </c>
      <c r="AI266" s="29">
        <v>18877835</v>
      </c>
      <c r="AJ266" s="27">
        <v>1722199</v>
      </c>
      <c r="AK266" s="28">
        <v>-2182188</v>
      </c>
      <c r="AL266" s="29">
        <v>2485810</v>
      </c>
      <c r="AM266" s="30">
        <v>6744404</v>
      </c>
      <c r="AN266" s="30">
        <v>2930903</v>
      </c>
      <c r="AO266" s="30">
        <v>5441904</v>
      </c>
      <c r="AP266" s="27">
        <v>270230</v>
      </c>
      <c r="AQ266" s="28">
        <v>354978</v>
      </c>
      <c r="AR266" s="29">
        <v>350844</v>
      </c>
      <c r="AS266" s="27">
        <v>0</v>
      </c>
      <c r="AT266" s="28">
        <v>0</v>
      </c>
      <c r="AU266" s="29">
        <v>0</v>
      </c>
      <c r="AV266" s="27">
        <v>199645.42000000019</v>
      </c>
      <c r="AW266" s="28">
        <v>391352.78000000096</v>
      </c>
      <c r="AX266" s="29">
        <v>306923.91000000003</v>
      </c>
      <c r="AY266" s="27">
        <v>10890758.98</v>
      </c>
      <c r="AZ266" s="28">
        <v>8740144.5199999996</v>
      </c>
      <c r="BA266" s="29">
        <v>23699767.709999997</v>
      </c>
      <c r="BB266" s="24">
        <v>0</v>
      </c>
      <c r="BC266" s="25">
        <v>0</v>
      </c>
      <c r="BD266" s="26">
        <v>0</v>
      </c>
      <c r="BE266" s="24">
        <v>4.954938804915804E-3</v>
      </c>
      <c r="BF266" s="25">
        <v>1.2095065208272112E-2</v>
      </c>
      <c r="BG266" s="26">
        <v>7.020995097398482E-3</v>
      </c>
      <c r="BH266" s="24">
        <v>0.27029442641352458</v>
      </c>
      <c r="BI266" s="25">
        <v>0.27012103478381294</v>
      </c>
      <c r="BJ266" s="26">
        <v>0.54214073091077464</v>
      </c>
      <c r="BK266" s="24">
        <v>0.83830000000000005</v>
      </c>
      <c r="BL266" s="25">
        <v>0.64834000000000003</v>
      </c>
      <c r="BM266" s="26">
        <v>0.74329999999999996</v>
      </c>
    </row>
    <row r="267" spans="1:65" ht="12" thickBot="1" x14ac:dyDescent="0.25">
      <c r="A267" s="32">
        <v>7805</v>
      </c>
      <c r="B267" s="33" t="s">
        <v>283</v>
      </c>
      <c r="C267" s="34">
        <v>0.20341937398302362</v>
      </c>
      <c r="D267" s="35">
        <v>0.20240163098810351</v>
      </c>
      <c r="E267" s="36">
        <v>0.21825602143980097</v>
      </c>
      <c r="F267" s="34">
        <v>0.88694011251400118</v>
      </c>
      <c r="G267" s="35">
        <v>0.73316011184304408</v>
      </c>
      <c r="H267" s="36">
        <v>1.3110222126857649</v>
      </c>
      <c r="I267" s="34">
        <v>0.15277690290751267</v>
      </c>
      <c r="J267" s="35">
        <v>-6.9069392714765391E-3</v>
      </c>
      <c r="K267" s="36">
        <v>8.1576514409234427E-2</v>
      </c>
      <c r="L267" s="34">
        <v>0.50036978650109187</v>
      </c>
      <c r="M267" s="35">
        <v>0.46843932197658861</v>
      </c>
      <c r="N267" s="36">
        <v>0.3872228266364463</v>
      </c>
      <c r="O267" s="37">
        <v>236</v>
      </c>
      <c r="P267" s="38">
        <v>225</v>
      </c>
      <c r="Q267" s="39">
        <v>215</v>
      </c>
      <c r="R267" s="34">
        <v>0</v>
      </c>
      <c r="S267" s="35">
        <v>2.4233958166786328E-2</v>
      </c>
      <c r="T267" s="36">
        <v>4.6144337232966084E-2</v>
      </c>
      <c r="U267" s="37">
        <v>442.62962962962962</v>
      </c>
      <c r="V267" s="38">
        <v>436.16788321167883</v>
      </c>
      <c r="W267" s="39">
        <v>430.17391304347825</v>
      </c>
      <c r="X267" s="34">
        <v>0.63991720789242013</v>
      </c>
      <c r="Y267" s="35">
        <v>0.6062492220211454</v>
      </c>
      <c r="Z267" s="36">
        <v>0.67853160520467803</v>
      </c>
      <c r="AA267" s="34">
        <v>7.3365603133438859E-2</v>
      </c>
      <c r="AB267" s="35">
        <v>0.11935263667677402</v>
      </c>
      <c r="AC267" s="36">
        <v>4.960097784551025E-2</v>
      </c>
      <c r="AD267" s="37">
        <v>12998165</v>
      </c>
      <c r="AE267" s="38">
        <v>25358888</v>
      </c>
      <c r="AF267" s="39">
        <v>15751553</v>
      </c>
      <c r="AG267" s="37">
        <v>57637378</v>
      </c>
      <c r="AH267" s="38">
        <v>129068418</v>
      </c>
      <c r="AI267" s="39">
        <v>60595257</v>
      </c>
      <c r="AJ267" s="37">
        <v>9762194</v>
      </c>
      <c r="AK267" s="38">
        <v>-865370</v>
      </c>
      <c r="AL267" s="39">
        <v>5887383</v>
      </c>
      <c r="AM267" s="40">
        <v>38591524</v>
      </c>
      <c r="AN267" s="40">
        <v>27494087</v>
      </c>
      <c r="AO267" s="40">
        <v>34265542</v>
      </c>
      <c r="AP267" s="37">
        <v>14121281</v>
      </c>
      <c r="AQ267" s="38">
        <v>13432773</v>
      </c>
      <c r="AR267" s="39">
        <v>12757281</v>
      </c>
      <c r="AS267" s="37">
        <v>0</v>
      </c>
      <c r="AT267" s="38">
        <v>694923</v>
      </c>
      <c r="AU267" s="39">
        <v>1520252</v>
      </c>
      <c r="AV267" s="37">
        <v>561329.200000001</v>
      </c>
      <c r="AW267" s="38">
        <v>1531395.9700000067</v>
      </c>
      <c r="AX267" s="39">
        <v>3213284.1800000016</v>
      </c>
      <c r="AY267" s="37">
        <v>45742379.540000007</v>
      </c>
      <c r="AZ267" s="38">
        <v>47917185.590000004</v>
      </c>
      <c r="BA267" s="39">
        <v>50216484.400000006</v>
      </c>
      <c r="BB267" s="34">
        <v>0</v>
      </c>
      <c r="BC267" s="35">
        <v>5.3841444000653979E-3</v>
      </c>
      <c r="BD267" s="36">
        <v>9.949285901046984E-3</v>
      </c>
      <c r="BE267" s="34">
        <v>4.1288731926150592E-3</v>
      </c>
      <c r="BF267" s="35">
        <v>1.4738792614834968E-2</v>
      </c>
      <c r="BG267" s="36">
        <v>2.1029331313579151E-2</v>
      </c>
      <c r="BH267" s="34">
        <v>0.33645939788831447</v>
      </c>
      <c r="BI267" s="35">
        <v>0.46117495078530574</v>
      </c>
      <c r="BJ267" s="36">
        <v>0.3286416727233813</v>
      </c>
      <c r="BK267" s="34">
        <v>0.83265</v>
      </c>
      <c r="BL267" s="35">
        <v>0.74236999999999997</v>
      </c>
      <c r="BM267" s="36">
        <v>0.78749999999999998</v>
      </c>
    </row>
    <row r="268" spans="1:65" s="50" customFormat="1" ht="12" thickBot="1" x14ac:dyDescent="0.25">
      <c r="A268" s="41"/>
      <c r="B268" s="42" t="s">
        <v>284</v>
      </c>
      <c r="C268" s="43">
        <v>0.27365661726889429</v>
      </c>
      <c r="D268" s="44">
        <v>0.24983015874771231</v>
      </c>
      <c r="E268" s="45">
        <v>0.27855341628073527</v>
      </c>
      <c r="F268" s="43">
        <v>0.9205308672843372</v>
      </c>
      <c r="G268" s="44">
        <v>0.67268756554109921</v>
      </c>
      <c r="H268" s="45">
        <v>1.10908616576495</v>
      </c>
      <c r="I268" s="43">
        <v>0.13824754892521446</v>
      </c>
      <c r="J268" s="44">
        <v>-2.101889848441104E-2</v>
      </c>
      <c r="K268" s="45">
        <v>0.16127170427950968</v>
      </c>
      <c r="L268" s="43">
        <v>0.42785905985206524</v>
      </c>
      <c r="M268" s="44">
        <v>0.4386933641928884</v>
      </c>
      <c r="N268" s="45">
        <v>0.43605130878156767</v>
      </c>
      <c r="O268" s="46">
        <v>265</v>
      </c>
      <c r="P268" s="47">
        <v>273</v>
      </c>
      <c r="Q268" s="48">
        <v>284</v>
      </c>
      <c r="R268" s="43">
        <v>2.6529351916717729E-2</v>
      </c>
      <c r="S268" s="44">
        <v>3.5718193556502763E-2</v>
      </c>
      <c r="T268" s="45">
        <v>3.6061303636453025E-2</v>
      </c>
      <c r="U268" s="46">
        <v>261.39353520032927</v>
      </c>
      <c r="V268" s="47">
        <v>265.22430252654101</v>
      </c>
      <c r="W268" s="48">
        <v>262.1367367532045</v>
      </c>
      <c r="X268" s="43">
        <v>0.58248561749852446</v>
      </c>
      <c r="Y268" s="44">
        <v>0.55127053667862458</v>
      </c>
      <c r="Z268" s="45">
        <v>0.61788586488310937</v>
      </c>
      <c r="AA268" s="43">
        <v>0.12040383641604294</v>
      </c>
      <c r="AB268" s="44">
        <v>0.16406700337616953</v>
      </c>
      <c r="AC268" s="45">
        <v>8.6988569390363008E-2</v>
      </c>
      <c r="AD268" s="46">
        <v>1958994106</v>
      </c>
      <c r="AE268" s="47">
        <v>3545817535</v>
      </c>
      <c r="AF268" s="48">
        <v>2248186977</v>
      </c>
      <c r="AG268" s="46">
        <v>6256212812</v>
      </c>
      <c r="AH268" s="47">
        <v>14724831022</v>
      </c>
      <c r="AI268" s="48">
        <v>6734468978</v>
      </c>
      <c r="AJ268" s="46">
        <v>989656805</v>
      </c>
      <c r="AK268" s="47">
        <v>-298319383</v>
      </c>
      <c r="AL268" s="48">
        <v>1301613709</v>
      </c>
      <c r="AM268" s="49">
        <v>3170951457</v>
      </c>
      <c r="AN268" s="49">
        <v>1922833738</v>
      </c>
      <c r="AO268" s="49">
        <v>3293455718</v>
      </c>
      <c r="AP268" s="46">
        <v>1711164492</v>
      </c>
      <c r="AQ268" s="47">
        <v>1756548250</v>
      </c>
      <c r="AR268" s="48">
        <v>1829714435</v>
      </c>
      <c r="AS268" s="46">
        <v>106100558</v>
      </c>
      <c r="AT268" s="47">
        <v>143017277</v>
      </c>
      <c r="AU268" s="48">
        <v>151316798</v>
      </c>
      <c r="AV268" s="46">
        <v>428114484.63000005</v>
      </c>
      <c r="AW268" s="47">
        <v>932754662.11999977</v>
      </c>
      <c r="AX268" s="48">
        <v>755112808.72000051</v>
      </c>
      <c r="AY268" s="46">
        <v>5923736976.5</v>
      </c>
      <c r="AZ268" s="47">
        <v>6613132726.1300001</v>
      </c>
      <c r="BA268" s="48">
        <v>8141256193.5200033</v>
      </c>
      <c r="BB268" s="43">
        <v>7.0492043977130872E-3</v>
      </c>
      <c r="BC268" s="44">
        <v>9.7126599813825692E-3</v>
      </c>
      <c r="BD268" s="45">
        <v>9.9561601667042515E-3</v>
      </c>
      <c r="BE268" s="43">
        <v>2.8443455573329484E-2</v>
      </c>
      <c r="BF268" s="44">
        <v>8.0657965663818193E-2</v>
      </c>
      <c r="BG268" s="45">
        <v>4.9684001822099332E-2</v>
      </c>
      <c r="BH268" s="43">
        <v>0.39356657055130118</v>
      </c>
      <c r="BI268" s="44">
        <v>0.57185651706326535</v>
      </c>
      <c r="BJ268" s="45">
        <v>0.53566855558797999</v>
      </c>
      <c r="BK268" s="43">
        <v>0.80248150943396246</v>
      </c>
      <c r="BL268" s="44">
        <v>0.71835086792452807</v>
      </c>
      <c r="BM268" s="45">
        <v>0.76039999999999996</v>
      </c>
    </row>
    <row r="270" spans="1:65" ht="15.75" x14ac:dyDescent="0.25">
      <c r="B270" s="51" t="s">
        <v>285</v>
      </c>
      <c r="C270" s="52"/>
      <c r="D270" s="53"/>
      <c r="E270" s="54"/>
      <c r="F270" s="54"/>
      <c r="G270" s="54"/>
      <c r="H270" s="54"/>
      <c r="I270" s="54"/>
      <c r="J270" s="55"/>
      <c r="K270" s="55"/>
      <c r="AB270" s="6">
        <v>44</v>
      </c>
      <c r="AC270" s="6">
        <v>10</v>
      </c>
      <c r="AU270" s="58">
        <f>+AU268-AT268</f>
        <v>8299521</v>
      </c>
    </row>
    <row r="271" spans="1:65" ht="29.25" customHeight="1" x14ac:dyDescent="0.2">
      <c r="B271" s="137" t="s">
        <v>286</v>
      </c>
      <c r="C271" s="137"/>
      <c r="D271" s="137"/>
      <c r="E271" s="137"/>
      <c r="F271" s="137"/>
      <c r="G271" s="137"/>
      <c r="H271" s="137"/>
      <c r="I271" s="137"/>
      <c r="J271" s="137"/>
      <c r="K271" s="137"/>
    </row>
    <row r="272" spans="1:65" ht="15.75" x14ac:dyDescent="0.25">
      <c r="B272" s="51" t="s">
        <v>287</v>
      </c>
      <c r="C272" s="52"/>
      <c r="D272" s="52"/>
      <c r="E272" s="54"/>
      <c r="F272" s="54"/>
      <c r="G272" s="54"/>
      <c r="H272" s="54"/>
      <c r="I272" s="54"/>
      <c r="J272" s="55"/>
      <c r="K272" s="55"/>
    </row>
    <row r="274" spans="3:65" x14ac:dyDescent="0.2"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</row>
  </sheetData>
  <autoFilter ref="A1:BM268"/>
  <mergeCells count="1">
    <mergeCell ref="B271:K271"/>
  </mergeCells>
  <conditionalFormatting sqref="C3:BM268">
    <cfRule type="expression" dxfId="9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X272"/>
  <sheetViews>
    <sheetView showGridLines="0" zoomScaleNormal="100" workbookViewId="0">
      <pane xSplit="2" ySplit="2" topLeftCell="AD247" activePane="bottomRight" state="frozen"/>
      <selection activeCell="AX259" sqref="AX259"/>
      <selection pane="topRight" activeCell="AX259" sqref="AX259"/>
      <selection pane="bottomLeft" activeCell="AX259" sqref="AX259"/>
      <selection pane="bottomRight" sqref="A1:XFD1048576"/>
    </sheetView>
  </sheetViews>
  <sheetFormatPr defaultRowHeight="12" x14ac:dyDescent="0.2"/>
  <cols>
    <col min="1" max="1" width="5" style="63" bestFit="1" customWidth="1"/>
    <col min="2" max="2" width="27" style="63" customWidth="1"/>
    <col min="3" max="33" width="10.7109375" style="63" customWidth="1"/>
    <col min="34" max="44" width="10.7109375" style="61" customWidth="1"/>
    <col min="45" max="45" width="11.5703125" style="63" customWidth="1"/>
    <col min="46" max="47" width="11.5703125" style="61" customWidth="1"/>
    <col min="48" max="48" width="11.5703125" style="63" customWidth="1"/>
    <col min="49" max="50" width="11.5703125" style="61" customWidth="1"/>
    <col min="51" max="16384" width="9.140625" style="61"/>
  </cols>
  <sheetData>
    <row r="1" spans="1:50" ht="135.75" thickBot="1" x14ac:dyDescent="0.25">
      <c r="A1" s="59" t="s">
        <v>288</v>
      </c>
      <c r="B1" s="60"/>
      <c r="C1" s="2" t="s">
        <v>289</v>
      </c>
      <c r="D1" s="3"/>
      <c r="E1" s="4"/>
      <c r="F1" s="2" t="s">
        <v>290</v>
      </c>
      <c r="G1" s="3"/>
      <c r="H1" s="4"/>
      <c r="I1" s="2" t="s">
        <v>291</v>
      </c>
      <c r="J1" s="3"/>
      <c r="K1" s="4"/>
      <c r="L1" s="2" t="s">
        <v>292</v>
      </c>
      <c r="M1" s="3"/>
      <c r="N1" s="4"/>
      <c r="O1" s="2" t="s">
        <v>293</v>
      </c>
      <c r="P1" s="3"/>
      <c r="Q1" s="4"/>
      <c r="R1" s="2" t="s">
        <v>294</v>
      </c>
      <c r="S1" s="3"/>
      <c r="T1" s="4"/>
      <c r="U1" s="2" t="s">
        <v>295</v>
      </c>
      <c r="V1" s="3"/>
      <c r="W1" s="4"/>
      <c r="X1" s="2" t="s">
        <v>296</v>
      </c>
      <c r="Y1" s="3"/>
      <c r="Z1" s="4"/>
      <c r="AA1" s="2" t="s">
        <v>297</v>
      </c>
      <c r="AB1" s="3"/>
      <c r="AC1" s="4"/>
      <c r="AD1" s="2" t="s">
        <v>298</v>
      </c>
      <c r="AE1" s="3"/>
      <c r="AF1" s="4"/>
      <c r="AG1" s="2" t="s">
        <v>299</v>
      </c>
      <c r="AH1" s="3"/>
      <c r="AI1" s="4"/>
      <c r="AJ1" s="2" t="s">
        <v>300</v>
      </c>
      <c r="AK1" s="3"/>
      <c r="AL1" s="4"/>
      <c r="AM1" s="2" t="s">
        <v>301</v>
      </c>
      <c r="AN1" s="3"/>
      <c r="AO1" s="4"/>
      <c r="AP1" s="2" t="s">
        <v>302</v>
      </c>
      <c r="AQ1" s="3"/>
      <c r="AR1" s="4"/>
      <c r="AS1" s="2" t="s">
        <v>350</v>
      </c>
      <c r="AT1" s="3" t="s">
        <v>351</v>
      </c>
      <c r="AU1" s="4" t="s">
        <v>350</v>
      </c>
      <c r="AV1" s="2" t="s">
        <v>352</v>
      </c>
      <c r="AW1" s="3" t="s">
        <v>353</v>
      </c>
      <c r="AX1" s="4" t="s">
        <v>352</v>
      </c>
    </row>
    <row r="2" spans="1:50" s="62" customFormat="1" ht="23.25" thickBot="1" x14ac:dyDescent="0.3">
      <c r="A2" s="7" t="s">
        <v>19</v>
      </c>
      <c r="B2" s="8"/>
      <c r="C2" s="9" t="s">
        <v>349</v>
      </c>
      <c r="D2" s="10" t="s">
        <v>337</v>
      </c>
      <c r="E2" s="11" t="s">
        <v>338</v>
      </c>
      <c r="F2" s="9" t="s">
        <v>349</v>
      </c>
      <c r="G2" s="10" t="s">
        <v>337</v>
      </c>
      <c r="H2" s="11" t="s">
        <v>338</v>
      </c>
      <c r="I2" s="9" t="s">
        <v>349</v>
      </c>
      <c r="J2" s="10" t="s">
        <v>337</v>
      </c>
      <c r="K2" s="11" t="s">
        <v>338</v>
      </c>
      <c r="L2" s="9" t="s">
        <v>349</v>
      </c>
      <c r="M2" s="10" t="s">
        <v>337</v>
      </c>
      <c r="N2" s="11" t="s">
        <v>338</v>
      </c>
      <c r="O2" s="9" t="s">
        <v>349</v>
      </c>
      <c r="P2" s="10" t="s">
        <v>337</v>
      </c>
      <c r="Q2" s="11" t="s">
        <v>338</v>
      </c>
      <c r="R2" s="9" t="s">
        <v>349</v>
      </c>
      <c r="S2" s="10" t="s">
        <v>337</v>
      </c>
      <c r="T2" s="11" t="s">
        <v>338</v>
      </c>
      <c r="U2" s="9" t="s">
        <v>349</v>
      </c>
      <c r="V2" s="10" t="s">
        <v>337</v>
      </c>
      <c r="W2" s="11" t="s">
        <v>338</v>
      </c>
      <c r="X2" s="9" t="s">
        <v>349</v>
      </c>
      <c r="Y2" s="10" t="s">
        <v>337</v>
      </c>
      <c r="Z2" s="11" t="s">
        <v>338</v>
      </c>
      <c r="AA2" s="9" t="s">
        <v>349</v>
      </c>
      <c r="AB2" s="10" t="s">
        <v>337</v>
      </c>
      <c r="AC2" s="11" t="s">
        <v>338</v>
      </c>
      <c r="AD2" s="9" t="s">
        <v>349</v>
      </c>
      <c r="AE2" s="10" t="s">
        <v>337</v>
      </c>
      <c r="AF2" s="11" t="s">
        <v>338</v>
      </c>
      <c r="AG2" s="9" t="s">
        <v>349</v>
      </c>
      <c r="AH2" s="10" t="s">
        <v>337</v>
      </c>
      <c r="AI2" s="11" t="s">
        <v>338</v>
      </c>
      <c r="AJ2" s="9" t="s">
        <v>349</v>
      </c>
      <c r="AK2" s="10" t="s">
        <v>337</v>
      </c>
      <c r="AL2" s="11" t="s">
        <v>338</v>
      </c>
      <c r="AM2" s="9" t="s">
        <v>349</v>
      </c>
      <c r="AN2" s="10" t="s">
        <v>337</v>
      </c>
      <c r="AO2" s="11" t="s">
        <v>338</v>
      </c>
      <c r="AP2" s="9" t="s">
        <v>349</v>
      </c>
      <c r="AQ2" s="10" t="s">
        <v>337</v>
      </c>
      <c r="AR2" s="11" t="s">
        <v>338</v>
      </c>
      <c r="AS2" s="9" t="s">
        <v>349</v>
      </c>
      <c r="AT2" s="10" t="s">
        <v>337</v>
      </c>
      <c r="AU2" s="11" t="s">
        <v>338</v>
      </c>
      <c r="AV2" s="9" t="s">
        <v>349</v>
      </c>
      <c r="AW2" s="10" t="s">
        <v>337</v>
      </c>
      <c r="AX2" s="11" t="s">
        <v>338</v>
      </c>
    </row>
    <row r="3" spans="1:50" x14ac:dyDescent="0.2">
      <c r="A3" s="13">
        <v>5101</v>
      </c>
      <c r="B3" s="14" t="s">
        <v>20</v>
      </c>
      <c r="C3" s="18">
        <v>0</v>
      </c>
      <c r="D3" s="19">
        <v>0</v>
      </c>
      <c r="E3" s="20">
        <v>0</v>
      </c>
      <c r="F3" s="18">
        <v>0</v>
      </c>
      <c r="G3" s="19">
        <v>46342</v>
      </c>
      <c r="H3" s="20">
        <v>192214</v>
      </c>
      <c r="I3" s="18">
        <v>0</v>
      </c>
      <c r="J3" s="19">
        <v>0</v>
      </c>
      <c r="K3" s="20">
        <v>0</v>
      </c>
      <c r="L3" s="18">
        <v>0</v>
      </c>
      <c r="M3" s="19">
        <v>50000</v>
      </c>
      <c r="N3" s="20">
        <v>192600</v>
      </c>
      <c r="O3" s="18">
        <v>0</v>
      </c>
      <c r="P3" s="19">
        <v>3658</v>
      </c>
      <c r="Q3" s="20">
        <v>386</v>
      </c>
      <c r="R3" s="18">
        <v>0</v>
      </c>
      <c r="S3" s="19">
        <v>0</v>
      </c>
      <c r="T3" s="20">
        <v>0</v>
      </c>
      <c r="U3" s="18">
        <v>501198</v>
      </c>
      <c r="V3" s="19">
        <v>2804965</v>
      </c>
      <c r="W3" s="20">
        <v>1384893</v>
      </c>
      <c r="X3" s="18">
        <v>281981</v>
      </c>
      <c r="Y3" s="19">
        <v>1735788</v>
      </c>
      <c r="Z3" s="20">
        <v>2027244</v>
      </c>
      <c r="AA3" s="18">
        <v>354827</v>
      </c>
      <c r="AB3" s="19">
        <v>1757515</v>
      </c>
      <c r="AC3" s="20">
        <v>-913268</v>
      </c>
      <c r="AD3" s="18">
        <v>135610</v>
      </c>
      <c r="AE3" s="19">
        <v>688338</v>
      </c>
      <c r="AF3" s="20">
        <v>-270917</v>
      </c>
      <c r="AG3" s="18">
        <v>0</v>
      </c>
      <c r="AH3" s="19">
        <v>0</v>
      </c>
      <c r="AI3" s="20">
        <v>0</v>
      </c>
      <c r="AJ3" s="18">
        <v>0</v>
      </c>
      <c r="AK3" s="19">
        <v>0</v>
      </c>
      <c r="AL3" s="20">
        <v>0</v>
      </c>
      <c r="AM3" s="18">
        <v>691019.46</v>
      </c>
      <c r="AN3" s="19">
        <v>1550062.64</v>
      </c>
      <c r="AO3" s="20">
        <v>3600948.46</v>
      </c>
      <c r="AP3" s="18">
        <v>0</v>
      </c>
      <c r="AQ3" s="19">
        <v>0</v>
      </c>
      <c r="AR3" s="20">
        <v>0</v>
      </c>
      <c r="AS3" s="15">
        <v>0</v>
      </c>
      <c r="AT3" s="16">
        <v>0</v>
      </c>
      <c r="AU3" s="17">
        <v>0</v>
      </c>
      <c r="AV3" s="15">
        <v>0</v>
      </c>
      <c r="AW3" s="16">
        <v>0</v>
      </c>
      <c r="AX3" s="17">
        <v>0</v>
      </c>
    </row>
    <row r="4" spans="1:50" x14ac:dyDescent="0.2">
      <c r="A4" s="22">
        <v>5102</v>
      </c>
      <c r="B4" s="23" t="s">
        <v>21</v>
      </c>
      <c r="C4" s="27">
        <v>0</v>
      </c>
      <c r="D4" s="28">
        <v>0</v>
      </c>
      <c r="E4" s="29">
        <v>0</v>
      </c>
      <c r="F4" s="27">
        <v>1056925</v>
      </c>
      <c r="G4" s="28">
        <v>1697364</v>
      </c>
      <c r="H4" s="29">
        <v>452596</v>
      </c>
      <c r="I4" s="27">
        <v>691</v>
      </c>
      <c r="J4" s="28">
        <v>558690</v>
      </c>
      <c r="K4" s="29">
        <v>452250</v>
      </c>
      <c r="L4" s="27">
        <v>0</v>
      </c>
      <c r="M4" s="28">
        <v>72030</v>
      </c>
      <c r="N4" s="29">
        <v>0</v>
      </c>
      <c r="O4" s="27">
        <v>-1056234</v>
      </c>
      <c r="P4" s="28">
        <v>-1066644</v>
      </c>
      <c r="Q4" s="29">
        <v>-346</v>
      </c>
      <c r="R4" s="27">
        <v>8157</v>
      </c>
      <c r="S4" s="28">
        <v>8157</v>
      </c>
      <c r="T4" s="29">
        <v>0</v>
      </c>
      <c r="U4" s="27">
        <v>510044</v>
      </c>
      <c r="V4" s="28">
        <v>2209479</v>
      </c>
      <c r="W4" s="29">
        <v>1619828</v>
      </c>
      <c r="X4" s="27">
        <v>513982</v>
      </c>
      <c r="Y4" s="28">
        <v>1813851</v>
      </c>
      <c r="Z4" s="29">
        <v>1307947</v>
      </c>
      <c r="AA4" s="27">
        <v>19323</v>
      </c>
      <c r="AB4" s="28">
        <v>189068</v>
      </c>
      <c r="AC4" s="29">
        <v>450777</v>
      </c>
      <c r="AD4" s="27">
        <v>31418</v>
      </c>
      <c r="AE4" s="28">
        <v>-198403</v>
      </c>
      <c r="AF4" s="29">
        <v>138896</v>
      </c>
      <c r="AG4" s="27">
        <v>0</v>
      </c>
      <c r="AH4" s="28">
        <v>102720.01000000001</v>
      </c>
      <c r="AI4" s="29">
        <v>103461.72999999998</v>
      </c>
      <c r="AJ4" s="27">
        <v>0</v>
      </c>
      <c r="AK4" s="28">
        <v>0</v>
      </c>
      <c r="AL4" s="29">
        <v>0</v>
      </c>
      <c r="AM4" s="27">
        <v>6227039.8100000005</v>
      </c>
      <c r="AN4" s="28">
        <v>9283686.0300000012</v>
      </c>
      <c r="AO4" s="29">
        <v>8537640.5</v>
      </c>
      <c r="AP4" s="27">
        <v>0</v>
      </c>
      <c r="AQ4" s="28">
        <v>0</v>
      </c>
      <c r="AR4" s="29">
        <v>0</v>
      </c>
      <c r="AS4" s="24">
        <v>0</v>
      </c>
      <c r="AT4" s="25">
        <v>4.0852320427084881E-3</v>
      </c>
      <c r="AU4" s="26">
        <v>2.8324581131183705E-3</v>
      </c>
      <c r="AV4" s="24">
        <v>0</v>
      </c>
      <c r="AW4" s="25">
        <v>0</v>
      </c>
      <c r="AX4" s="26">
        <v>0</v>
      </c>
    </row>
    <row r="5" spans="1:50" x14ac:dyDescent="0.2">
      <c r="A5" s="22">
        <v>5103</v>
      </c>
      <c r="B5" s="23" t="s">
        <v>22</v>
      </c>
      <c r="C5" s="27">
        <v>0</v>
      </c>
      <c r="D5" s="28">
        <v>0</v>
      </c>
      <c r="E5" s="29">
        <v>0</v>
      </c>
      <c r="F5" s="27">
        <v>0</v>
      </c>
      <c r="G5" s="28">
        <v>0</v>
      </c>
      <c r="H5" s="29">
        <v>0</v>
      </c>
      <c r="I5" s="27">
        <v>0</v>
      </c>
      <c r="J5" s="28">
        <v>0</v>
      </c>
      <c r="K5" s="29">
        <v>0</v>
      </c>
      <c r="L5" s="27">
        <v>0</v>
      </c>
      <c r="M5" s="28">
        <v>0</v>
      </c>
      <c r="N5" s="29">
        <v>0</v>
      </c>
      <c r="O5" s="27">
        <v>0</v>
      </c>
      <c r="P5" s="28">
        <v>0</v>
      </c>
      <c r="Q5" s="29">
        <v>0</v>
      </c>
      <c r="R5" s="27">
        <v>0</v>
      </c>
      <c r="S5" s="28">
        <v>112</v>
      </c>
      <c r="T5" s="29">
        <v>0</v>
      </c>
      <c r="U5" s="27">
        <v>2187967</v>
      </c>
      <c r="V5" s="28">
        <v>5791381</v>
      </c>
      <c r="W5" s="29">
        <v>4286683</v>
      </c>
      <c r="X5" s="27">
        <v>7378077</v>
      </c>
      <c r="Y5" s="28">
        <v>13098436</v>
      </c>
      <c r="Z5" s="29">
        <v>4931088</v>
      </c>
      <c r="AA5" s="27">
        <v>-4552115</v>
      </c>
      <c r="AB5" s="28">
        <v>-7325875</v>
      </c>
      <c r="AC5" s="29">
        <v>438616</v>
      </c>
      <c r="AD5" s="27">
        <v>637995</v>
      </c>
      <c r="AE5" s="28">
        <v>-18708</v>
      </c>
      <c r="AF5" s="29">
        <v>1083021</v>
      </c>
      <c r="AG5" s="27">
        <v>426856.91999999993</v>
      </c>
      <c r="AH5" s="28">
        <v>292888.37999999989</v>
      </c>
      <c r="AI5" s="29">
        <v>440998.57999999961</v>
      </c>
      <c r="AJ5" s="27">
        <v>0</v>
      </c>
      <c r="AK5" s="28">
        <v>0</v>
      </c>
      <c r="AL5" s="29">
        <v>0</v>
      </c>
      <c r="AM5" s="27">
        <v>3201556.11</v>
      </c>
      <c r="AN5" s="28">
        <v>7767466.5</v>
      </c>
      <c r="AO5" s="29">
        <v>51061384.009999998</v>
      </c>
      <c r="AP5" s="27">
        <v>412606</v>
      </c>
      <c r="AQ5" s="28">
        <v>0</v>
      </c>
      <c r="AR5" s="29">
        <v>0</v>
      </c>
      <c r="AS5" s="24">
        <v>2.8039426900615676E-3</v>
      </c>
      <c r="AT5" s="25">
        <v>1.824708972603857E-3</v>
      </c>
      <c r="AU5" s="26">
        <v>2.5144329486151088E-3</v>
      </c>
      <c r="AV5" s="24">
        <v>2.7103310813739257E-3</v>
      </c>
      <c r="AW5" s="25">
        <v>0</v>
      </c>
      <c r="AX5" s="26">
        <v>0</v>
      </c>
    </row>
    <row r="6" spans="1:50" x14ac:dyDescent="0.2">
      <c r="A6" s="22">
        <v>5104</v>
      </c>
      <c r="B6" s="23" t="s">
        <v>23</v>
      </c>
      <c r="C6" s="27">
        <v>18625</v>
      </c>
      <c r="D6" s="28">
        <v>30488</v>
      </c>
      <c r="E6" s="29">
        <v>26408</v>
      </c>
      <c r="F6" s="27">
        <v>23228</v>
      </c>
      <c r="G6" s="28">
        <v>205538</v>
      </c>
      <c r="H6" s="29">
        <v>7093</v>
      </c>
      <c r="I6" s="27">
        <v>120875</v>
      </c>
      <c r="J6" s="28">
        <v>149623</v>
      </c>
      <c r="K6" s="29">
        <v>4538</v>
      </c>
      <c r="L6" s="27">
        <v>0</v>
      </c>
      <c r="M6" s="28">
        <v>0</v>
      </c>
      <c r="N6" s="29">
        <v>0</v>
      </c>
      <c r="O6" s="27">
        <v>116272</v>
      </c>
      <c r="P6" s="28">
        <v>-25427</v>
      </c>
      <c r="Q6" s="29">
        <v>23853</v>
      </c>
      <c r="R6" s="27">
        <v>0</v>
      </c>
      <c r="S6" s="28">
        <v>0</v>
      </c>
      <c r="T6" s="29">
        <v>0</v>
      </c>
      <c r="U6" s="27">
        <v>2656474</v>
      </c>
      <c r="V6" s="28">
        <v>4682534</v>
      </c>
      <c r="W6" s="29">
        <v>4220141</v>
      </c>
      <c r="X6" s="27">
        <v>642674</v>
      </c>
      <c r="Y6" s="28">
        <v>6440385</v>
      </c>
      <c r="Z6" s="29">
        <v>3733668</v>
      </c>
      <c r="AA6" s="27">
        <v>1804287</v>
      </c>
      <c r="AB6" s="28">
        <v>-1914834</v>
      </c>
      <c r="AC6" s="29">
        <v>891919</v>
      </c>
      <c r="AD6" s="27">
        <v>-209513</v>
      </c>
      <c r="AE6" s="28">
        <v>-156983</v>
      </c>
      <c r="AF6" s="29">
        <v>405446</v>
      </c>
      <c r="AG6" s="27">
        <v>746.43999999999869</v>
      </c>
      <c r="AH6" s="28">
        <v>4800</v>
      </c>
      <c r="AI6" s="29">
        <v>4896</v>
      </c>
      <c r="AJ6" s="27">
        <v>0</v>
      </c>
      <c r="AK6" s="28">
        <v>0</v>
      </c>
      <c r="AL6" s="29">
        <v>0</v>
      </c>
      <c r="AM6" s="27">
        <v>1174213.8800000001</v>
      </c>
      <c r="AN6" s="28">
        <v>1397034.16</v>
      </c>
      <c r="AO6" s="29">
        <v>2825045.09</v>
      </c>
      <c r="AP6" s="27">
        <v>0</v>
      </c>
      <c r="AQ6" s="28">
        <v>0</v>
      </c>
      <c r="AR6" s="29">
        <v>0</v>
      </c>
      <c r="AS6" s="24">
        <v>1.1750838028825078E-5</v>
      </c>
      <c r="AT6" s="25">
        <v>7.2161147749514042E-5</v>
      </c>
      <c r="AU6" s="26">
        <v>7.0088491014543786E-5</v>
      </c>
      <c r="AV6" s="24">
        <v>0</v>
      </c>
      <c r="AW6" s="25">
        <v>0</v>
      </c>
      <c r="AX6" s="26">
        <v>0</v>
      </c>
    </row>
    <row r="7" spans="1:50" x14ac:dyDescent="0.2">
      <c r="A7" s="22">
        <v>5105</v>
      </c>
      <c r="B7" s="23" t="s">
        <v>24</v>
      </c>
      <c r="C7" s="27">
        <v>0</v>
      </c>
      <c r="D7" s="28">
        <v>0</v>
      </c>
      <c r="E7" s="29">
        <v>0</v>
      </c>
      <c r="F7" s="27">
        <v>200306</v>
      </c>
      <c r="G7" s="28">
        <v>215847</v>
      </c>
      <c r="H7" s="29">
        <v>552000</v>
      </c>
      <c r="I7" s="27">
        <v>0</v>
      </c>
      <c r="J7" s="28">
        <v>597049</v>
      </c>
      <c r="K7" s="29">
        <v>91250</v>
      </c>
      <c r="L7" s="27">
        <v>135867</v>
      </c>
      <c r="M7" s="28">
        <v>0</v>
      </c>
      <c r="N7" s="29">
        <v>24000</v>
      </c>
      <c r="O7" s="27">
        <v>-64439</v>
      </c>
      <c r="P7" s="28">
        <v>381202</v>
      </c>
      <c r="Q7" s="29">
        <v>-436750</v>
      </c>
      <c r="R7" s="27">
        <v>0</v>
      </c>
      <c r="S7" s="28">
        <v>0</v>
      </c>
      <c r="T7" s="29">
        <v>0</v>
      </c>
      <c r="U7" s="27">
        <v>381269</v>
      </c>
      <c r="V7" s="28">
        <v>1454742</v>
      </c>
      <c r="W7" s="29">
        <v>1962770</v>
      </c>
      <c r="X7" s="27">
        <v>440329</v>
      </c>
      <c r="Y7" s="28">
        <v>1217814</v>
      </c>
      <c r="Z7" s="29">
        <v>1529555</v>
      </c>
      <c r="AA7" s="27">
        <v>78302</v>
      </c>
      <c r="AB7" s="28">
        <v>180134</v>
      </c>
      <c r="AC7" s="29">
        <v>381719</v>
      </c>
      <c r="AD7" s="27">
        <v>137362</v>
      </c>
      <c r="AE7" s="28">
        <v>-56794</v>
      </c>
      <c r="AF7" s="29">
        <v>-51496</v>
      </c>
      <c r="AG7" s="27">
        <v>177.97000000000116</v>
      </c>
      <c r="AH7" s="28">
        <v>1564.859999999986</v>
      </c>
      <c r="AI7" s="29">
        <v>7732.2299999999814</v>
      </c>
      <c r="AJ7" s="27">
        <v>0</v>
      </c>
      <c r="AK7" s="28">
        <v>0</v>
      </c>
      <c r="AL7" s="29">
        <v>0</v>
      </c>
      <c r="AM7" s="27">
        <v>522472.79000000004</v>
      </c>
      <c r="AN7" s="28">
        <v>518235.99000000005</v>
      </c>
      <c r="AO7" s="29">
        <v>2286358.48</v>
      </c>
      <c r="AP7" s="27">
        <v>0</v>
      </c>
      <c r="AQ7" s="28">
        <v>0</v>
      </c>
      <c r="AR7" s="29">
        <v>0</v>
      </c>
      <c r="AS7" s="24">
        <v>5.399817218751009E-6</v>
      </c>
      <c r="AT7" s="25">
        <v>4.0971804085518395E-5</v>
      </c>
      <c r="AU7" s="26">
        <v>2.1861940692230412E-4</v>
      </c>
      <c r="AV7" s="24">
        <v>0</v>
      </c>
      <c r="AW7" s="25">
        <v>0</v>
      </c>
      <c r="AX7" s="26">
        <v>0</v>
      </c>
    </row>
    <row r="8" spans="1:50" x14ac:dyDescent="0.2">
      <c r="A8" s="22">
        <v>5106</v>
      </c>
      <c r="B8" s="23" t="s">
        <v>25</v>
      </c>
      <c r="C8" s="27">
        <v>0</v>
      </c>
      <c r="D8" s="28">
        <v>0</v>
      </c>
      <c r="E8" s="29">
        <v>0</v>
      </c>
      <c r="F8" s="27">
        <v>0</v>
      </c>
      <c r="G8" s="28">
        <v>501839</v>
      </c>
      <c r="H8" s="29">
        <v>1448294</v>
      </c>
      <c r="I8" s="27">
        <v>0</v>
      </c>
      <c r="J8" s="28">
        <v>1916860</v>
      </c>
      <c r="K8" s="29">
        <v>123230</v>
      </c>
      <c r="L8" s="27">
        <v>0</v>
      </c>
      <c r="M8" s="28">
        <v>0</v>
      </c>
      <c r="N8" s="29">
        <v>0</v>
      </c>
      <c r="O8" s="27">
        <v>0</v>
      </c>
      <c r="P8" s="28">
        <v>1415021</v>
      </c>
      <c r="Q8" s="29">
        <v>-1325064</v>
      </c>
      <c r="R8" s="27">
        <v>0</v>
      </c>
      <c r="S8" s="28">
        <v>0</v>
      </c>
      <c r="T8" s="29">
        <v>0</v>
      </c>
      <c r="U8" s="27">
        <v>291958</v>
      </c>
      <c r="V8" s="28">
        <v>1094625</v>
      </c>
      <c r="W8" s="29">
        <v>923832</v>
      </c>
      <c r="X8" s="27">
        <v>275456</v>
      </c>
      <c r="Y8" s="28">
        <v>1129572</v>
      </c>
      <c r="Z8" s="29">
        <v>843437</v>
      </c>
      <c r="AA8" s="27">
        <v>58208</v>
      </c>
      <c r="AB8" s="28">
        <v>13402</v>
      </c>
      <c r="AC8" s="29">
        <v>89609</v>
      </c>
      <c r="AD8" s="27">
        <v>41706</v>
      </c>
      <c r="AE8" s="28">
        <v>48349</v>
      </c>
      <c r="AF8" s="29">
        <v>9214</v>
      </c>
      <c r="AG8" s="27">
        <v>14992.909999999996</v>
      </c>
      <c r="AH8" s="28">
        <v>57472.749999999942</v>
      </c>
      <c r="AI8" s="29">
        <v>150101.44999999984</v>
      </c>
      <c r="AJ8" s="27">
        <v>0</v>
      </c>
      <c r="AK8" s="28">
        <v>0</v>
      </c>
      <c r="AL8" s="29">
        <v>0</v>
      </c>
      <c r="AM8" s="27">
        <v>294576.78000000003</v>
      </c>
      <c r="AN8" s="28">
        <v>4961425.29</v>
      </c>
      <c r="AO8" s="29">
        <v>3220402.42</v>
      </c>
      <c r="AP8" s="27">
        <v>14993</v>
      </c>
      <c r="AQ8" s="28">
        <v>47107</v>
      </c>
      <c r="AR8" s="29">
        <v>0</v>
      </c>
      <c r="AS8" s="24">
        <v>8.1536763767766133E-4</v>
      </c>
      <c r="AT8" s="25">
        <v>2.4873613509547379E-3</v>
      </c>
      <c r="AU8" s="26">
        <v>7.8618260493773344E-3</v>
      </c>
      <c r="AV8" s="24">
        <v>8.1537253219696377E-4</v>
      </c>
      <c r="AW8" s="25">
        <v>2.0387423806834536E-3</v>
      </c>
      <c r="AX8" s="26">
        <v>0</v>
      </c>
    </row>
    <row r="9" spans="1:50" x14ac:dyDescent="0.2">
      <c r="A9" s="22">
        <v>5107</v>
      </c>
      <c r="B9" s="23" t="s">
        <v>26</v>
      </c>
      <c r="C9" s="27">
        <v>0</v>
      </c>
      <c r="D9" s="28">
        <v>0</v>
      </c>
      <c r="E9" s="29">
        <v>0</v>
      </c>
      <c r="F9" s="27">
        <v>0</v>
      </c>
      <c r="G9" s="28">
        <v>0</v>
      </c>
      <c r="H9" s="29">
        <v>0</v>
      </c>
      <c r="I9" s="27">
        <v>0</v>
      </c>
      <c r="J9" s="28">
        <v>0</v>
      </c>
      <c r="K9" s="29">
        <v>0</v>
      </c>
      <c r="L9" s="27">
        <v>0</v>
      </c>
      <c r="M9" s="28">
        <v>0</v>
      </c>
      <c r="N9" s="29">
        <v>0</v>
      </c>
      <c r="O9" s="27">
        <v>0</v>
      </c>
      <c r="P9" s="28">
        <v>0</v>
      </c>
      <c r="Q9" s="29">
        <v>0</v>
      </c>
      <c r="R9" s="27">
        <v>0</v>
      </c>
      <c r="S9" s="28">
        <v>82</v>
      </c>
      <c r="T9" s="29">
        <v>0</v>
      </c>
      <c r="U9" s="27">
        <v>5923955</v>
      </c>
      <c r="V9" s="28">
        <v>11275931</v>
      </c>
      <c r="W9" s="29">
        <v>7221404</v>
      </c>
      <c r="X9" s="27">
        <v>4886044</v>
      </c>
      <c r="Y9" s="28">
        <v>19472643</v>
      </c>
      <c r="Z9" s="29">
        <v>6063513</v>
      </c>
      <c r="AA9" s="27">
        <v>633338</v>
      </c>
      <c r="AB9" s="28">
        <v>-9000767</v>
      </c>
      <c r="AC9" s="29">
        <v>1700946</v>
      </c>
      <c r="AD9" s="27">
        <v>-404573</v>
      </c>
      <c r="AE9" s="28">
        <v>-803973</v>
      </c>
      <c r="AF9" s="29">
        <v>543055</v>
      </c>
      <c r="AG9" s="27">
        <v>0</v>
      </c>
      <c r="AH9" s="28">
        <v>0</v>
      </c>
      <c r="AI9" s="29">
        <v>0</v>
      </c>
      <c r="AJ9" s="27">
        <v>186.29000000003725</v>
      </c>
      <c r="AK9" s="28">
        <v>186.29000000003725</v>
      </c>
      <c r="AL9" s="29">
        <v>0</v>
      </c>
      <c r="AM9" s="27">
        <v>7065565.8200000003</v>
      </c>
      <c r="AN9" s="28">
        <v>11699994.4</v>
      </c>
      <c r="AO9" s="29">
        <v>8089487.0199999996</v>
      </c>
      <c r="AP9" s="27">
        <v>0</v>
      </c>
      <c r="AQ9" s="28">
        <v>0</v>
      </c>
      <c r="AR9" s="29">
        <v>0</v>
      </c>
      <c r="AS9" s="24">
        <v>0</v>
      </c>
      <c r="AT9" s="25">
        <v>0</v>
      </c>
      <c r="AU9" s="26">
        <v>0</v>
      </c>
      <c r="AV9" s="24">
        <v>0</v>
      </c>
      <c r="AW9" s="25">
        <v>0</v>
      </c>
      <c r="AX9" s="26">
        <v>0</v>
      </c>
    </row>
    <row r="10" spans="1:50" x14ac:dyDescent="0.2">
      <c r="A10" s="22">
        <v>5108</v>
      </c>
      <c r="B10" s="23" t="s">
        <v>27</v>
      </c>
      <c r="C10" s="27">
        <v>0</v>
      </c>
      <c r="D10" s="28">
        <v>0</v>
      </c>
      <c r="E10" s="29">
        <v>0</v>
      </c>
      <c r="F10" s="27">
        <v>1848215</v>
      </c>
      <c r="G10" s="28">
        <v>2047295</v>
      </c>
      <c r="H10" s="29">
        <v>425619</v>
      </c>
      <c r="I10" s="27">
        <v>336377</v>
      </c>
      <c r="J10" s="28">
        <v>974175</v>
      </c>
      <c r="K10" s="29">
        <v>94983</v>
      </c>
      <c r="L10" s="27">
        <v>94931</v>
      </c>
      <c r="M10" s="28">
        <v>40891</v>
      </c>
      <c r="N10" s="29">
        <v>-10222</v>
      </c>
      <c r="O10" s="27">
        <v>-1416907</v>
      </c>
      <c r="P10" s="28">
        <v>-1032229</v>
      </c>
      <c r="Q10" s="29">
        <v>-340858</v>
      </c>
      <c r="R10" s="27">
        <v>0</v>
      </c>
      <c r="S10" s="28">
        <v>0</v>
      </c>
      <c r="T10" s="29">
        <v>0</v>
      </c>
      <c r="U10" s="27">
        <v>198588</v>
      </c>
      <c r="V10" s="28">
        <v>707715</v>
      </c>
      <c r="W10" s="29">
        <v>878433</v>
      </c>
      <c r="X10" s="27">
        <v>761635</v>
      </c>
      <c r="Y10" s="28">
        <v>1849574</v>
      </c>
      <c r="Z10" s="29">
        <v>284753</v>
      </c>
      <c r="AA10" s="27">
        <v>-578337</v>
      </c>
      <c r="AB10" s="28">
        <v>-530022</v>
      </c>
      <c r="AC10" s="29">
        <v>46</v>
      </c>
      <c r="AD10" s="27">
        <v>-15290</v>
      </c>
      <c r="AE10" s="28">
        <v>611837</v>
      </c>
      <c r="AF10" s="29">
        <v>-593634</v>
      </c>
      <c r="AG10" s="27">
        <v>0</v>
      </c>
      <c r="AH10" s="28">
        <v>0</v>
      </c>
      <c r="AI10" s="29">
        <v>94774.670000000042</v>
      </c>
      <c r="AJ10" s="27">
        <v>0</v>
      </c>
      <c r="AK10" s="28">
        <v>0</v>
      </c>
      <c r="AL10" s="29">
        <v>0</v>
      </c>
      <c r="AM10" s="27">
        <v>5175548.43</v>
      </c>
      <c r="AN10" s="28">
        <v>8279042.879999999</v>
      </c>
      <c r="AO10" s="29">
        <v>7583106.1500000004</v>
      </c>
      <c r="AP10" s="27">
        <v>0</v>
      </c>
      <c r="AQ10" s="28">
        <v>0</v>
      </c>
      <c r="AR10" s="29">
        <v>0</v>
      </c>
      <c r="AS10" s="24">
        <v>0</v>
      </c>
      <c r="AT10" s="25">
        <v>0</v>
      </c>
      <c r="AU10" s="26">
        <v>2.0728595783057347E-3</v>
      </c>
      <c r="AV10" s="24">
        <v>0</v>
      </c>
      <c r="AW10" s="25">
        <v>0</v>
      </c>
      <c r="AX10" s="26">
        <v>0</v>
      </c>
    </row>
    <row r="11" spans="1:50" x14ac:dyDescent="0.2">
      <c r="A11" s="22">
        <v>5109</v>
      </c>
      <c r="B11" s="23" t="s">
        <v>28</v>
      </c>
      <c r="C11" s="27">
        <v>869</v>
      </c>
      <c r="D11" s="28">
        <v>1190</v>
      </c>
      <c r="E11" s="29">
        <v>915</v>
      </c>
      <c r="F11" s="27">
        <v>199700</v>
      </c>
      <c r="G11" s="28">
        <v>401179</v>
      </c>
      <c r="H11" s="29">
        <v>473719</v>
      </c>
      <c r="I11" s="27">
        <v>217247</v>
      </c>
      <c r="J11" s="28">
        <v>455028</v>
      </c>
      <c r="K11" s="29">
        <v>28071</v>
      </c>
      <c r="L11" s="27">
        <v>17492</v>
      </c>
      <c r="M11" s="28">
        <v>-39063</v>
      </c>
      <c r="N11" s="29">
        <v>414719</v>
      </c>
      <c r="O11" s="27">
        <v>35908</v>
      </c>
      <c r="P11" s="28">
        <v>15976</v>
      </c>
      <c r="Q11" s="29">
        <v>-30014</v>
      </c>
      <c r="R11" s="27">
        <v>0</v>
      </c>
      <c r="S11" s="28">
        <v>0</v>
      </c>
      <c r="T11" s="29">
        <v>0</v>
      </c>
      <c r="U11" s="27">
        <v>701846</v>
      </c>
      <c r="V11" s="28">
        <v>4667357</v>
      </c>
      <c r="W11" s="29">
        <v>6535194</v>
      </c>
      <c r="X11" s="27">
        <v>1216426</v>
      </c>
      <c r="Y11" s="28">
        <v>4938853</v>
      </c>
      <c r="Z11" s="29">
        <v>6852075</v>
      </c>
      <c r="AA11" s="27">
        <v>-365514</v>
      </c>
      <c r="AB11" s="28">
        <v>-210043</v>
      </c>
      <c r="AC11" s="29">
        <v>433489</v>
      </c>
      <c r="AD11" s="27">
        <v>149066</v>
      </c>
      <c r="AE11" s="28">
        <v>61453</v>
      </c>
      <c r="AF11" s="29">
        <v>750370</v>
      </c>
      <c r="AG11" s="27">
        <v>0</v>
      </c>
      <c r="AH11" s="28">
        <v>1384037.3</v>
      </c>
      <c r="AI11" s="29">
        <v>2455151.0699999998</v>
      </c>
      <c r="AJ11" s="27">
        <v>0</v>
      </c>
      <c r="AK11" s="28">
        <v>0</v>
      </c>
      <c r="AL11" s="29">
        <v>0</v>
      </c>
      <c r="AM11" s="27">
        <v>7844114.4199999999</v>
      </c>
      <c r="AN11" s="28">
        <v>16827280.530000001</v>
      </c>
      <c r="AO11" s="29">
        <v>9971858.8000000007</v>
      </c>
      <c r="AP11" s="27">
        <v>0</v>
      </c>
      <c r="AQ11" s="28">
        <v>232122</v>
      </c>
      <c r="AR11" s="29">
        <v>1051761</v>
      </c>
      <c r="AS11" s="24">
        <v>0</v>
      </c>
      <c r="AT11" s="25">
        <v>1.8378418135961017E-2</v>
      </c>
      <c r="AU11" s="26">
        <v>2.9939839259662478E-2</v>
      </c>
      <c r="AV11" s="24">
        <v>0</v>
      </c>
      <c r="AW11" s="25">
        <v>3.0823122863491777E-3</v>
      </c>
      <c r="AX11" s="26">
        <v>0</v>
      </c>
    </row>
    <row r="12" spans="1:50" x14ac:dyDescent="0.2">
      <c r="A12" s="22">
        <v>5110</v>
      </c>
      <c r="B12" s="23" t="s">
        <v>29</v>
      </c>
      <c r="C12" s="27">
        <v>0</v>
      </c>
      <c r="D12" s="28">
        <v>0</v>
      </c>
      <c r="E12" s="29">
        <v>0</v>
      </c>
      <c r="F12" s="27">
        <v>0</v>
      </c>
      <c r="G12" s="28">
        <v>0</v>
      </c>
      <c r="H12" s="29">
        <v>24890</v>
      </c>
      <c r="I12" s="27">
        <v>0</v>
      </c>
      <c r="J12" s="28">
        <v>0</v>
      </c>
      <c r="K12" s="29">
        <v>970617</v>
      </c>
      <c r="L12" s="27">
        <v>0</v>
      </c>
      <c r="M12" s="28">
        <v>0</v>
      </c>
      <c r="N12" s="29">
        <v>0</v>
      </c>
      <c r="O12" s="27">
        <v>0</v>
      </c>
      <c r="P12" s="28">
        <v>0</v>
      </c>
      <c r="Q12" s="29">
        <v>945727</v>
      </c>
      <c r="R12" s="27">
        <v>0</v>
      </c>
      <c r="S12" s="28">
        <v>0</v>
      </c>
      <c r="T12" s="29">
        <v>0</v>
      </c>
      <c r="U12" s="27">
        <v>683347</v>
      </c>
      <c r="V12" s="28">
        <v>1823493</v>
      </c>
      <c r="W12" s="29">
        <v>1842787</v>
      </c>
      <c r="X12" s="27">
        <v>837635</v>
      </c>
      <c r="Y12" s="28">
        <v>1834300</v>
      </c>
      <c r="Z12" s="29">
        <v>1737422</v>
      </c>
      <c r="AA12" s="27">
        <v>120636</v>
      </c>
      <c r="AB12" s="28">
        <v>204236</v>
      </c>
      <c r="AC12" s="29">
        <v>7121</v>
      </c>
      <c r="AD12" s="27">
        <v>274924</v>
      </c>
      <c r="AE12" s="28">
        <v>215043</v>
      </c>
      <c r="AF12" s="29">
        <v>-98244</v>
      </c>
      <c r="AG12" s="27">
        <v>98391.189999999959</v>
      </c>
      <c r="AH12" s="28">
        <v>98391.189999999842</v>
      </c>
      <c r="AI12" s="29">
        <v>39930.86</v>
      </c>
      <c r="AJ12" s="27">
        <v>0</v>
      </c>
      <c r="AK12" s="28">
        <v>0</v>
      </c>
      <c r="AL12" s="29">
        <v>0</v>
      </c>
      <c r="AM12" s="27">
        <v>1455338.57</v>
      </c>
      <c r="AN12" s="28">
        <v>1416552.4000000001</v>
      </c>
      <c r="AO12" s="29">
        <v>972111.06999999983</v>
      </c>
      <c r="AP12" s="27">
        <v>0</v>
      </c>
      <c r="AQ12" s="28">
        <v>0</v>
      </c>
      <c r="AR12" s="29">
        <v>0</v>
      </c>
      <c r="AS12" s="24">
        <v>3.332396746652816E-3</v>
      </c>
      <c r="AT12" s="25">
        <v>3.061146970114054E-3</v>
      </c>
      <c r="AU12" s="26">
        <v>1.3688673543651461E-3</v>
      </c>
      <c r="AV12" s="24">
        <v>0</v>
      </c>
      <c r="AW12" s="25">
        <v>0</v>
      </c>
      <c r="AX12" s="26">
        <v>0</v>
      </c>
    </row>
    <row r="13" spans="1:50" x14ac:dyDescent="0.2">
      <c r="A13" s="22">
        <v>5111</v>
      </c>
      <c r="B13" s="23" t="s">
        <v>30</v>
      </c>
      <c r="C13" s="27">
        <v>0</v>
      </c>
      <c r="D13" s="28">
        <v>0</v>
      </c>
      <c r="E13" s="29">
        <v>0</v>
      </c>
      <c r="F13" s="27">
        <v>413076</v>
      </c>
      <c r="G13" s="28">
        <v>2282015</v>
      </c>
      <c r="H13" s="29">
        <v>248629</v>
      </c>
      <c r="I13" s="27">
        <v>16151</v>
      </c>
      <c r="J13" s="28">
        <v>519647</v>
      </c>
      <c r="K13" s="29">
        <v>13627</v>
      </c>
      <c r="L13" s="27">
        <v>0</v>
      </c>
      <c r="M13" s="28">
        <v>30663</v>
      </c>
      <c r="N13" s="29">
        <v>3748</v>
      </c>
      <c r="O13" s="27">
        <v>-396925</v>
      </c>
      <c r="P13" s="28">
        <v>-1731705</v>
      </c>
      <c r="Q13" s="29">
        <v>-231254</v>
      </c>
      <c r="R13" s="27">
        <v>0</v>
      </c>
      <c r="S13" s="28">
        <v>0</v>
      </c>
      <c r="T13" s="29">
        <v>0</v>
      </c>
      <c r="U13" s="27">
        <v>365198</v>
      </c>
      <c r="V13" s="28">
        <v>1612719</v>
      </c>
      <c r="W13" s="29">
        <v>1453133</v>
      </c>
      <c r="X13" s="27">
        <v>295953</v>
      </c>
      <c r="Y13" s="28">
        <v>1635543</v>
      </c>
      <c r="Z13" s="29">
        <v>1646071</v>
      </c>
      <c r="AA13" s="27">
        <v>94295</v>
      </c>
      <c r="AB13" s="28">
        <v>-41702</v>
      </c>
      <c r="AC13" s="29">
        <v>-78742</v>
      </c>
      <c r="AD13" s="27">
        <v>25050</v>
      </c>
      <c r="AE13" s="28">
        <v>-18878</v>
      </c>
      <c r="AF13" s="29">
        <v>114196</v>
      </c>
      <c r="AG13" s="27">
        <v>8348.3399999999965</v>
      </c>
      <c r="AH13" s="28">
        <v>253372.85000000033</v>
      </c>
      <c r="AI13" s="29">
        <v>228006.34000000003</v>
      </c>
      <c r="AJ13" s="27">
        <v>0</v>
      </c>
      <c r="AK13" s="28">
        <v>0</v>
      </c>
      <c r="AL13" s="29">
        <v>0</v>
      </c>
      <c r="AM13" s="27">
        <v>5129733.9499999993</v>
      </c>
      <c r="AN13" s="28">
        <v>8122933.2800000012</v>
      </c>
      <c r="AO13" s="29">
        <v>11690283.140000002</v>
      </c>
      <c r="AP13" s="27">
        <v>0</v>
      </c>
      <c r="AQ13" s="28">
        <v>0</v>
      </c>
      <c r="AR13" s="29">
        <v>0</v>
      </c>
      <c r="AS13" s="24">
        <v>3.5276546210139914E-4</v>
      </c>
      <c r="AT13" s="25">
        <v>7.2866296408316171E-3</v>
      </c>
      <c r="AU13" s="26">
        <v>8.7872149885370506E-3</v>
      </c>
      <c r="AV13" s="24">
        <v>0</v>
      </c>
      <c r="AW13" s="25">
        <v>0</v>
      </c>
      <c r="AX13" s="26">
        <v>0</v>
      </c>
    </row>
    <row r="14" spans="1:50" x14ac:dyDescent="0.2">
      <c r="A14" s="22">
        <v>5112</v>
      </c>
      <c r="B14" s="23" t="s">
        <v>31</v>
      </c>
      <c r="C14" s="27">
        <v>0</v>
      </c>
      <c r="D14" s="28">
        <v>0</v>
      </c>
      <c r="E14" s="29">
        <v>0</v>
      </c>
      <c r="F14" s="27">
        <v>0</v>
      </c>
      <c r="G14" s="28">
        <v>101314</v>
      </c>
      <c r="H14" s="29">
        <v>29736</v>
      </c>
      <c r="I14" s="27">
        <v>0</v>
      </c>
      <c r="J14" s="28">
        <v>102690</v>
      </c>
      <c r="K14" s="29">
        <v>0</v>
      </c>
      <c r="L14" s="27">
        <v>0</v>
      </c>
      <c r="M14" s="28">
        <v>-1376</v>
      </c>
      <c r="N14" s="29">
        <v>221112</v>
      </c>
      <c r="O14" s="27">
        <v>0</v>
      </c>
      <c r="P14" s="28">
        <v>0</v>
      </c>
      <c r="Q14" s="29">
        <v>191376</v>
      </c>
      <c r="R14" s="27">
        <v>0</v>
      </c>
      <c r="S14" s="28">
        <v>0</v>
      </c>
      <c r="T14" s="29">
        <v>0</v>
      </c>
      <c r="U14" s="27">
        <v>56911</v>
      </c>
      <c r="V14" s="28">
        <v>609126</v>
      </c>
      <c r="W14" s="29">
        <v>219709</v>
      </c>
      <c r="X14" s="27">
        <v>58203</v>
      </c>
      <c r="Y14" s="28">
        <v>181001</v>
      </c>
      <c r="Z14" s="29">
        <v>491537</v>
      </c>
      <c r="AA14" s="27">
        <v>11569</v>
      </c>
      <c r="AB14" s="28">
        <v>441894</v>
      </c>
      <c r="AC14" s="29">
        <v>111845</v>
      </c>
      <c r="AD14" s="27">
        <v>12861</v>
      </c>
      <c r="AE14" s="28">
        <v>13769</v>
      </c>
      <c r="AF14" s="29">
        <v>383673</v>
      </c>
      <c r="AG14" s="27">
        <v>20960.349999999999</v>
      </c>
      <c r="AH14" s="28">
        <v>29266.479999999974</v>
      </c>
      <c r="AI14" s="29">
        <v>56745.499999999993</v>
      </c>
      <c r="AJ14" s="27">
        <v>0</v>
      </c>
      <c r="AK14" s="28">
        <v>0</v>
      </c>
      <c r="AL14" s="29">
        <v>0</v>
      </c>
      <c r="AM14" s="27">
        <v>57540</v>
      </c>
      <c r="AN14" s="28">
        <v>887157.80999999994</v>
      </c>
      <c r="AO14" s="29">
        <v>760067.87000000011</v>
      </c>
      <c r="AP14" s="27">
        <v>17888</v>
      </c>
      <c r="AQ14" s="28">
        <v>17888</v>
      </c>
      <c r="AR14" s="29">
        <v>47665</v>
      </c>
      <c r="AS14" s="24">
        <v>9.6299310534178422E-4</v>
      </c>
      <c r="AT14" s="25">
        <v>1.6489636704317353E-3</v>
      </c>
      <c r="AU14" s="26">
        <v>2.6188099460828494E-3</v>
      </c>
      <c r="AV14" s="24">
        <v>8.2183840767705864E-4</v>
      </c>
      <c r="AW14" s="25">
        <v>1.0078650434450233E-3</v>
      </c>
      <c r="AX14" s="26">
        <v>2.1997440515994929E-3</v>
      </c>
    </row>
    <row r="15" spans="1:50" x14ac:dyDescent="0.2">
      <c r="A15" s="22">
        <v>5113</v>
      </c>
      <c r="B15" s="23" t="s">
        <v>32</v>
      </c>
      <c r="C15" s="27">
        <v>0</v>
      </c>
      <c r="D15" s="28">
        <v>0</v>
      </c>
      <c r="E15" s="29">
        <v>0</v>
      </c>
      <c r="F15" s="27">
        <v>0</v>
      </c>
      <c r="G15" s="28">
        <v>498113</v>
      </c>
      <c r="H15" s="29">
        <v>0</v>
      </c>
      <c r="I15" s="27">
        <v>0</v>
      </c>
      <c r="J15" s="28">
        <v>794571</v>
      </c>
      <c r="K15" s="29">
        <v>121725</v>
      </c>
      <c r="L15" s="27">
        <v>0</v>
      </c>
      <c r="M15" s="28">
        <v>-50000</v>
      </c>
      <c r="N15" s="29">
        <v>-271898</v>
      </c>
      <c r="O15" s="27">
        <v>0</v>
      </c>
      <c r="P15" s="28">
        <v>246458</v>
      </c>
      <c r="Q15" s="29">
        <v>-150173</v>
      </c>
      <c r="R15" s="27">
        <v>0</v>
      </c>
      <c r="S15" s="28">
        <v>0</v>
      </c>
      <c r="T15" s="29">
        <v>0</v>
      </c>
      <c r="U15" s="27">
        <v>733043</v>
      </c>
      <c r="V15" s="28">
        <v>1372460</v>
      </c>
      <c r="W15" s="29">
        <v>1576093</v>
      </c>
      <c r="X15" s="27">
        <v>739924</v>
      </c>
      <c r="Y15" s="28">
        <v>1427575</v>
      </c>
      <c r="Z15" s="29">
        <v>1697169</v>
      </c>
      <c r="AA15" s="27">
        <v>175</v>
      </c>
      <c r="AB15" s="28">
        <v>11621</v>
      </c>
      <c r="AC15" s="29">
        <v>22426</v>
      </c>
      <c r="AD15" s="27">
        <v>7056</v>
      </c>
      <c r="AE15" s="28">
        <v>66736</v>
      </c>
      <c r="AF15" s="29">
        <v>143502</v>
      </c>
      <c r="AG15" s="27">
        <v>1330.28</v>
      </c>
      <c r="AH15" s="28">
        <v>1330.28</v>
      </c>
      <c r="AI15" s="29">
        <v>1330.28</v>
      </c>
      <c r="AJ15" s="27">
        <v>0</v>
      </c>
      <c r="AK15" s="28">
        <v>0</v>
      </c>
      <c r="AL15" s="29">
        <v>0</v>
      </c>
      <c r="AM15" s="27">
        <v>0</v>
      </c>
      <c r="AN15" s="28">
        <v>202373.02000000005</v>
      </c>
      <c r="AO15" s="29">
        <v>202373.02000000002</v>
      </c>
      <c r="AP15" s="27">
        <v>0</v>
      </c>
      <c r="AQ15" s="28">
        <v>0</v>
      </c>
      <c r="AR15" s="29">
        <v>0</v>
      </c>
      <c r="AS15" s="24">
        <v>8.4619431694655064E-5</v>
      </c>
      <c r="AT15" s="25">
        <v>7.6522372589312007E-5</v>
      </c>
      <c r="AU15" s="26">
        <v>7.6956273740062871E-5</v>
      </c>
      <c r="AV15" s="24">
        <v>0</v>
      </c>
      <c r="AW15" s="25">
        <v>0</v>
      </c>
      <c r="AX15" s="26">
        <v>0</v>
      </c>
    </row>
    <row r="16" spans="1:50" x14ac:dyDescent="0.2">
      <c r="A16" s="22">
        <v>5114</v>
      </c>
      <c r="B16" s="23" t="s">
        <v>33</v>
      </c>
      <c r="C16" s="27">
        <v>0</v>
      </c>
      <c r="D16" s="28">
        <v>0</v>
      </c>
      <c r="E16" s="29">
        <v>0</v>
      </c>
      <c r="F16" s="27">
        <v>32228</v>
      </c>
      <c r="G16" s="28">
        <v>1506745</v>
      </c>
      <c r="H16" s="29">
        <v>591594</v>
      </c>
      <c r="I16" s="27">
        <v>32228</v>
      </c>
      <c r="J16" s="28">
        <v>1733583</v>
      </c>
      <c r="K16" s="29">
        <v>557023</v>
      </c>
      <c r="L16" s="27">
        <v>0</v>
      </c>
      <c r="M16" s="28">
        <v>0</v>
      </c>
      <c r="N16" s="29">
        <v>0</v>
      </c>
      <c r="O16" s="27">
        <v>0</v>
      </c>
      <c r="P16" s="28">
        <v>226838</v>
      </c>
      <c r="Q16" s="29">
        <v>-34571</v>
      </c>
      <c r="R16" s="27">
        <v>0</v>
      </c>
      <c r="S16" s="28">
        <v>0</v>
      </c>
      <c r="T16" s="29">
        <v>0</v>
      </c>
      <c r="U16" s="27">
        <v>679531</v>
      </c>
      <c r="V16" s="28">
        <v>2016056</v>
      </c>
      <c r="W16" s="29">
        <v>1594714</v>
      </c>
      <c r="X16" s="27">
        <v>722773</v>
      </c>
      <c r="Y16" s="28">
        <v>1907412</v>
      </c>
      <c r="Z16" s="29">
        <v>1590034</v>
      </c>
      <c r="AA16" s="27">
        <v>80100</v>
      </c>
      <c r="AB16" s="28">
        <v>0</v>
      </c>
      <c r="AC16" s="29">
        <v>0</v>
      </c>
      <c r="AD16" s="27">
        <v>123342</v>
      </c>
      <c r="AE16" s="28">
        <v>-108644</v>
      </c>
      <c r="AF16" s="29">
        <v>-4680</v>
      </c>
      <c r="AG16" s="27">
        <v>5500.4000000000233</v>
      </c>
      <c r="AH16" s="28">
        <v>59166.099999999977</v>
      </c>
      <c r="AI16" s="29">
        <v>247468.57999999996</v>
      </c>
      <c r="AJ16" s="27">
        <v>0</v>
      </c>
      <c r="AK16" s="28">
        <v>0</v>
      </c>
      <c r="AL16" s="29">
        <v>0</v>
      </c>
      <c r="AM16" s="27">
        <v>0</v>
      </c>
      <c r="AN16" s="28">
        <v>2574801.11</v>
      </c>
      <c r="AO16" s="29">
        <v>1610109.0699999998</v>
      </c>
      <c r="AP16" s="27">
        <v>0</v>
      </c>
      <c r="AQ16" s="28">
        <v>0</v>
      </c>
      <c r="AR16" s="29">
        <v>0</v>
      </c>
      <c r="AS16" s="24">
        <v>3.3809573129859726E-4</v>
      </c>
      <c r="AT16" s="25">
        <v>2.7989992575090565E-3</v>
      </c>
      <c r="AU16" s="26">
        <v>1.4510184217716748E-2</v>
      </c>
      <c r="AV16" s="24">
        <v>0</v>
      </c>
      <c r="AW16" s="25">
        <v>0</v>
      </c>
      <c r="AX16" s="26">
        <v>0</v>
      </c>
    </row>
    <row r="17" spans="1:50" x14ac:dyDescent="0.2">
      <c r="A17" s="22">
        <v>5201</v>
      </c>
      <c r="B17" s="23" t="s">
        <v>34</v>
      </c>
      <c r="C17" s="27">
        <v>7839</v>
      </c>
      <c r="D17" s="28">
        <v>16844</v>
      </c>
      <c r="E17" s="29">
        <v>7924</v>
      </c>
      <c r="F17" s="27">
        <v>526258</v>
      </c>
      <c r="G17" s="28">
        <v>803852</v>
      </c>
      <c r="H17" s="29">
        <v>145017</v>
      </c>
      <c r="I17" s="27">
        <v>205969</v>
      </c>
      <c r="J17" s="28">
        <v>468932</v>
      </c>
      <c r="K17" s="29">
        <v>153318</v>
      </c>
      <c r="L17" s="27">
        <v>7424</v>
      </c>
      <c r="M17" s="28">
        <v>9581</v>
      </c>
      <c r="N17" s="29">
        <v>-9581</v>
      </c>
      <c r="O17" s="27">
        <v>-305026</v>
      </c>
      <c r="P17" s="28">
        <v>-308495</v>
      </c>
      <c r="Q17" s="29">
        <v>6644</v>
      </c>
      <c r="R17" s="27">
        <v>0</v>
      </c>
      <c r="S17" s="28">
        <v>0</v>
      </c>
      <c r="T17" s="29">
        <v>5130</v>
      </c>
      <c r="U17" s="27">
        <v>393926</v>
      </c>
      <c r="V17" s="28">
        <v>1420324</v>
      </c>
      <c r="W17" s="29">
        <v>2060210</v>
      </c>
      <c r="X17" s="27">
        <v>280839</v>
      </c>
      <c r="Y17" s="28">
        <v>1301297</v>
      </c>
      <c r="Z17" s="29">
        <v>2038788</v>
      </c>
      <c r="AA17" s="27">
        <v>93548</v>
      </c>
      <c r="AB17" s="28">
        <v>97413</v>
      </c>
      <c r="AC17" s="29">
        <v>-3887</v>
      </c>
      <c r="AD17" s="27">
        <v>-19539</v>
      </c>
      <c r="AE17" s="28">
        <v>-21614</v>
      </c>
      <c r="AF17" s="29">
        <v>-20179</v>
      </c>
      <c r="AG17" s="27">
        <v>259395.99999999994</v>
      </c>
      <c r="AH17" s="28">
        <v>170657.16999999995</v>
      </c>
      <c r="AI17" s="29">
        <v>182854.39</v>
      </c>
      <c r="AJ17" s="27">
        <v>0</v>
      </c>
      <c r="AK17" s="28">
        <v>0</v>
      </c>
      <c r="AL17" s="29">
        <v>0</v>
      </c>
      <c r="AM17" s="27">
        <v>1575384.72</v>
      </c>
      <c r="AN17" s="28">
        <v>2338844.2999999998</v>
      </c>
      <c r="AO17" s="29">
        <v>2081380.5999999996</v>
      </c>
      <c r="AP17" s="27">
        <v>0</v>
      </c>
      <c r="AQ17" s="28">
        <v>0</v>
      </c>
      <c r="AR17" s="29">
        <v>897820</v>
      </c>
      <c r="AS17" s="24">
        <v>5.091049545664905E-3</v>
      </c>
      <c r="AT17" s="25">
        <v>3.2254488543739927E-3</v>
      </c>
      <c r="AU17" s="26">
        <v>3.1948497776990059E-3</v>
      </c>
      <c r="AV17" s="24">
        <v>0</v>
      </c>
      <c r="AW17" s="25">
        <v>0</v>
      </c>
      <c r="AX17" s="26">
        <v>1.5686798809772744E-2</v>
      </c>
    </row>
    <row r="18" spans="1:50" x14ac:dyDescent="0.2">
      <c r="A18" s="22">
        <v>5202</v>
      </c>
      <c r="B18" s="23" t="s">
        <v>35</v>
      </c>
      <c r="C18" s="27">
        <v>-19</v>
      </c>
      <c r="D18" s="28">
        <v>-17</v>
      </c>
      <c r="E18" s="29">
        <v>0</v>
      </c>
      <c r="F18" s="27">
        <v>0</v>
      </c>
      <c r="G18" s="28">
        <v>0</v>
      </c>
      <c r="H18" s="29">
        <v>0</v>
      </c>
      <c r="I18" s="27">
        <v>1630272</v>
      </c>
      <c r="J18" s="28">
        <v>3008207</v>
      </c>
      <c r="K18" s="29">
        <v>0</v>
      </c>
      <c r="L18" s="27">
        <v>-1631441</v>
      </c>
      <c r="M18" s="28">
        <v>-3009376</v>
      </c>
      <c r="N18" s="29">
        <v>0</v>
      </c>
      <c r="O18" s="27">
        <v>-1188</v>
      </c>
      <c r="P18" s="28">
        <v>-1186</v>
      </c>
      <c r="Q18" s="29">
        <v>0</v>
      </c>
      <c r="R18" s="27">
        <v>-2</v>
      </c>
      <c r="S18" s="28">
        <v>1818</v>
      </c>
      <c r="T18" s="29">
        <v>160619</v>
      </c>
      <c r="U18" s="27">
        <v>6326555</v>
      </c>
      <c r="V18" s="28">
        <v>19089907</v>
      </c>
      <c r="W18" s="29">
        <v>16775808</v>
      </c>
      <c r="X18" s="27">
        <v>14040684</v>
      </c>
      <c r="Y18" s="28">
        <v>34846532</v>
      </c>
      <c r="Z18" s="29">
        <v>18070222</v>
      </c>
      <c r="AA18" s="27">
        <v>-7648873</v>
      </c>
      <c r="AB18" s="28">
        <v>-14470943</v>
      </c>
      <c r="AC18" s="29">
        <v>2905997</v>
      </c>
      <c r="AD18" s="27">
        <v>65254</v>
      </c>
      <c r="AE18" s="28">
        <v>1287500</v>
      </c>
      <c r="AF18" s="29">
        <v>4361030</v>
      </c>
      <c r="AG18" s="27">
        <v>317444.47000000044</v>
      </c>
      <c r="AH18" s="28">
        <v>133868.69000000041</v>
      </c>
      <c r="AI18" s="29">
        <v>1992363.6799999992</v>
      </c>
      <c r="AJ18" s="27">
        <v>0</v>
      </c>
      <c r="AK18" s="28">
        <v>0</v>
      </c>
      <c r="AL18" s="29">
        <v>0</v>
      </c>
      <c r="AM18" s="27">
        <v>15051728.900000002</v>
      </c>
      <c r="AN18" s="28">
        <v>24844378.150000002</v>
      </c>
      <c r="AO18" s="29">
        <v>101556855.46000001</v>
      </c>
      <c r="AP18" s="27">
        <v>0</v>
      </c>
      <c r="AQ18" s="28">
        <v>0</v>
      </c>
      <c r="AR18" s="29">
        <v>0</v>
      </c>
      <c r="AS18" s="24">
        <v>6.6688626293515704E-4</v>
      </c>
      <c r="AT18" s="25">
        <v>2.6022893216529194E-4</v>
      </c>
      <c r="AU18" s="26">
        <v>3.6419963868046436E-3</v>
      </c>
      <c r="AV18" s="24">
        <v>0</v>
      </c>
      <c r="AW18" s="25">
        <v>0</v>
      </c>
      <c r="AX18" s="26">
        <v>0</v>
      </c>
    </row>
    <row r="19" spans="1:50" x14ac:dyDescent="0.2">
      <c r="A19" s="22">
        <v>5203</v>
      </c>
      <c r="B19" s="23" t="s">
        <v>36</v>
      </c>
      <c r="C19" s="27">
        <v>0</v>
      </c>
      <c r="D19" s="28">
        <v>0</v>
      </c>
      <c r="E19" s="29">
        <v>0</v>
      </c>
      <c r="F19" s="27">
        <v>2359562</v>
      </c>
      <c r="G19" s="28">
        <v>2359561</v>
      </c>
      <c r="H19" s="29">
        <v>26074</v>
      </c>
      <c r="I19" s="27">
        <v>2519278</v>
      </c>
      <c r="J19" s="28">
        <v>2620287</v>
      </c>
      <c r="K19" s="29">
        <v>0</v>
      </c>
      <c r="L19" s="27">
        <v>-274883</v>
      </c>
      <c r="M19" s="28">
        <v>-375892</v>
      </c>
      <c r="N19" s="29">
        <v>0</v>
      </c>
      <c r="O19" s="27">
        <v>-115167</v>
      </c>
      <c r="P19" s="28">
        <v>-115166</v>
      </c>
      <c r="Q19" s="29">
        <v>-26074</v>
      </c>
      <c r="R19" s="27">
        <v>0</v>
      </c>
      <c r="S19" s="28">
        <v>0</v>
      </c>
      <c r="T19" s="29">
        <v>0</v>
      </c>
      <c r="U19" s="27">
        <v>205572</v>
      </c>
      <c r="V19" s="28">
        <v>892806</v>
      </c>
      <c r="W19" s="29">
        <v>480489</v>
      </c>
      <c r="X19" s="27">
        <v>138001</v>
      </c>
      <c r="Y19" s="28">
        <v>867276</v>
      </c>
      <c r="Z19" s="29">
        <v>434248</v>
      </c>
      <c r="AA19" s="27">
        <v>0</v>
      </c>
      <c r="AB19" s="28">
        <v>-63000</v>
      </c>
      <c r="AC19" s="29">
        <v>190000</v>
      </c>
      <c r="AD19" s="27">
        <v>-67571</v>
      </c>
      <c r="AE19" s="28">
        <v>-88530</v>
      </c>
      <c r="AF19" s="29">
        <v>143759</v>
      </c>
      <c r="AG19" s="27">
        <v>8870.7599999995364</v>
      </c>
      <c r="AH19" s="28">
        <v>263974.52999999974</v>
      </c>
      <c r="AI19" s="29">
        <v>1735371.3099999998</v>
      </c>
      <c r="AJ19" s="27">
        <v>0</v>
      </c>
      <c r="AK19" s="28">
        <v>0</v>
      </c>
      <c r="AL19" s="29">
        <v>0</v>
      </c>
      <c r="AM19" s="27">
        <v>1762213.9</v>
      </c>
      <c r="AN19" s="28">
        <v>2105215.1800000002</v>
      </c>
      <c r="AO19" s="29">
        <v>1060165.1300000001</v>
      </c>
      <c r="AP19" s="27">
        <v>0</v>
      </c>
      <c r="AQ19" s="28">
        <v>0</v>
      </c>
      <c r="AR19" s="29">
        <v>0</v>
      </c>
      <c r="AS19" s="24">
        <v>4.0770420473397034E-4</v>
      </c>
      <c r="AT19" s="25">
        <v>9.1637751703550398E-3</v>
      </c>
      <c r="AU19" s="26">
        <v>6.6659180541005378E-2</v>
      </c>
      <c r="AV19" s="24">
        <v>0</v>
      </c>
      <c r="AW19" s="25">
        <v>0</v>
      </c>
      <c r="AX19" s="26">
        <v>0</v>
      </c>
    </row>
    <row r="20" spans="1:50" x14ac:dyDescent="0.2">
      <c r="A20" s="22">
        <v>5204</v>
      </c>
      <c r="B20" s="23" t="s">
        <v>37</v>
      </c>
      <c r="C20" s="27">
        <v>0</v>
      </c>
      <c r="D20" s="28">
        <v>0</v>
      </c>
      <c r="E20" s="29">
        <v>0</v>
      </c>
      <c r="F20" s="27">
        <v>0</v>
      </c>
      <c r="G20" s="28">
        <v>0</v>
      </c>
      <c r="H20" s="29">
        <v>0</v>
      </c>
      <c r="I20" s="27">
        <v>0</v>
      </c>
      <c r="J20" s="28">
        <v>0</v>
      </c>
      <c r="K20" s="29">
        <v>0</v>
      </c>
      <c r="L20" s="27">
        <v>0</v>
      </c>
      <c r="M20" s="28">
        <v>0</v>
      </c>
      <c r="N20" s="29">
        <v>0</v>
      </c>
      <c r="O20" s="27">
        <v>0</v>
      </c>
      <c r="P20" s="28">
        <v>0</v>
      </c>
      <c r="Q20" s="29">
        <v>0</v>
      </c>
      <c r="R20" s="27">
        <v>0</v>
      </c>
      <c r="S20" s="28">
        <v>0</v>
      </c>
      <c r="T20" s="29">
        <v>0</v>
      </c>
      <c r="U20" s="27">
        <v>562470</v>
      </c>
      <c r="V20" s="28">
        <v>2646291</v>
      </c>
      <c r="W20" s="29">
        <v>3900311</v>
      </c>
      <c r="X20" s="27">
        <v>347559</v>
      </c>
      <c r="Y20" s="28">
        <v>2847367</v>
      </c>
      <c r="Z20" s="29">
        <v>3987139</v>
      </c>
      <c r="AA20" s="27">
        <v>273884</v>
      </c>
      <c r="AB20" s="28">
        <v>-166450</v>
      </c>
      <c r="AC20" s="29">
        <v>58113</v>
      </c>
      <c r="AD20" s="27">
        <v>58973</v>
      </c>
      <c r="AE20" s="28">
        <v>34626</v>
      </c>
      <c r="AF20" s="29">
        <v>144941</v>
      </c>
      <c r="AG20" s="27">
        <v>5780.43</v>
      </c>
      <c r="AH20" s="28">
        <v>2798970.46</v>
      </c>
      <c r="AI20" s="29">
        <v>1588536.78</v>
      </c>
      <c r="AJ20" s="27">
        <v>0</v>
      </c>
      <c r="AK20" s="28">
        <v>0</v>
      </c>
      <c r="AL20" s="29">
        <v>0</v>
      </c>
      <c r="AM20" s="27">
        <v>3736154.2699999996</v>
      </c>
      <c r="AN20" s="28">
        <v>2356780.4299999997</v>
      </c>
      <c r="AO20" s="29">
        <v>6781534.9000000004</v>
      </c>
      <c r="AP20" s="27">
        <v>0</v>
      </c>
      <c r="AQ20" s="28">
        <v>0</v>
      </c>
      <c r="AR20" s="29">
        <v>0</v>
      </c>
      <c r="AS20" s="24">
        <v>1.0496956699188772E-4</v>
      </c>
      <c r="AT20" s="25">
        <v>5.863404936758352E-2</v>
      </c>
      <c r="AU20" s="26">
        <v>2.6455328376966961E-2</v>
      </c>
      <c r="AV20" s="24">
        <v>0</v>
      </c>
      <c r="AW20" s="25">
        <v>0</v>
      </c>
      <c r="AX20" s="26">
        <v>0</v>
      </c>
    </row>
    <row r="21" spans="1:50" x14ac:dyDescent="0.2">
      <c r="A21" s="22">
        <v>5205</v>
      </c>
      <c r="B21" s="23" t="s">
        <v>38</v>
      </c>
      <c r="C21" s="27">
        <v>0</v>
      </c>
      <c r="D21" s="28">
        <v>0</v>
      </c>
      <c r="E21" s="29">
        <v>0</v>
      </c>
      <c r="F21" s="27">
        <v>0</v>
      </c>
      <c r="G21" s="28">
        <v>546928</v>
      </c>
      <c r="H21" s="29">
        <v>0</v>
      </c>
      <c r="I21" s="27">
        <v>0</v>
      </c>
      <c r="J21" s="28">
        <v>1365919</v>
      </c>
      <c r="K21" s="29">
        <v>0</v>
      </c>
      <c r="L21" s="27">
        <v>0</v>
      </c>
      <c r="M21" s="28">
        <v>0</v>
      </c>
      <c r="N21" s="29">
        <v>0</v>
      </c>
      <c r="O21" s="27">
        <v>0</v>
      </c>
      <c r="P21" s="28">
        <v>818991</v>
      </c>
      <c r="Q21" s="29">
        <v>0</v>
      </c>
      <c r="R21" s="27">
        <v>5004</v>
      </c>
      <c r="S21" s="28">
        <v>5004</v>
      </c>
      <c r="T21" s="29">
        <v>0</v>
      </c>
      <c r="U21" s="27">
        <v>76917</v>
      </c>
      <c r="V21" s="28">
        <v>1725289</v>
      </c>
      <c r="W21" s="29">
        <v>982076</v>
      </c>
      <c r="X21" s="27">
        <v>103477</v>
      </c>
      <c r="Y21" s="28">
        <v>1764384</v>
      </c>
      <c r="Z21" s="29">
        <v>1019654</v>
      </c>
      <c r="AA21" s="27">
        <v>-30400</v>
      </c>
      <c r="AB21" s="28">
        <v>-46974</v>
      </c>
      <c r="AC21" s="29">
        <v>-21157</v>
      </c>
      <c r="AD21" s="27">
        <v>1164</v>
      </c>
      <c r="AE21" s="28">
        <v>-2875</v>
      </c>
      <c r="AF21" s="29">
        <v>16421</v>
      </c>
      <c r="AG21" s="27">
        <v>0.73999999999068677</v>
      </c>
      <c r="AH21" s="28">
        <v>0</v>
      </c>
      <c r="AI21" s="29">
        <v>0</v>
      </c>
      <c r="AJ21" s="27">
        <v>0</v>
      </c>
      <c r="AK21" s="28">
        <v>0</v>
      </c>
      <c r="AL21" s="29">
        <v>0</v>
      </c>
      <c r="AM21" s="27">
        <v>324</v>
      </c>
      <c r="AN21" s="28">
        <v>861539.54999999981</v>
      </c>
      <c r="AO21" s="29">
        <v>4384139.95</v>
      </c>
      <c r="AP21" s="27">
        <v>0</v>
      </c>
      <c r="AQ21" s="28">
        <v>0</v>
      </c>
      <c r="AR21" s="29">
        <v>0</v>
      </c>
      <c r="AS21" s="24">
        <v>7.8860067072691584E-8</v>
      </c>
      <c r="AT21" s="25">
        <v>0</v>
      </c>
      <c r="AU21" s="26">
        <v>0</v>
      </c>
      <c r="AV21" s="24">
        <v>0</v>
      </c>
      <c r="AW21" s="25">
        <v>0</v>
      </c>
      <c r="AX21" s="26">
        <v>0</v>
      </c>
    </row>
    <row r="22" spans="1:50" x14ac:dyDescent="0.2">
      <c r="A22" s="22">
        <v>5206</v>
      </c>
      <c r="B22" s="23" t="s">
        <v>39</v>
      </c>
      <c r="C22" s="27">
        <v>0</v>
      </c>
      <c r="D22" s="28">
        <v>0</v>
      </c>
      <c r="E22" s="29">
        <v>0</v>
      </c>
      <c r="F22" s="27">
        <v>383691</v>
      </c>
      <c r="G22" s="28">
        <v>412184</v>
      </c>
      <c r="H22" s="29">
        <v>135848</v>
      </c>
      <c r="I22" s="27">
        <v>705849</v>
      </c>
      <c r="J22" s="28">
        <v>984298</v>
      </c>
      <c r="K22" s="29">
        <v>1619070</v>
      </c>
      <c r="L22" s="27">
        <v>-127856</v>
      </c>
      <c r="M22" s="28">
        <v>-572114</v>
      </c>
      <c r="N22" s="29">
        <v>-1097797</v>
      </c>
      <c r="O22" s="27">
        <v>194302</v>
      </c>
      <c r="P22" s="28">
        <v>0</v>
      </c>
      <c r="Q22" s="29">
        <v>385425</v>
      </c>
      <c r="R22" s="27">
        <v>0</v>
      </c>
      <c r="S22" s="28">
        <v>0</v>
      </c>
      <c r="T22" s="29">
        <v>0</v>
      </c>
      <c r="U22" s="27">
        <v>675714</v>
      </c>
      <c r="V22" s="28">
        <v>1836832</v>
      </c>
      <c r="W22" s="29">
        <v>844120</v>
      </c>
      <c r="X22" s="27">
        <v>925885</v>
      </c>
      <c r="Y22" s="28">
        <v>2275761</v>
      </c>
      <c r="Z22" s="29">
        <v>666458</v>
      </c>
      <c r="AA22" s="27">
        <v>-2561</v>
      </c>
      <c r="AB22" s="28">
        <v>18025</v>
      </c>
      <c r="AC22" s="29">
        <v>54150</v>
      </c>
      <c r="AD22" s="27">
        <v>247610</v>
      </c>
      <c r="AE22" s="28">
        <v>456954</v>
      </c>
      <c r="AF22" s="29">
        <v>-123512</v>
      </c>
      <c r="AG22" s="27">
        <v>206.96000000002095</v>
      </c>
      <c r="AH22" s="28">
        <v>545.70000000006985</v>
      </c>
      <c r="AI22" s="29">
        <v>30107.140000000014</v>
      </c>
      <c r="AJ22" s="27">
        <v>0</v>
      </c>
      <c r="AK22" s="28">
        <v>0</v>
      </c>
      <c r="AL22" s="29">
        <v>0</v>
      </c>
      <c r="AM22" s="27">
        <v>336579.16000000003</v>
      </c>
      <c r="AN22" s="28">
        <v>578416.55000000005</v>
      </c>
      <c r="AO22" s="29">
        <v>6364997.5499999998</v>
      </c>
      <c r="AP22" s="27">
        <v>0</v>
      </c>
      <c r="AQ22" s="28">
        <v>0</v>
      </c>
      <c r="AR22" s="29">
        <v>0</v>
      </c>
      <c r="AS22" s="24">
        <v>1.89536749051889E-6</v>
      </c>
      <c r="AT22" s="25">
        <v>4.9887698740251943E-6</v>
      </c>
      <c r="AU22" s="26">
        <v>2.2965340689286857E-4</v>
      </c>
      <c r="AV22" s="24">
        <v>0</v>
      </c>
      <c r="AW22" s="25">
        <v>0</v>
      </c>
      <c r="AX22" s="26">
        <v>0</v>
      </c>
    </row>
    <row r="23" spans="1:50" x14ac:dyDescent="0.2">
      <c r="A23" s="22">
        <v>5207</v>
      </c>
      <c r="B23" s="23" t="s">
        <v>40</v>
      </c>
      <c r="C23" s="27">
        <v>0</v>
      </c>
      <c r="D23" s="28">
        <v>0</v>
      </c>
      <c r="E23" s="29">
        <v>0</v>
      </c>
      <c r="F23" s="27">
        <v>682332</v>
      </c>
      <c r="G23" s="28">
        <v>2322307</v>
      </c>
      <c r="H23" s="29">
        <v>136605</v>
      </c>
      <c r="I23" s="27">
        <v>1516940</v>
      </c>
      <c r="J23" s="28">
        <v>3351015</v>
      </c>
      <c r="K23" s="29">
        <v>683625</v>
      </c>
      <c r="L23" s="27">
        <v>-1027253</v>
      </c>
      <c r="M23" s="28">
        <v>-1199072</v>
      </c>
      <c r="N23" s="29">
        <v>5040</v>
      </c>
      <c r="O23" s="27">
        <v>-192645</v>
      </c>
      <c r="P23" s="28">
        <v>-170364</v>
      </c>
      <c r="Q23" s="29">
        <v>552060</v>
      </c>
      <c r="R23" s="27">
        <v>0</v>
      </c>
      <c r="S23" s="28">
        <v>0</v>
      </c>
      <c r="T23" s="29">
        <v>0</v>
      </c>
      <c r="U23" s="27">
        <v>386629</v>
      </c>
      <c r="V23" s="28">
        <v>1041821</v>
      </c>
      <c r="W23" s="29">
        <v>778256</v>
      </c>
      <c r="X23" s="27">
        <v>177227</v>
      </c>
      <c r="Y23" s="28">
        <v>1119577</v>
      </c>
      <c r="Z23" s="29">
        <v>803836</v>
      </c>
      <c r="AA23" s="27">
        <v>188704</v>
      </c>
      <c r="AB23" s="28">
        <v>-15652</v>
      </c>
      <c r="AC23" s="29">
        <v>90950</v>
      </c>
      <c r="AD23" s="27">
        <v>-20698</v>
      </c>
      <c r="AE23" s="28">
        <v>62104</v>
      </c>
      <c r="AF23" s="29">
        <v>116530</v>
      </c>
      <c r="AG23" s="27">
        <v>4181.2400000000634</v>
      </c>
      <c r="AH23" s="28">
        <v>84165.330000000016</v>
      </c>
      <c r="AI23" s="29">
        <v>1645992.9200000002</v>
      </c>
      <c r="AJ23" s="27">
        <v>0</v>
      </c>
      <c r="AK23" s="28">
        <v>0</v>
      </c>
      <c r="AL23" s="29">
        <v>0</v>
      </c>
      <c r="AM23" s="27">
        <v>3593273.98</v>
      </c>
      <c r="AN23" s="28">
        <v>3010935.1399999997</v>
      </c>
      <c r="AO23" s="29">
        <v>4514767.74</v>
      </c>
      <c r="AP23" s="27">
        <v>0</v>
      </c>
      <c r="AQ23" s="28">
        <v>0</v>
      </c>
      <c r="AR23" s="29">
        <v>0</v>
      </c>
      <c r="AS23" s="24">
        <v>6.3257524376653584E-5</v>
      </c>
      <c r="AT23" s="25">
        <v>1.2413483345459658E-3</v>
      </c>
      <c r="AU23" s="26">
        <v>2.6507480029160934E-2</v>
      </c>
      <c r="AV23" s="24">
        <v>0</v>
      </c>
      <c r="AW23" s="25">
        <v>0</v>
      </c>
      <c r="AX23" s="26">
        <v>0</v>
      </c>
    </row>
    <row r="24" spans="1:50" x14ac:dyDescent="0.2">
      <c r="A24" s="22">
        <v>5208</v>
      </c>
      <c r="B24" s="23" t="s">
        <v>41</v>
      </c>
      <c r="C24" s="27">
        <v>0</v>
      </c>
      <c r="D24" s="28">
        <v>0</v>
      </c>
      <c r="E24" s="29">
        <v>0</v>
      </c>
      <c r="F24" s="27">
        <v>0</v>
      </c>
      <c r="G24" s="28">
        <v>0</v>
      </c>
      <c r="H24" s="29">
        <v>1118087</v>
      </c>
      <c r="I24" s="27">
        <v>0</v>
      </c>
      <c r="J24" s="28">
        <v>0</v>
      </c>
      <c r="K24" s="29">
        <v>1153670</v>
      </c>
      <c r="L24" s="27">
        <v>0</v>
      </c>
      <c r="M24" s="28">
        <v>0</v>
      </c>
      <c r="N24" s="29">
        <v>0</v>
      </c>
      <c r="O24" s="27">
        <v>0</v>
      </c>
      <c r="P24" s="28">
        <v>0</v>
      </c>
      <c r="Q24" s="29">
        <v>35583</v>
      </c>
      <c r="R24" s="27">
        <v>0</v>
      </c>
      <c r="S24" s="28">
        <v>0</v>
      </c>
      <c r="T24" s="29">
        <v>0</v>
      </c>
      <c r="U24" s="27">
        <v>30847</v>
      </c>
      <c r="V24" s="28">
        <v>257409</v>
      </c>
      <c r="W24" s="29">
        <v>259365</v>
      </c>
      <c r="X24" s="27">
        <v>20827</v>
      </c>
      <c r="Y24" s="28">
        <v>258814</v>
      </c>
      <c r="Z24" s="29">
        <v>254599</v>
      </c>
      <c r="AA24" s="27">
        <v>23737</v>
      </c>
      <c r="AB24" s="28">
        <v>2784</v>
      </c>
      <c r="AC24" s="29">
        <v>13465</v>
      </c>
      <c r="AD24" s="27">
        <v>13717</v>
      </c>
      <c r="AE24" s="28">
        <v>4189</v>
      </c>
      <c r="AF24" s="29">
        <v>8699</v>
      </c>
      <c r="AG24" s="27">
        <v>0</v>
      </c>
      <c r="AH24" s="28">
        <v>0</v>
      </c>
      <c r="AI24" s="29">
        <v>17566.989999999991</v>
      </c>
      <c r="AJ24" s="27">
        <v>0</v>
      </c>
      <c r="AK24" s="28">
        <v>0</v>
      </c>
      <c r="AL24" s="29">
        <v>0</v>
      </c>
      <c r="AM24" s="27">
        <v>22680</v>
      </c>
      <c r="AN24" s="28">
        <v>2435033.0699999998</v>
      </c>
      <c r="AO24" s="29">
        <v>1336476.23</v>
      </c>
      <c r="AP24" s="27">
        <v>0</v>
      </c>
      <c r="AQ24" s="28">
        <v>0</v>
      </c>
      <c r="AR24" s="29">
        <v>0</v>
      </c>
      <c r="AS24" s="24">
        <v>0</v>
      </c>
      <c r="AT24" s="25">
        <v>0</v>
      </c>
      <c r="AU24" s="26">
        <v>5.0278937065972894E-4</v>
      </c>
      <c r="AV24" s="24">
        <v>0</v>
      </c>
      <c r="AW24" s="25">
        <v>0</v>
      </c>
      <c r="AX24" s="26">
        <v>0</v>
      </c>
    </row>
    <row r="25" spans="1:50" x14ac:dyDescent="0.2">
      <c r="A25" s="22">
        <v>5209</v>
      </c>
      <c r="B25" s="23" t="s">
        <v>42</v>
      </c>
      <c r="C25" s="27">
        <v>0</v>
      </c>
      <c r="D25" s="28">
        <v>0</v>
      </c>
      <c r="E25" s="29">
        <v>0</v>
      </c>
      <c r="F25" s="27">
        <v>0</v>
      </c>
      <c r="G25" s="28">
        <v>0</v>
      </c>
      <c r="H25" s="29">
        <v>0</v>
      </c>
      <c r="I25" s="27">
        <v>0</v>
      </c>
      <c r="J25" s="28">
        <v>0</v>
      </c>
      <c r="K25" s="29">
        <v>0</v>
      </c>
      <c r="L25" s="27">
        <v>0</v>
      </c>
      <c r="M25" s="28">
        <v>0</v>
      </c>
      <c r="N25" s="29">
        <v>0</v>
      </c>
      <c r="O25" s="27">
        <v>0</v>
      </c>
      <c r="P25" s="28">
        <v>0</v>
      </c>
      <c r="Q25" s="29">
        <v>0</v>
      </c>
      <c r="R25" s="27">
        <v>0</v>
      </c>
      <c r="S25" s="28">
        <v>0</v>
      </c>
      <c r="T25" s="29">
        <v>0</v>
      </c>
      <c r="U25" s="27">
        <v>1445132</v>
      </c>
      <c r="V25" s="28">
        <v>3398241</v>
      </c>
      <c r="W25" s="29">
        <v>3803859</v>
      </c>
      <c r="X25" s="27">
        <v>979235</v>
      </c>
      <c r="Y25" s="28">
        <v>2810488</v>
      </c>
      <c r="Z25" s="29">
        <v>4659352</v>
      </c>
      <c r="AA25" s="27">
        <v>76000</v>
      </c>
      <c r="AB25" s="28">
        <v>253023</v>
      </c>
      <c r="AC25" s="29">
        <v>250</v>
      </c>
      <c r="AD25" s="27">
        <v>-389897</v>
      </c>
      <c r="AE25" s="28">
        <v>-334730</v>
      </c>
      <c r="AF25" s="29">
        <v>855743</v>
      </c>
      <c r="AG25" s="27">
        <v>140469.10000000009</v>
      </c>
      <c r="AH25" s="28">
        <v>316368.3899999999</v>
      </c>
      <c r="AI25" s="29">
        <v>163189.67999999982</v>
      </c>
      <c r="AJ25" s="27">
        <v>0</v>
      </c>
      <c r="AK25" s="28">
        <v>0</v>
      </c>
      <c r="AL25" s="29">
        <v>0</v>
      </c>
      <c r="AM25" s="27">
        <v>3934372.31</v>
      </c>
      <c r="AN25" s="28">
        <v>3138351.5500000003</v>
      </c>
      <c r="AO25" s="29">
        <v>7605986.9500000002</v>
      </c>
      <c r="AP25" s="27">
        <v>0</v>
      </c>
      <c r="AQ25" s="28">
        <v>0</v>
      </c>
      <c r="AR25" s="29">
        <v>0</v>
      </c>
      <c r="AS25" s="24">
        <v>2.8781482137602327E-3</v>
      </c>
      <c r="AT25" s="25">
        <v>6.8858495887034995E-3</v>
      </c>
      <c r="AU25" s="26">
        <v>3.3408160471507355E-3</v>
      </c>
      <c r="AV25" s="24">
        <v>0</v>
      </c>
      <c r="AW25" s="25">
        <v>0</v>
      </c>
      <c r="AX25" s="26">
        <v>0</v>
      </c>
    </row>
    <row r="26" spans="1:50" x14ac:dyDescent="0.2">
      <c r="A26" s="22">
        <v>5210</v>
      </c>
      <c r="B26" s="23" t="s">
        <v>43</v>
      </c>
      <c r="C26" s="27">
        <v>0</v>
      </c>
      <c r="D26" s="28">
        <v>0</v>
      </c>
      <c r="E26" s="29">
        <v>0</v>
      </c>
      <c r="F26" s="27">
        <v>17937</v>
      </c>
      <c r="G26" s="28">
        <v>17937</v>
      </c>
      <c r="H26" s="29">
        <v>642082</v>
      </c>
      <c r="I26" s="27">
        <v>470856</v>
      </c>
      <c r="J26" s="28">
        <v>780922</v>
      </c>
      <c r="K26" s="29">
        <v>1075410</v>
      </c>
      <c r="L26" s="27">
        <v>17937</v>
      </c>
      <c r="M26" s="28">
        <v>-762985</v>
      </c>
      <c r="N26" s="29">
        <v>0</v>
      </c>
      <c r="O26" s="27">
        <v>470856</v>
      </c>
      <c r="P26" s="28">
        <v>0</v>
      </c>
      <c r="Q26" s="29">
        <v>433328</v>
      </c>
      <c r="R26" s="27">
        <v>7255</v>
      </c>
      <c r="S26" s="28">
        <v>7255</v>
      </c>
      <c r="T26" s="29">
        <v>0</v>
      </c>
      <c r="U26" s="27">
        <v>272287</v>
      </c>
      <c r="V26" s="28">
        <v>873604</v>
      </c>
      <c r="W26" s="29">
        <v>1569679</v>
      </c>
      <c r="X26" s="27">
        <v>327017</v>
      </c>
      <c r="Y26" s="28">
        <v>588974</v>
      </c>
      <c r="Z26" s="29">
        <v>1789263</v>
      </c>
      <c r="AA26" s="27">
        <v>83355</v>
      </c>
      <c r="AB26" s="28">
        <v>211739</v>
      </c>
      <c r="AC26" s="29">
        <v>169277</v>
      </c>
      <c r="AD26" s="27">
        <v>145340</v>
      </c>
      <c r="AE26" s="28">
        <v>-65636</v>
      </c>
      <c r="AF26" s="29">
        <v>388861</v>
      </c>
      <c r="AG26" s="27">
        <v>0</v>
      </c>
      <c r="AH26" s="28">
        <v>31487.4</v>
      </c>
      <c r="AI26" s="29">
        <v>10170.62999999999</v>
      </c>
      <c r="AJ26" s="27">
        <v>0</v>
      </c>
      <c r="AK26" s="28">
        <v>0</v>
      </c>
      <c r="AL26" s="29">
        <v>0</v>
      </c>
      <c r="AM26" s="27">
        <v>62836.42</v>
      </c>
      <c r="AN26" s="28">
        <v>3935498.82</v>
      </c>
      <c r="AO26" s="29">
        <v>12381722.180000002</v>
      </c>
      <c r="AP26" s="27">
        <v>0</v>
      </c>
      <c r="AQ26" s="28">
        <v>0</v>
      </c>
      <c r="AR26" s="29">
        <v>0</v>
      </c>
      <c r="AS26" s="24">
        <v>0</v>
      </c>
      <c r="AT26" s="25">
        <v>7.9379106818285472E-4</v>
      </c>
      <c r="AU26" s="26">
        <v>2.3769062594788433E-4</v>
      </c>
      <c r="AV26" s="24">
        <v>0</v>
      </c>
      <c r="AW26" s="25">
        <v>0</v>
      </c>
      <c r="AX26" s="26">
        <v>0</v>
      </c>
    </row>
    <row r="27" spans="1:50" x14ac:dyDescent="0.2">
      <c r="A27" s="22">
        <v>5211</v>
      </c>
      <c r="B27" s="23" t="s">
        <v>44</v>
      </c>
      <c r="C27" s="27">
        <v>0</v>
      </c>
      <c r="D27" s="28">
        <v>0</v>
      </c>
      <c r="E27" s="29">
        <v>0</v>
      </c>
      <c r="F27" s="27">
        <v>275789</v>
      </c>
      <c r="G27" s="28">
        <v>1229760</v>
      </c>
      <c r="H27" s="29">
        <v>85739</v>
      </c>
      <c r="I27" s="27">
        <v>109314</v>
      </c>
      <c r="J27" s="28">
        <v>1189602</v>
      </c>
      <c r="K27" s="29">
        <v>0</v>
      </c>
      <c r="L27" s="27">
        <v>100118</v>
      </c>
      <c r="M27" s="28">
        <v>22588</v>
      </c>
      <c r="N27" s="29">
        <v>-7201</v>
      </c>
      <c r="O27" s="27">
        <v>-66357</v>
      </c>
      <c r="P27" s="28">
        <v>-17570</v>
      </c>
      <c r="Q27" s="29">
        <v>-92940</v>
      </c>
      <c r="R27" s="27">
        <v>0</v>
      </c>
      <c r="S27" s="28">
        <v>0</v>
      </c>
      <c r="T27" s="29">
        <v>0</v>
      </c>
      <c r="U27" s="27">
        <v>406005</v>
      </c>
      <c r="V27" s="28">
        <v>1074908</v>
      </c>
      <c r="W27" s="29">
        <v>1444863</v>
      </c>
      <c r="X27" s="27">
        <v>327756</v>
      </c>
      <c r="Y27" s="28">
        <v>1429248</v>
      </c>
      <c r="Z27" s="29">
        <v>1545324</v>
      </c>
      <c r="AA27" s="27">
        <v>146163</v>
      </c>
      <c r="AB27" s="28">
        <v>158383</v>
      </c>
      <c r="AC27" s="29">
        <v>-27211</v>
      </c>
      <c r="AD27" s="27">
        <v>67914</v>
      </c>
      <c r="AE27" s="28">
        <v>512723</v>
      </c>
      <c r="AF27" s="29">
        <v>73250</v>
      </c>
      <c r="AG27" s="27">
        <v>4136.07</v>
      </c>
      <c r="AH27" s="28">
        <v>88646.459999999992</v>
      </c>
      <c r="AI27" s="29">
        <v>120704.13000000002</v>
      </c>
      <c r="AJ27" s="27">
        <v>0</v>
      </c>
      <c r="AK27" s="28">
        <v>0</v>
      </c>
      <c r="AL27" s="29">
        <v>0</v>
      </c>
      <c r="AM27" s="27">
        <v>484503.61000000004</v>
      </c>
      <c r="AN27" s="28">
        <v>756167.71000000008</v>
      </c>
      <c r="AO27" s="29">
        <v>3386166.29</v>
      </c>
      <c r="AP27" s="27">
        <v>0</v>
      </c>
      <c r="AQ27" s="28">
        <v>0</v>
      </c>
      <c r="AR27" s="29">
        <v>0</v>
      </c>
      <c r="AS27" s="24">
        <v>1.0843452428657594E-4</v>
      </c>
      <c r="AT27" s="25">
        <v>2.2828495271686035E-3</v>
      </c>
      <c r="AU27" s="26">
        <v>3.1166480659665704E-3</v>
      </c>
      <c r="AV27" s="24">
        <v>0</v>
      </c>
      <c r="AW27" s="25">
        <v>0</v>
      </c>
      <c r="AX27" s="26">
        <v>0</v>
      </c>
    </row>
    <row r="28" spans="1:50" x14ac:dyDescent="0.2">
      <c r="A28" s="22">
        <v>5212</v>
      </c>
      <c r="B28" s="23" t="s">
        <v>45</v>
      </c>
      <c r="C28" s="27">
        <v>0</v>
      </c>
      <c r="D28" s="28">
        <v>0</v>
      </c>
      <c r="E28" s="29">
        <v>0</v>
      </c>
      <c r="F28" s="27">
        <v>0</v>
      </c>
      <c r="G28" s="28">
        <v>0</v>
      </c>
      <c r="H28" s="29">
        <v>4289213</v>
      </c>
      <c r="I28" s="27">
        <v>43734</v>
      </c>
      <c r="J28" s="28">
        <v>43734</v>
      </c>
      <c r="K28" s="29">
        <v>4231110</v>
      </c>
      <c r="L28" s="27">
        <v>-43734</v>
      </c>
      <c r="M28" s="28">
        <v>-43755</v>
      </c>
      <c r="N28" s="29">
        <v>5040</v>
      </c>
      <c r="O28" s="27">
        <v>0</v>
      </c>
      <c r="P28" s="28">
        <v>-21</v>
      </c>
      <c r="Q28" s="29">
        <v>-53063</v>
      </c>
      <c r="R28" s="27">
        <v>0</v>
      </c>
      <c r="S28" s="28">
        <v>0</v>
      </c>
      <c r="T28" s="29">
        <v>0</v>
      </c>
      <c r="U28" s="27">
        <v>534286</v>
      </c>
      <c r="V28" s="28">
        <v>1850774</v>
      </c>
      <c r="W28" s="29">
        <v>1658414</v>
      </c>
      <c r="X28" s="27">
        <v>211875</v>
      </c>
      <c r="Y28" s="28">
        <v>1454213</v>
      </c>
      <c r="Z28" s="29">
        <v>2124233</v>
      </c>
      <c r="AA28" s="27">
        <v>282394</v>
      </c>
      <c r="AB28" s="28">
        <v>328308</v>
      </c>
      <c r="AC28" s="29">
        <v>-219776</v>
      </c>
      <c r="AD28" s="27">
        <v>-40017</v>
      </c>
      <c r="AE28" s="28">
        <v>-68253</v>
      </c>
      <c r="AF28" s="29">
        <v>246043</v>
      </c>
      <c r="AG28" s="27">
        <v>104945.33000000002</v>
      </c>
      <c r="AH28" s="28">
        <v>4392716.5699999994</v>
      </c>
      <c r="AI28" s="29">
        <v>511682.64999999985</v>
      </c>
      <c r="AJ28" s="27">
        <v>0</v>
      </c>
      <c r="AK28" s="28">
        <v>0</v>
      </c>
      <c r="AL28" s="29">
        <v>0</v>
      </c>
      <c r="AM28" s="27">
        <v>4541030.25</v>
      </c>
      <c r="AN28" s="28">
        <v>1235593.75</v>
      </c>
      <c r="AO28" s="29">
        <v>511372.52999999991</v>
      </c>
      <c r="AP28" s="27">
        <v>0</v>
      </c>
      <c r="AQ28" s="28">
        <v>81302</v>
      </c>
      <c r="AR28" s="29">
        <v>0</v>
      </c>
      <c r="AS28" s="24">
        <v>3.1727406670186719E-3</v>
      </c>
      <c r="AT28" s="25">
        <v>0.11980531675373134</v>
      </c>
      <c r="AU28" s="26">
        <v>1.7636809079049184E-2</v>
      </c>
      <c r="AV28" s="24">
        <v>0</v>
      </c>
      <c r="AW28" s="25">
        <v>2.2174004872597248E-3</v>
      </c>
      <c r="AX28" s="26">
        <v>0</v>
      </c>
    </row>
    <row r="29" spans="1:50" x14ac:dyDescent="0.2">
      <c r="A29" s="22">
        <v>5213</v>
      </c>
      <c r="B29" s="23" t="s">
        <v>46</v>
      </c>
      <c r="C29" s="27">
        <v>0</v>
      </c>
      <c r="D29" s="28">
        <v>0</v>
      </c>
      <c r="E29" s="29">
        <v>0</v>
      </c>
      <c r="F29" s="27">
        <v>0</v>
      </c>
      <c r="G29" s="28">
        <v>216077</v>
      </c>
      <c r="H29" s="29">
        <v>753257</v>
      </c>
      <c r="I29" s="27">
        <v>193033</v>
      </c>
      <c r="J29" s="28">
        <v>522388</v>
      </c>
      <c r="K29" s="29">
        <v>648623</v>
      </c>
      <c r="L29" s="27">
        <v>0</v>
      </c>
      <c r="M29" s="28">
        <v>-15563</v>
      </c>
      <c r="N29" s="29">
        <v>0</v>
      </c>
      <c r="O29" s="27">
        <v>193033</v>
      </c>
      <c r="P29" s="28">
        <v>290748</v>
      </c>
      <c r="Q29" s="29">
        <v>-104634</v>
      </c>
      <c r="R29" s="27">
        <v>0</v>
      </c>
      <c r="S29" s="28">
        <v>0</v>
      </c>
      <c r="T29" s="29">
        <v>0</v>
      </c>
      <c r="U29" s="27">
        <v>99090</v>
      </c>
      <c r="V29" s="28">
        <v>344550</v>
      </c>
      <c r="W29" s="29">
        <v>1135472</v>
      </c>
      <c r="X29" s="27">
        <v>84286</v>
      </c>
      <c r="Y29" s="28">
        <v>612360</v>
      </c>
      <c r="Z29" s="29">
        <v>854998</v>
      </c>
      <c r="AA29" s="27">
        <v>6775</v>
      </c>
      <c r="AB29" s="28">
        <v>5971</v>
      </c>
      <c r="AC29" s="29">
        <v>5307</v>
      </c>
      <c r="AD29" s="27">
        <v>-8029</v>
      </c>
      <c r="AE29" s="28">
        <v>273781</v>
      </c>
      <c r="AF29" s="29">
        <v>-275167</v>
      </c>
      <c r="AG29" s="27">
        <v>0</v>
      </c>
      <c r="AH29" s="28">
        <v>231806.28</v>
      </c>
      <c r="AI29" s="29">
        <v>9120.0000000001164</v>
      </c>
      <c r="AJ29" s="27">
        <v>0</v>
      </c>
      <c r="AK29" s="28">
        <v>0</v>
      </c>
      <c r="AL29" s="29">
        <v>0</v>
      </c>
      <c r="AM29" s="27">
        <v>0</v>
      </c>
      <c r="AN29" s="28">
        <v>1662306.4</v>
      </c>
      <c r="AO29" s="29">
        <v>1911811.01</v>
      </c>
      <c r="AP29" s="27">
        <v>0</v>
      </c>
      <c r="AQ29" s="28">
        <v>231806</v>
      </c>
      <c r="AR29" s="29">
        <v>0</v>
      </c>
      <c r="AS29" s="24">
        <v>0</v>
      </c>
      <c r="AT29" s="25">
        <v>4.4689069665865911E-3</v>
      </c>
      <c r="AU29" s="26">
        <v>2.2134065110119563E-4</v>
      </c>
      <c r="AV29" s="24">
        <v>0</v>
      </c>
      <c r="AW29" s="25">
        <v>4.4689015685708397E-3</v>
      </c>
      <c r="AX29" s="26">
        <v>0</v>
      </c>
    </row>
    <row r="30" spans="1:50" x14ac:dyDescent="0.2">
      <c r="A30" s="22">
        <v>5301</v>
      </c>
      <c r="B30" s="23" t="s">
        <v>47</v>
      </c>
      <c r="C30" s="27">
        <v>0</v>
      </c>
      <c r="D30" s="28">
        <v>0</v>
      </c>
      <c r="E30" s="29">
        <v>0</v>
      </c>
      <c r="F30" s="27">
        <v>-234328</v>
      </c>
      <c r="G30" s="28">
        <v>1077825</v>
      </c>
      <c r="H30" s="29">
        <v>85093</v>
      </c>
      <c r="I30" s="27">
        <v>-238398</v>
      </c>
      <c r="J30" s="28">
        <v>1005470</v>
      </c>
      <c r="K30" s="29">
        <v>248477</v>
      </c>
      <c r="L30" s="27">
        <v>0</v>
      </c>
      <c r="M30" s="28">
        <v>-3452</v>
      </c>
      <c r="N30" s="29">
        <v>89193</v>
      </c>
      <c r="O30" s="27">
        <v>-4070</v>
      </c>
      <c r="P30" s="28">
        <v>-75807</v>
      </c>
      <c r="Q30" s="29">
        <v>252577</v>
      </c>
      <c r="R30" s="27">
        <v>0</v>
      </c>
      <c r="S30" s="28">
        <v>0</v>
      </c>
      <c r="T30" s="29">
        <v>0</v>
      </c>
      <c r="U30" s="27">
        <v>295590</v>
      </c>
      <c r="V30" s="28">
        <v>1457035</v>
      </c>
      <c r="W30" s="29">
        <v>805386</v>
      </c>
      <c r="X30" s="27">
        <v>502705</v>
      </c>
      <c r="Y30" s="28">
        <v>1508526</v>
      </c>
      <c r="Z30" s="29">
        <v>900042</v>
      </c>
      <c r="AA30" s="27">
        <v>93300</v>
      </c>
      <c r="AB30" s="28">
        <v>-47431</v>
      </c>
      <c r="AC30" s="29">
        <v>127208</v>
      </c>
      <c r="AD30" s="27">
        <v>300415</v>
      </c>
      <c r="AE30" s="28">
        <v>4060</v>
      </c>
      <c r="AF30" s="29">
        <v>221864</v>
      </c>
      <c r="AG30" s="27">
        <v>188044.35</v>
      </c>
      <c r="AH30" s="28">
        <v>478275.0399999998</v>
      </c>
      <c r="AI30" s="29">
        <v>283944.94</v>
      </c>
      <c r="AJ30" s="27">
        <v>0</v>
      </c>
      <c r="AK30" s="28">
        <v>0</v>
      </c>
      <c r="AL30" s="29">
        <v>0</v>
      </c>
      <c r="AM30" s="27">
        <v>1660548.25</v>
      </c>
      <c r="AN30" s="28">
        <v>296141.31999999995</v>
      </c>
      <c r="AO30" s="29">
        <v>217433.91000000003</v>
      </c>
      <c r="AP30" s="27">
        <v>0</v>
      </c>
      <c r="AQ30" s="28">
        <v>0</v>
      </c>
      <c r="AR30" s="29">
        <v>0</v>
      </c>
      <c r="AS30" s="24">
        <v>1.0970518376505853E-2</v>
      </c>
      <c r="AT30" s="25">
        <v>2.0611199864992387E-2</v>
      </c>
      <c r="AU30" s="26">
        <v>1.5868123955867779E-2</v>
      </c>
      <c r="AV30" s="24">
        <v>0</v>
      </c>
      <c r="AW30" s="25">
        <v>0</v>
      </c>
      <c r="AX30" s="26">
        <v>0</v>
      </c>
    </row>
    <row r="31" spans="1:50" x14ac:dyDescent="0.2">
      <c r="A31" s="22">
        <v>5302</v>
      </c>
      <c r="B31" s="23" t="s">
        <v>48</v>
      </c>
      <c r="C31" s="27">
        <v>0</v>
      </c>
      <c r="D31" s="28">
        <v>0</v>
      </c>
      <c r="E31" s="29">
        <v>0</v>
      </c>
      <c r="F31" s="27">
        <v>0</v>
      </c>
      <c r="G31" s="28">
        <v>1914642</v>
      </c>
      <c r="H31" s="29">
        <v>1832122</v>
      </c>
      <c r="I31" s="27">
        <v>409672</v>
      </c>
      <c r="J31" s="28">
        <v>2519582</v>
      </c>
      <c r="K31" s="29">
        <v>1789332</v>
      </c>
      <c r="L31" s="27">
        <v>-409672</v>
      </c>
      <c r="M31" s="28">
        <v>-527793</v>
      </c>
      <c r="N31" s="29">
        <v>47469</v>
      </c>
      <c r="O31" s="27">
        <v>0</v>
      </c>
      <c r="P31" s="28">
        <v>77147</v>
      </c>
      <c r="Q31" s="29">
        <v>4679</v>
      </c>
      <c r="R31" s="27">
        <v>0</v>
      </c>
      <c r="S31" s="28">
        <v>0</v>
      </c>
      <c r="T31" s="29">
        <v>0</v>
      </c>
      <c r="U31" s="27">
        <v>483268</v>
      </c>
      <c r="V31" s="28">
        <v>1138863</v>
      </c>
      <c r="W31" s="29">
        <v>539578</v>
      </c>
      <c r="X31" s="27">
        <v>422033</v>
      </c>
      <c r="Y31" s="28">
        <v>1049405</v>
      </c>
      <c r="Z31" s="29">
        <v>743160</v>
      </c>
      <c r="AA31" s="27">
        <v>204498</v>
      </c>
      <c r="AB31" s="28">
        <v>51351</v>
      </c>
      <c r="AC31" s="29">
        <v>-37274</v>
      </c>
      <c r="AD31" s="27">
        <v>143263</v>
      </c>
      <c r="AE31" s="28">
        <v>-38107</v>
      </c>
      <c r="AF31" s="29">
        <v>166308</v>
      </c>
      <c r="AG31" s="27">
        <v>-1.4551915228366852E-11</v>
      </c>
      <c r="AH31" s="28">
        <v>86146.280000000028</v>
      </c>
      <c r="AI31" s="29">
        <v>9172.8000000000175</v>
      </c>
      <c r="AJ31" s="27">
        <v>0</v>
      </c>
      <c r="AK31" s="28">
        <v>0</v>
      </c>
      <c r="AL31" s="29">
        <v>0</v>
      </c>
      <c r="AM31" s="27">
        <v>3460260.79</v>
      </c>
      <c r="AN31" s="28">
        <v>2160953.94</v>
      </c>
      <c r="AO31" s="29">
        <v>2052046.5699999998</v>
      </c>
      <c r="AP31" s="27">
        <v>0</v>
      </c>
      <c r="AQ31" s="28">
        <v>0</v>
      </c>
      <c r="AR31" s="29">
        <v>0</v>
      </c>
      <c r="AS31" s="24">
        <v>-3.134130705247236E-19</v>
      </c>
      <c r="AT31" s="25">
        <v>1.6387088767604618E-3</v>
      </c>
      <c r="AU31" s="26">
        <v>2.034719102711239E-4</v>
      </c>
      <c r="AV31" s="24">
        <v>0</v>
      </c>
      <c r="AW31" s="25">
        <v>0</v>
      </c>
      <c r="AX31" s="26">
        <v>0</v>
      </c>
    </row>
    <row r="32" spans="1:50" x14ac:dyDescent="0.2">
      <c r="A32" s="22">
        <v>5303</v>
      </c>
      <c r="B32" s="23" t="s">
        <v>49</v>
      </c>
      <c r="C32" s="27">
        <v>0</v>
      </c>
      <c r="D32" s="28">
        <v>0</v>
      </c>
      <c r="E32" s="29">
        <v>0</v>
      </c>
      <c r="F32" s="27">
        <v>1729029</v>
      </c>
      <c r="G32" s="28">
        <v>3627631</v>
      </c>
      <c r="H32" s="29">
        <v>514587</v>
      </c>
      <c r="I32" s="27">
        <v>1169452</v>
      </c>
      <c r="J32" s="28">
        <v>3052842</v>
      </c>
      <c r="K32" s="29">
        <v>516298</v>
      </c>
      <c r="L32" s="27">
        <v>-358031</v>
      </c>
      <c r="M32" s="28">
        <v>-412574</v>
      </c>
      <c r="N32" s="29">
        <v>-1767</v>
      </c>
      <c r="O32" s="27">
        <v>-917608</v>
      </c>
      <c r="P32" s="28">
        <v>-987363</v>
      </c>
      <c r="Q32" s="29">
        <v>-56</v>
      </c>
      <c r="R32" s="27">
        <v>0</v>
      </c>
      <c r="S32" s="28">
        <v>0</v>
      </c>
      <c r="T32" s="29">
        <v>0</v>
      </c>
      <c r="U32" s="27">
        <v>313453</v>
      </c>
      <c r="V32" s="28">
        <v>772270</v>
      </c>
      <c r="W32" s="29">
        <v>603711</v>
      </c>
      <c r="X32" s="27">
        <v>274140</v>
      </c>
      <c r="Y32" s="28">
        <v>629416</v>
      </c>
      <c r="Z32" s="29">
        <v>1050775</v>
      </c>
      <c r="AA32" s="27">
        <v>42298</v>
      </c>
      <c r="AB32" s="28">
        <v>156191</v>
      </c>
      <c r="AC32" s="29">
        <v>-435938</v>
      </c>
      <c r="AD32" s="27">
        <v>2985</v>
      </c>
      <c r="AE32" s="28">
        <v>13337</v>
      </c>
      <c r="AF32" s="29">
        <v>11126</v>
      </c>
      <c r="AG32" s="27">
        <v>82990.03</v>
      </c>
      <c r="AH32" s="28">
        <v>287157.68000000017</v>
      </c>
      <c r="AI32" s="29">
        <v>225444.69</v>
      </c>
      <c r="AJ32" s="27">
        <v>0</v>
      </c>
      <c r="AK32" s="28">
        <v>0</v>
      </c>
      <c r="AL32" s="29">
        <v>0</v>
      </c>
      <c r="AM32" s="27">
        <v>2605890.7800000003</v>
      </c>
      <c r="AN32" s="28">
        <v>970609.69000000018</v>
      </c>
      <c r="AO32" s="29">
        <v>3328815.35</v>
      </c>
      <c r="AP32" s="27">
        <v>0</v>
      </c>
      <c r="AQ32" s="28">
        <v>0</v>
      </c>
      <c r="AR32" s="29">
        <v>0</v>
      </c>
      <c r="AS32" s="24">
        <v>3.474154231712147E-3</v>
      </c>
      <c r="AT32" s="25">
        <v>1.171668296377025E-2</v>
      </c>
      <c r="AU32" s="26">
        <v>8.5970756060156309E-3</v>
      </c>
      <c r="AV32" s="24">
        <v>0</v>
      </c>
      <c r="AW32" s="25">
        <v>0</v>
      </c>
      <c r="AX32" s="26">
        <v>0</v>
      </c>
    </row>
    <row r="33" spans="1:50" x14ac:dyDescent="0.2">
      <c r="A33" s="22">
        <v>5304</v>
      </c>
      <c r="B33" s="23" t="s">
        <v>50</v>
      </c>
      <c r="C33" s="27">
        <v>0</v>
      </c>
      <c r="D33" s="28">
        <v>0</v>
      </c>
      <c r="E33" s="29">
        <v>0</v>
      </c>
      <c r="F33" s="27">
        <v>0</v>
      </c>
      <c r="G33" s="28">
        <v>0</v>
      </c>
      <c r="H33" s="29">
        <v>0</v>
      </c>
      <c r="I33" s="27">
        <v>82469</v>
      </c>
      <c r="J33" s="28">
        <v>82370</v>
      </c>
      <c r="K33" s="29">
        <v>0</v>
      </c>
      <c r="L33" s="27">
        <v>-82469</v>
      </c>
      <c r="M33" s="28">
        <v>-82370</v>
      </c>
      <c r="N33" s="29">
        <v>0</v>
      </c>
      <c r="O33" s="27">
        <v>0</v>
      </c>
      <c r="P33" s="28">
        <v>0</v>
      </c>
      <c r="Q33" s="29">
        <v>0</v>
      </c>
      <c r="R33" s="27">
        <v>0</v>
      </c>
      <c r="S33" s="28">
        <v>0</v>
      </c>
      <c r="T33" s="29">
        <v>0</v>
      </c>
      <c r="U33" s="27">
        <v>78505</v>
      </c>
      <c r="V33" s="28">
        <v>275820</v>
      </c>
      <c r="W33" s="29">
        <v>208372</v>
      </c>
      <c r="X33" s="27">
        <v>74403</v>
      </c>
      <c r="Y33" s="28">
        <v>288851</v>
      </c>
      <c r="Z33" s="29">
        <v>153684</v>
      </c>
      <c r="AA33" s="27">
        <v>18580</v>
      </c>
      <c r="AB33" s="28">
        <v>17945</v>
      </c>
      <c r="AC33" s="29">
        <v>29989</v>
      </c>
      <c r="AD33" s="27">
        <v>14478</v>
      </c>
      <c r="AE33" s="28">
        <v>30976</v>
      </c>
      <c r="AF33" s="29">
        <v>-24699</v>
      </c>
      <c r="AG33" s="27">
        <v>8346.4499999999971</v>
      </c>
      <c r="AH33" s="28">
        <v>9793.1300000000047</v>
      </c>
      <c r="AI33" s="29">
        <v>17939.630000000005</v>
      </c>
      <c r="AJ33" s="27">
        <v>0</v>
      </c>
      <c r="AK33" s="28">
        <v>0</v>
      </c>
      <c r="AL33" s="29">
        <v>0</v>
      </c>
      <c r="AM33" s="27">
        <v>127016.09</v>
      </c>
      <c r="AN33" s="28">
        <v>184929.63999999998</v>
      </c>
      <c r="AO33" s="29">
        <v>5159595.3600000003</v>
      </c>
      <c r="AP33" s="27">
        <v>0</v>
      </c>
      <c r="AQ33" s="28">
        <v>0</v>
      </c>
      <c r="AR33" s="29">
        <v>0</v>
      </c>
      <c r="AS33" s="24">
        <v>4.7971621367176104E-4</v>
      </c>
      <c r="AT33" s="25">
        <v>5.2020706441696012E-4</v>
      </c>
      <c r="AU33" s="26">
        <v>8.1606936496120741E-4</v>
      </c>
      <c r="AV33" s="24">
        <v>0</v>
      </c>
      <c r="AW33" s="25">
        <v>0</v>
      </c>
      <c r="AX33" s="26">
        <v>0</v>
      </c>
    </row>
    <row r="34" spans="1:50" x14ac:dyDescent="0.2">
      <c r="A34" s="22">
        <v>5305</v>
      </c>
      <c r="B34" s="23" t="s">
        <v>51</v>
      </c>
      <c r="C34" s="27">
        <v>0</v>
      </c>
      <c r="D34" s="28">
        <v>0</v>
      </c>
      <c r="E34" s="29">
        <v>0</v>
      </c>
      <c r="F34" s="27">
        <v>-744</v>
      </c>
      <c r="G34" s="28">
        <v>-744</v>
      </c>
      <c r="H34" s="29">
        <v>0</v>
      </c>
      <c r="I34" s="27">
        <v>395903</v>
      </c>
      <c r="J34" s="28">
        <v>488346</v>
      </c>
      <c r="K34" s="29">
        <v>0</v>
      </c>
      <c r="L34" s="27">
        <v>-439651</v>
      </c>
      <c r="M34" s="28">
        <v>-532094</v>
      </c>
      <c r="N34" s="29">
        <v>0</v>
      </c>
      <c r="O34" s="27">
        <v>-43004</v>
      </c>
      <c r="P34" s="28">
        <v>-43004</v>
      </c>
      <c r="Q34" s="29">
        <v>0</v>
      </c>
      <c r="R34" s="27">
        <v>0</v>
      </c>
      <c r="S34" s="28">
        <v>0</v>
      </c>
      <c r="T34" s="29">
        <v>0</v>
      </c>
      <c r="U34" s="27">
        <v>7983972</v>
      </c>
      <c r="V34" s="28">
        <v>11398374</v>
      </c>
      <c r="W34" s="29">
        <v>3549769</v>
      </c>
      <c r="X34" s="27">
        <v>11790732</v>
      </c>
      <c r="Y34" s="28">
        <v>16660719</v>
      </c>
      <c r="Z34" s="29">
        <v>5440072</v>
      </c>
      <c r="AA34" s="27">
        <v>-6732803</v>
      </c>
      <c r="AB34" s="28">
        <v>-7880771</v>
      </c>
      <c r="AC34" s="29">
        <v>-268471</v>
      </c>
      <c r="AD34" s="27">
        <v>-2926043</v>
      </c>
      <c r="AE34" s="28">
        <v>-2618426</v>
      </c>
      <c r="AF34" s="29">
        <v>1621832</v>
      </c>
      <c r="AG34" s="27">
        <v>126003.89000000016</v>
      </c>
      <c r="AH34" s="28">
        <v>240371.56000000006</v>
      </c>
      <c r="AI34" s="29">
        <v>137258.40000000014</v>
      </c>
      <c r="AJ34" s="27">
        <v>137621.32000000007</v>
      </c>
      <c r="AK34" s="28">
        <v>59107.800000000047</v>
      </c>
      <c r="AL34" s="29">
        <v>0</v>
      </c>
      <c r="AM34" s="27">
        <v>1347200.7299999995</v>
      </c>
      <c r="AN34" s="28">
        <v>1204402.1899999995</v>
      </c>
      <c r="AO34" s="29">
        <v>40679949.5</v>
      </c>
      <c r="AP34" s="27">
        <v>0</v>
      </c>
      <c r="AQ34" s="28">
        <v>0</v>
      </c>
      <c r="AR34" s="29">
        <v>0</v>
      </c>
      <c r="AS34" s="24">
        <v>1.6967410181077406E-4</v>
      </c>
      <c r="AT34" s="25">
        <v>3.5868240662947394E-4</v>
      </c>
      <c r="AU34" s="26">
        <v>0</v>
      </c>
      <c r="AV34" s="24">
        <v>0</v>
      </c>
      <c r="AW34" s="25">
        <v>0</v>
      </c>
      <c r="AX34" s="26">
        <v>0</v>
      </c>
    </row>
    <row r="35" spans="1:50" x14ac:dyDescent="0.2">
      <c r="A35" s="22">
        <v>5306</v>
      </c>
      <c r="B35" s="23" t="s">
        <v>52</v>
      </c>
      <c r="C35" s="27">
        <v>0</v>
      </c>
      <c r="D35" s="28">
        <v>0</v>
      </c>
      <c r="E35" s="29">
        <v>0</v>
      </c>
      <c r="F35" s="27">
        <v>1690369</v>
      </c>
      <c r="G35" s="28">
        <v>3132159</v>
      </c>
      <c r="H35" s="29">
        <v>243070</v>
      </c>
      <c r="I35" s="27">
        <v>287892</v>
      </c>
      <c r="J35" s="28">
        <v>1594107</v>
      </c>
      <c r="K35" s="29">
        <v>317978</v>
      </c>
      <c r="L35" s="27">
        <v>0</v>
      </c>
      <c r="M35" s="28">
        <v>120269</v>
      </c>
      <c r="N35" s="29">
        <v>-133647</v>
      </c>
      <c r="O35" s="27">
        <v>-1402477</v>
      </c>
      <c r="P35" s="28">
        <v>-1417783</v>
      </c>
      <c r="Q35" s="29">
        <v>-58739</v>
      </c>
      <c r="R35" s="27">
        <v>0</v>
      </c>
      <c r="S35" s="28">
        <v>0</v>
      </c>
      <c r="T35" s="29">
        <v>0</v>
      </c>
      <c r="U35" s="27">
        <v>175479</v>
      </c>
      <c r="V35" s="28">
        <v>550904</v>
      </c>
      <c r="W35" s="29">
        <v>1029885</v>
      </c>
      <c r="X35" s="27">
        <v>334279</v>
      </c>
      <c r="Y35" s="28">
        <v>690957</v>
      </c>
      <c r="Z35" s="29">
        <v>485866</v>
      </c>
      <c r="AA35" s="27">
        <v>-161926</v>
      </c>
      <c r="AB35" s="28">
        <v>-142973</v>
      </c>
      <c r="AC35" s="29">
        <v>608922</v>
      </c>
      <c r="AD35" s="27">
        <v>-3126</v>
      </c>
      <c r="AE35" s="28">
        <v>-2920</v>
      </c>
      <c r="AF35" s="29">
        <v>64903</v>
      </c>
      <c r="AG35" s="27">
        <v>1909.510000000002</v>
      </c>
      <c r="AH35" s="28">
        <v>114519.22999999995</v>
      </c>
      <c r="AI35" s="29">
        <v>1735026.5299999998</v>
      </c>
      <c r="AJ35" s="27">
        <v>0</v>
      </c>
      <c r="AK35" s="28">
        <v>0</v>
      </c>
      <c r="AL35" s="29">
        <v>0</v>
      </c>
      <c r="AM35" s="27">
        <v>3472295.6199999996</v>
      </c>
      <c r="AN35" s="28">
        <v>145183.7399999999</v>
      </c>
      <c r="AO35" s="29">
        <v>531477.37000000011</v>
      </c>
      <c r="AP35" s="27">
        <v>0</v>
      </c>
      <c r="AQ35" s="28">
        <v>0</v>
      </c>
      <c r="AR35" s="29">
        <v>0</v>
      </c>
      <c r="AS35" s="24">
        <v>8.783723548802618E-5</v>
      </c>
      <c r="AT35" s="25">
        <v>5.6991960804874007E-3</v>
      </c>
      <c r="AU35" s="26">
        <v>0.12812209989723064</v>
      </c>
      <c r="AV35" s="24">
        <v>0</v>
      </c>
      <c r="AW35" s="25">
        <v>0</v>
      </c>
      <c r="AX35" s="26">
        <v>0</v>
      </c>
    </row>
    <row r="36" spans="1:50" x14ac:dyDescent="0.2">
      <c r="A36" s="22">
        <v>5307</v>
      </c>
      <c r="B36" s="23" t="s">
        <v>53</v>
      </c>
      <c r="C36" s="27">
        <v>0</v>
      </c>
      <c r="D36" s="28">
        <v>0</v>
      </c>
      <c r="E36" s="29">
        <v>0</v>
      </c>
      <c r="F36" s="27">
        <v>90276</v>
      </c>
      <c r="G36" s="28">
        <v>223364</v>
      </c>
      <c r="H36" s="29">
        <v>66776</v>
      </c>
      <c r="I36" s="27">
        <v>0</v>
      </c>
      <c r="J36" s="28">
        <v>138864</v>
      </c>
      <c r="K36" s="29">
        <v>57596</v>
      </c>
      <c r="L36" s="27">
        <v>43451</v>
      </c>
      <c r="M36" s="28">
        <v>34380</v>
      </c>
      <c r="N36" s="29">
        <v>9043</v>
      </c>
      <c r="O36" s="27">
        <v>-46825</v>
      </c>
      <c r="P36" s="28">
        <v>-50120</v>
      </c>
      <c r="Q36" s="29">
        <v>-137</v>
      </c>
      <c r="R36" s="27">
        <v>0</v>
      </c>
      <c r="S36" s="28">
        <v>0</v>
      </c>
      <c r="T36" s="29">
        <v>0</v>
      </c>
      <c r="U36" s="27">
        <v>386081</v>
      </c>
      <c r="V36" s="28">
        <v>992876</v>
      </c>
      <c r="W36" s="29">
        <v>699983</v>
      </c>
      <c r="X36" s="27">
        <v>230737</v>
      </c>
      <c r="Y36" s="28">
        <v>1022965</v>
      </c>
      <c r="Z36" s="29">
        <v>772256</v>
      </c>
      <c r="AA36" s="27">
        <v>66812</v>
      </c>
      <c r="AB36" s="28">
        <v>-121084</v>
      </c>
      <c r="AC36" s="29">
        <v>309</v>
      </c>
      <c r="AD36" s="27">
        <v>-88532</v>
      </c>
      <c r="AE36" s="28">
        <v>-90995</v>
      </c>
      <c r="AF36" s="29">
        <v>72582</v>
      </c>
      <c r="AG36" s="27">
        <v>21673.459999999992</v>
      </c>
      <c r="AH36" s="28">
        <v>323999.25000000012</v>
      </c>
      <c r="AI36" s="29">
        <v>159731.88999999996</v>
      </c>
      <c r="AJ36" s="27">
        <v>99161.21</v>
      </c>
      <c r="AK36" s="28">
        <v>-1.8190310369092799E-14</v>
      </c>
      <c r="AL36" s="29">
        <v>0</v>
      </c>
      <c r="AM36" s="27">
        <v>122819.59</v>
      </c>
      <c r="AN36" s="28">
        <v>239196.11999999988</v>
      </c>
      <c r="AO36" s="29">
        <v>998660.67999999993</v>
      </c>
      <c r="AP36" s="27">
        <v>0</v>
      </c>
      <c r="AQ36" s="28">
        <v>59496</v>
      </c>
      <c r="AR36" s="29">
        <v>0</v>
      </c>
      <c r="AS36" s="24">
        <v>9.9506298909328851E-4</v>
      </c>
      <c r="AT36" s="25">
        <v>1.5242139589248796E-2</v>
      </c>
      <c r="AU36" s="26">
        <v>6.651145290515614E-3</v>
      </c>
      <c r="AV36" s="24">
        <v>0</v>
      </c>
      <c r="AW36" s="25">
        <v>2.798914926506608E-3</v>
      </c>
      <c r="AX36" s="26">
        <v>0</v>
      </c>
    </row>
    <row r="37" spans="1:50" x14ac:dyDescent="0.2">
      <c r="A37" s="22">
        <v>5308</v>
      </c>
      <c r="B37" s="23" t="s">
        <v>54</v>
      </c>
      <c r="C37" s="27">
        <v>0</v>
      </c>
      <c r="D37" s="28">
        <v>0</v>
      </c>
      <c r="E37" s="29">
        <v>0</v>
      </c>
      <c r="F37" s="27">
        <v>84926</v>
      </c>
      <c r="G37" s="28">
        <v>616897</v>
      </c>
      <c r="H37" s="29">
        <v>1503306</v>
      </c>
      <c r="I37" s="27">
        <v>253661</v>
      </c>
      <c r="J37" s="28">
        <v>595293</v>
      </c>
      <c r="K37" s="29">
        <v>1518609</v>
      </c>
      <c r="L37" s="27">
        <v>-13548</v>
      </c>
      <c r="M37" s="28">
        <v>17393</v>
      </c>
      <c r="N37" s="29">
        <v>8069</v>
      </c>
      <c r="O37" s="27">
        <v>155187</v>
      </c>
      <c r="P37" s="28">
        <v>-4211</v>
      </c>
      <c r="Q37" s="29">
        <v>23372</v>
      </c>
      <c r="R37" s="27">
        <v>0</v>
      </c>
      <c r="S37" s="28">
        <v>0</v>
      </c>
      <c r="T37" s="29">
        <v>0</v>
      </c>
      <c r="U37" s="27">
        <v>251481</v>
      </c>
      <c r="V37" s="28">
        <v>744783</v>
      </c>
      <c r="W37" s="29">
        <v>208901</v>
      </c>
      <c r="X37" s="27">
        <v>111994</v>
      </c>
      <c r="Y37" s="28">
        <v>521562</v>
      </c>
      <c r="Z37" s="29">
        <v>341809</v>
      </c>
      <c r="AA37" s="27">
        <v>143991</v>
      </c>
      <c r="AB37" s="28">
        <v>270448</v>
      </c>
      <c r="AC37" s="29">
        <v>-131665</v>
      </c>
      <c r="AD37" s="27">
        <v>4504</v>
      </c>
      <c r="AE37" s="28">
        <v>47227</v>
      </c>
      <c r="AF37" s="29">
        <v>1243</v>
      </c>
      <c r="AG37" s="27">
        <v>227653.33</v>
      </c>
      <c r="AH37" s="28">
        <v>1495061.12</v>
      </c>
      <c r="AI37" s="29">
        <v>62971.260000000228</v>
      </c>
      <c r="AJ37" s="27">
        <v>0</v>
      </c>
      <c r="AK37" s="28">
        <v>0</v>
      </c>
      <c r="AL37" s="29">
        <v>0</v>
      </c>
      <c r="AM37" s="27">
        <v>2140089.5299999998</v>
      </c>
      <c r="AN37" s="28">
        <v>1666675.1700000002</v>
      </c>
      <c r="AO37" s="29">
        <v>481434.54999999987</v>
      </c>
      <c r="AP37" s="27">
        <v>0</v>
      </c>
      <c r="AQ37" s="28">
        <v>0</v>
      </c>
      <c r="AR37" s="29">
        <v>0</v>
      </c>
      <c r="AS37" s="24">
        <v>6.4832800035700949E-3</v>
      </c>
      <c r="AT37" s="25">
        <v>6.4746904304219893E-2</v>
      </c>
      <c r="AU37" s="26">
        <v>1.6986771570178653E-3</v>
      </c>
      <c r="AV37" s="24">
        <v>0</v>
      </c>
      <c r="AW37" s="25">
        <v>0</v>
      </c>
      <c r="AX37" s="26">
        <v>0</v>
      </c>
    </row>
    <row r="38" spans="1:50" x14ac:dyDescent="0.2">
      <c r="A38" s="22">
        <v>5309</v>
      </c>
      <c r="B38" s="23" t="s">
        <v>55</v>
      </c>
      <c r="C38" s="27">
        <v>16738</v>
      </c>
      <c r="D38" s="28">
        <v>39306</v>
      </c>
      <c r="E38" s="29">
        <v>10565</v>
      </c>
      <c r="F38" s="27">
        <v>532104</v>
      </c>
      <c r="G38" s="28">
        <v>532104</v>
      </c>
      <c r="H38" s="29">
        <v>1681646</v>
      </c>
      <c r="I38" s="27">
        <v>387186</v>
      </c>
      <c r="J38" s="28">
        <v>2124965</v>
      </c>
      <c r="K38" s="29">
        <v>278531</v>
      </c>
      <c r="L38" s="27">
        <v>116139</v>
      </c>
      <c r="M38" s="28">
        <v>-370947</v>
      </c>
      <c r="N38" s="29">
        <v>0</v>
      </c>
      <c r="O38" s="27">
        <v>-12041</v>
      </c>
      <c r="P38" s="28">
        <v>1261220</v>
      </c>
      <c r="Q38" s="29">
        <v>-1392550</v>
      </c>
      <c r="R38" s="27">
        <v>0</v>
      </c>
      <c r="S38" s="28">
        <v>0</v>
      </c>
      <c r="T38" s="29">
        <v>0</v>
      </c>
      <c r="U38" s="27">
        <v>558005</v>
      </c>
      <c r="V38" s="28">
        <v>1343390</v>
      </c>
      <c r="W38" s="29">
        <v>1759602</v>
      </c>
      <c r="X38" s="27">
        <v>501288</v>
      </c>
      <c r="Y38" s="28">
        <v>1202933</v>
      </c>
      <c r="Z38" s="29">
        <v>1214581</v>
      </c>
      <c r="AA38" s="27">
        <v>697</v>
      </c>
      <c r="AB38" s="28">
        <v>171982</v>
      </c>
      <c r="AC38" s="29">
        <v>571034</v>
      </c>
      <c r="AD38" s="27">
        <v>-56020</v>
      </c>
      <c r="AE38" s="28">
        <v>31525</v>
      </c>
      <c r="AF38" s="29">
        <v>26013</v>
      </c>
      <c r="AG38" s="27">
        <v>9023.6199999999953</v>
      </c>
      <c r="AH38" s="28">
        <v>67759.399999999965</v>
      </c>
      <c r="AI38" s="29">
        <v>97755.149999999907</v>
      </c>
      <c r="AJ38" s="27">
        <v>0</v>
      </c>
      <c r="AK38" s="28">
        <v>0</v>
      </c>
      <c r="AL38" s="29">
        <v>0</v>
      </c>
      <c r="AM38" s="27">
        <v>295019.77</v>
      </c>
      <c r="AN38" s="28">
        <v>3765155.11</v>
      </c>
      <c r="AO38" s="29">
        <v>5533164.46</v>
      </c>
      <c r="AP38" s="27">
        <v>0</v>
      </c>
      <c r="AQ38" s="28">
        <v>0</v>
      </c>
      <c r="AR38" s="29">
        <v>0</v>
      </c>
      <c r="AS38" s="24">
        <v>2.2678311840220933E-4</v>
      </c>
      <c r="AT38" s="25">
        <v>1.8093352807535908E-3</v>
      </c>
      <c r="AU38" s="26">
        <v>2.2207239214932398E-3</v>
      </c>
      <c r="AV38" s="24">
        <v>0</v>
      </c>
      <c r="AW38" s="25">
        <v>0</v>
      </c>
      <c r="AX38" s="26">
        <v>0</v>
      </c>
    </row>
    <row r="39" spans="1:50" x14ac:dyDescent="0.2">
      <c r="A39" s="22">
        <v>5310</v>
      </c>
      <c r="B39" s="23" t="s">
        <v>56</v>
      </c>
      <c r="C39" s="27">
        <v>0</v>
      </c>
      <c r="D39" s="28">
        <v>0</v>
      </c>
      <c r="E39" s="29">
        <v>0</v>
      </c>
      <c r="F39" s="27">
        <v>-8</v>
      </c>
      <c r="G39" s="28">
        <v>-8</v>
      </c>
      <c r="H39" s="29">
        <v>16</v>
      </c>
      <c r="I39" s="27">
        <v>0</v>
      </c>
      <c r="J39" s="28">
        <v>0</v>
      </c>
      <c r="K39" s="29">
        <v>8</v>
      </c>
      <c r="L39" s="27">
        <v>0</v>
      </c>
      <c r="M39" s="28">
        <v>0</v>
      </c>
      <c r="N39" s="29">
        <v>0</v>
      </c>
      <c r="O39" s="27">
        <v>8</v>
      </c>
      <c r="P39" s="28">
        <v>8</v>
      </c>
      <c r="Q39" s="29">
        <v>-8</v>
      </c>
      <c r="R39" s="27">
        <v>0</v>
      </c>
      <c r="S39" s="28">
        <v>0</v>
      </c>
      <c r="T39" s="29">
        <v>0</v>
      </c>
      <c r="U39" s="27">
        <v>458190</v>
      </c>
      <c r="V39" s="28">
        <v>1701075</v>
      </c>
      <c r="W39" s="29">
        <v>1774103</v>
      </c>
      <c r="X39" s="27">
        <v>425219</v>
      </c>
      <c r="Y39" s="28">
        <v>2002230</v>
      </c>
      <c r="Z39" s="29">
        <v>1557763</v>
      </c>
      <c r="AA39" s="27">
        <v>372562</v>
      </c>
      <c r="AB39" s="28">
        <v>44482</v>
      </c>
      <c r="AC39" s="29">
        <v>189352</v>
      </c>
      <c r="AD39" s="27">
        <v>339591</v>
      </c>
      <c r="AE39" s="28">
        <v>345637</v>
      </c>
      <c r="AF39" s="29">
        <v>-26988</v>
      </c>
      <c r="AG39" s="27">
        <v>36518.479999999996</v>
      </c>
      <c r="AH39" s="28">
        <v>437730.64999999991</v>
      </c>
      <c r="AI39" s="29">
        <v>264349.92000000004</v>
      </c>
      <c r="AJ39" s="27">
        <v>0</v>
      </c>
      <c r="AK39" s="28">
        <v>0</v>
      </c>
      <c r="AL39" s="29">
        <v>0</v>
      </c>
      <c r="AM39" s="27">
        <v>158791.29</v>
      </c>
      <c r="AN39" s="28">
        <v>1382759.82</v>
      </c>
      <c r="AO39" s="29">
        <v>2387562.3200000003</v>
      </c>
      <c r="AP39" s="27">
        <v>0</v>
      </c>
      <c r="AQ39" s="28">
        <v>0</v>
      </c>
      <c r="AR39" s="29">
        <v>0</v>
      </c>
      <c r="AS39" s="24">
        <v>1.5732739772496491E-3</v>
      </c>
      <c r="AT39" s="25">
        <v>1.6720447580044154E-2</v>
      </c>
      <c r="AU39" s="26">
        <v>1.0028053521408868E-2</v>
      </c>
      <c r="AV39" s="24">
        <v>0</v>
      </c>
      <c r="AW39" s="25">
        <v>0</v>
      </c>
      <c r="AX39" s="26">
        <v>0</v>
      </c>
    </row>
    <row r="40" spans="1:50" x14ac:dyDescent="0.2">
      <c r="A40" s="22">
        <v>5311</v>
      </c>
      <c r="B40" s="23" t="s">
        <v>57</v>
      </c>
      <c r="C40" s="27">
        <v>17720</v>
      </c>
      <c r="D40" s="28">
        <v>30882</v>
      </c>
      <c r="E40" s="29">
        <v>16456</v>
      </c>
      <c r="F40" s="27">
        <v>37506</v>
      </c>
      <c r="G40" s="28">
        <v>65225</v>
      </c>
      <c r="H40" s="29">
        <v>9313</v>
      </c>
      <c r="I40" s="27">
        <v>0</v>
      </c>
      <c r="J40" s="28">
        <v>407923</v>
      </c>
      <c r="K40" s="29">
        <v>157051</v>
      </c>
      <c r="L40" s="27">
        <v>10514</v>
      </c>
      <c r="M40" s="28">
        <v>-365553</v>
      </c>
      <c r="N40" s="29">
        <v>-172673</v>
      </c>
      <c r="O40" s="27">
        <v>-9272</v>
      </c>
      <c r="P40" s="28">
        <v>8027</v>
      </c>
      <c r="Q40" s="29">
        <v>-8479</v>
      </c>
      <c r="R40" s="27">
        <v>0</v>
      </c>
      <c r="S40" s="28">
        <v>0</v>
      </c>
      <c r="T40" s="29">
        <v>0</v>
      </c>
      <c r="U40" s="27">
        <v>489945</v>
      </c>
      <c r="V40" s="28">
        <v>1196380</v>
      </c>
      <c r="W40" s="29">
        <v>1266143</v>
      </c>
      <c r="X40" s="27">
        <v>553976</v>
      </c>
      <c r="Y40" s="28">
        <v>1233954</v>
      </c>
      <c r="Z40" s="29">
        <v>1352551</v>
      </c>
      <c r="AA40" s="27">
        <v>-56031</v>
      </c>
      <c r="AB40" s="28">
        <v>243983</v>
      </c>
      <c r="AC40" s="29">
        <v>184987</v>
      </c>
      <c r="AD40" s="27">
        <v>8000</v>
      </c>
      <c r="AE40" s="28">
        <v>281557</v>
      </c>
      <c r="AF40" s="29">
        <v>271395</v>
      </c>
      <c r="AG40" s="27">
        <v>0</v>
      </c>
      <c r="AH40" s="28">
        <v>11662.79999999993</v>
      </c>
      <c r="AI40" s="29">
        <v>176284.84000000008</v>
      </c>
      <c r="AJ40" s="27">
        <v>0</v>
      </c>
      <c r="AK40" s="28">
        <v>0</v>
      </c>
      <c r="AL40" s="29">
        <v>0</v>
      </c>
      <c r="AM40" s="27">
        <v>428988.2</v>
      </c>
      <c r="AN40" s="28">
        <v>698715.27</v>
      </c>
      <c r="AO40" s="29">
        <v>2901460.71</v>
      </c>
      <c r="AP40" s="27">
        <v>0</v>
      </c>
      <c r="AQ40" s="28">
        <v>0</v>
      </c>
      <c r="AR40" s="29">
        <v>0</v>
      </c>
      <c r="AS40" s="24">
        <v>0</v>
      </c>
      <c r="AT40" s="25">
        <v>2.8989051927656945E-4</v>
      </c>
      <c r="AU40" s="26">
        <v>3.4860183120885139E-3</v>
      </c>
      <c r="AV40" s="24">
        <v>0</v>
      </c>
      <c r="AW40" s="25">
        <v>0</v>
      </c>
      <c r="AX40" s="26">
        <v>0</v>
      </c>
    </row>
    <row r="41" spans="1:50" x14ac:dyDescent="0.2">
      <c r="A41" s="22">
        <v>5312</v>
      </c>
      <c r="B41" s="23" t="s">
        <v>58</v>
      </c>
      <c r="C41" s="27">
        <v>0</v>
      </c>
      <c r="D41" s="28">
        <v>0</v>
      </c>
      <c r="E41" s="29">
        <v>0</v>
      </c>
      <c r="F41" s="27">
        <v>0</v>
      </c>
      <c r="G41" s="28">
        <v>25917</v>
      </c>
      <c r="H41" s="29">
        <v>0</v>
      </c>
      <c r="I41" s="27">
        <v>0</v>
      </c>
      <c r="J41" s="28">
        <v>0</v>
      </c>
      <c r="K41" s="29">
        <v>25213</v>
      </c>
      <c r="L41" s="27">
        <v>0</v>
      </c>
      <c r="M41" s="28">
        <v>26000</v>
      </c>
      <c r="N41" s="29">
        <v>0</v>
      </c>
      <c r="O41" s="27">
        <v>0</v>
      </c>
      <c r="P41" s="28">
        <v>83</v>
      </c>
      <c r="Q41" s="29">
        <v>25213</v>
      </c>
      <c r="R41" s="27">
        <v>0</v>
      </c>
      <c r="S41" s="28">
        <v>0</v>
      </c>
      <c r="T41" s="29">
        <v>0</v>
      </c>
      <c r="U41" s="27">
        <v>222281</v>
      </c>
      <c r="V41" s="28">
        <v>603213</v>
      </c>
      <c r="W41" s="29">
        <v>617323</v>
      </c>
      <c r="X41" s="27">
        <v>254621</v>
      </c>
      <c r="Y41" s="28">
        <v>476623</v>
      </c>
      <c r="Z41" s="29">
        <v>451718</v>
      </c>
      <c r="AA41" s="27">
        <v>2600</v>
      </c>
      <c r="AB41" s="28">
        <v>116700</v>
      </c>
      <c r="AC41" s="29">
        <v>166640</v>
      </c>
      <c r="AD41" s="27">
        <v>34940</v>
      </c>
      <c r="AE41" s="28">
        <v>-9890</v>
      </c>
      <c r="AF41" s="29">
        <v>1035</v>
      </c>
      <c r="AG41" s="27">
        <v>710</v>
      </c>
      <c r="AH41" s="28">
        <v>1672</v>
      </c>
      <c r="AI41" s="29">
        <v>0</v>
      </c>
      <c r="AJ41" s="27">
        <v>0</v>
      </c>
      <c r="AK41" s="28">
        <v>0</v>
      </c>
      <c r="AL41" s="29">
        <v>0</v>
      </c>
      <c r="AM41" s="27">
        <v>25928.65</v>
      </c>
      <c r="AN41" s="28">
        <v>16412.319999999992</v>
      </c>
      <c r="AO41" s="29">
        <v>2276812.73</v>
      </c>
      <c r="AP41" s="27">
        <v>0</v>
      </c>
      <c r="AQ41" s="28">
        <v>0</v>
      </c>
      <c r="AR41" s="29">
        <v>0</v>
      </c>
      <c r="AS41" s="24">
        <v>3.1117371789963698E-5</v>
      </c>
      <c r="AT41" s="25">
        <v>8.0988093490872614E-5</v>
      </c>
      <c r="AU41" s="26">
        <v>0</v>
      </c>
      <c r="AV41" s="24">
        <v>0</v>
      </c>
      <c r="AW41" s="25">
        <v>0</v>
      </c>
      <c r="AX41" s="26">
        <v>0</v>
      </c>
    </row>
    <row r="42" spans="1:50" x14ac:dyDescent="0.2">
      <c r="A42" s="22">
        <v>5401</v>
      </c>
      <c r="B42" s="23" t="s">
        <v>59</v>
      </c>
      <c r="C42" s="27">
        <v>0</v>
      </c>
      <c r="D42" s="28">
        <v>0</v>
      </c>
      <c r="E42" s="29">
        <v>0</v>
      </c>
      <c r="F42" s="27">
        <v>0</v>
      </c>
      <c r="G42" s="28">
        <v>0</v>
      </c>
      <c r="H42" s="29">
        <v>0</v>
      </c>
      <c r="I42" s="27">
        <v>0</v>
      </c>
      <c r="J42" s="28">
        <v>0</v>
      </c>
      <c r="K42" s="29">
        <v>0</v>
      </c>
      <c r="L42" s="27">
        <v>0</v>
      </c>
      <c r="M42" s="28">
        <v>0</v>
      </c>
      <c r="N42" s="29">
        <v>0</v>
      </c>
      <c r="O42" s="27">
        <v>0</v>
      </c>
      <c r="P42" s="28">
        <v>0</v>
      </c>
      <c r="Q42" s="29">
        <v>0</v>
      </c>
      <c r="R42" s="27">
        <v>2</v>
      </c>
      <c r="S42" s="28">
        <v>96</v>
      </c>
      <c r="T42" s="29">
        <v>0</v>
      </c>
      <c r="U42" s="27">
        <v>1210401</v>
      </c>
      <c r="V42" s="28">
        <v>4066560</v>
      </c>
      <c r="W42" s="29">
        <v>3441894</v>
      </c>
      <c r="X42" s="27">
        <v>1401618</v>
      </c>
      <c r="Y42" s="28">
        <v>11609377</v>
      </c>
      <c r="Z42" s="29">
        <v>4051746</v>
      </c>
      <c r="AA42" s="27">
        <v>-170813</v>
      </c>
      <c r="AB42" s="28">
        <v>-4622333</v>
      </c>
      <c r="AC42" s="29">
        <v>-93618</v>
      </c>
      <c r="AD42" s="27">
        <v>20406</v>
      </c>
      <c r="AE42" s="28">
        <v>2920580</v>
      </c>
      <c r="AF42" s="29">
        <v>516234</v>
      </c>
      <c r="AG42" s="27">
        <v>29513.360000000102</v>
      </c>
      <c r="AH42" s="28">
        <v>62948.510000000242</v>
      </c>
      <c r="AI42" s="29">
        <v>96139.930000000575</v>
      </c>
      <c r="AJ42" s="27">
        <v>305748.73</v>
      </c>
      <c r="AK42" s="28">
        <v>9.9999999620195013E-3</v>
      </c>
      <c r="AL42" s="29">
        <v>0.01</v>
      </c>
      <c r="AM42" s="27">
        <v>7009750.2599999998</v>
      </c>
      <c r="AN42" s="28">
        <v>9315747.4299999997</v>
      </c>
      <c r="AO42" s="29">
        <v>31797317.940000001</v>
      </c>
      <c r="AP42" s="27">
        <v>0</v>
      </c>
      <c r="AQ42" s="28">
        <v>0</v>
      </c>
      <c r="AR42" s="29">
        <v>0</v>
      </c>
      <c r="AS42" s="24">
        <v>1.6051736683938043E-4</v>
      </c>
      <c r="AT42" s="25">
        <v>3.5936223755745586E-4</v>
      </c>
      <c r="AU42" s="26">
        <v>4.7725511608400493E-4</v>
      </c>
      <c r="AV42" s="24">
        <v>0</v>
      </c>
      <c r="AW42" s="25">
        <v>0</v>
      </c>
      <c r="AX42" s="26">
        <v>0</v>
      </c>
    </row>
    <row r="43" spans="1:50" x14ac:dyDescent="0.2">
      <c r="A43" s="22">
        <v>5402</v>
      </c>
      <c r="B43" s="23" t="s">
        <v>60</v>
      </c>
      <c r="C43" s="27">
        <v>0</v>
      </c>
      <c r="D43" s="28">
        <v>0</v>
      </c>
      <c r="E43" s="29">
        <v>0</v>
      </c>
      <c r="F43" s="27">
        <v>0</v>
      </c>
      <c r="G43" s="28">
        <v>0</v>
      </c>
      <c r="H43" s="29">
        <v>0</v>
      </c>
      <c r="I43" s="27">
        <v>0</v>
      </c>
      <c r="J43" s="28">
        <v>0</v>
      </c>
      <c r="K43" s="29">
        <v>0</v>
      </c>
      <c r="L43" s="27">
        <v>0</v>
      </c>
      <c r="M43" s="28">
        <v>0</v>
      </c>
      <c r="N43" s="29">
        <v>0</v>
      </c>
      <c r="O43" s="27">
        <v>0</v>
      </c>
      <c r="P43" s="28">
        <v>0</v>
      </c>
      <c r="Q43" s="29">
        <v>0</v>
      </c>
      <c r="R43" s="27">
        <v>0</v>
      </c>
      <c r="S43" s="28">
        <v>0</v>
      </c>
      <c r="T43" s="29">
        <v>0</v>
      </c>
      <c r="U43" s="27">
        <v>1428437</v>
      </c>
      <c r="V43" s="28">
        <v>5361412</v>
      </c>
      <c r="W43" s="29">
        <v>2661405</v>
      </c>
      <c r="X43" s="27">
        <v>4021762</v>
      </c>
      <c r="Y43" s="28">
        <v>9430276</v>
      </c>
      <c r="Z43" s="29">
        <v>2938634</v>
      </c>
      <c r="AA43" s="27">
        <v>-3736972</v>
      </c>
      <c r="AB43" s="28">
        <v>-4700326</v>
      </c>
      <c r="AC43" s="29">
        <v>95123</v>
      </c>
      <c r="AD43" s="27">
        <v>-1143647</v>
      </c>
      <c r="AE43" s="28">
        <v>-631462</v>
      </c>
      <c r="AF43" s="29">
        <v>372352</v>
      </c>
      <c r="AG43" s="27">
        <v>65749.839999999982</v>
      </c>
      <c r="AH43" s="28">
        <v>40704.400000000387</v>
      </c>
      <c r="AI43" s="29">
        <v>1105065.1800000002</v>
      </c>
      <c r="AJ43" s="27">
        <v>0</v>
      </c>
      <c r="AK43" s="28">
        <v>0</v>
      </c>
      <c r="AL43" s="29">
        <v>0</v>
      </c>
      <c r="AM43" s="27">
        <v>2772750.74</v>
      </c>
      <c r="AN43" s="28">
        <v>5471241.6599999992</v>
      </c>
      <c r="AO43" s="29">
        <v>21894624.91</v>
      </c>
      <c r="AP43" s="27">
        <v>0</v>
      </c>
      <c r="AQ43" s="28">
        <v>0</v>
      </c>
      <c r="AR43" s="29">
        <v>0</v>
      </c>
      <c r="AS43" s="24">
        <v>9.7535545933442414E-4</v>
      </c>
      <c r="AT43" s="25">
        <v>6.138472467960847E-4</v>
      </c>
      <c r="AU43" s="26">
        <v>1.493160599569825E-2</v>
      </c>
      <c r="AV43" s="24">
        <v>0</v>
      </c>
      <c r="AW43" s="25">
        <v>0</v>
      </c>
      <c r="AX43" s="26">
        <v>0</v>
      </c>
    </row>
    <row r="44" spans="1:50" x14ac:dyDescent="0.2">
      <c r="A44" s="22">
        <v>5403</v>
      </c>
      <c r="B44" s="23" t="s">
        <v>61</v>
      </c>
      <c r="C44" s="27">
        <v>0</v>
      </c>
      <c r="D44" s="28">
        <v>0</v>
      </c>
      <c r="E44" s="29">
        <v>0</v>
      </c>
      <c r="F44" s="27">
        <v>1653111</v>
      </c>
      <c r="G44" s="28">
        <v>1711466</v>
      </c>
      <c r="H44" s="29">
        <v>298597</v>
      </c>
      <c r="I44" s="27">
        <v>1796992</v>
      </c>
      <c r="J44" s="28">
        <v>1716802</v>
      </c>
      <c r="K44" s="29">
        <v>228331</v>
      </c>
      <c r="L44" s="27">
        <v>35660</v>
      </c>
      <c r="M44" s="28">
        <v>-3699</v>
      </c>
      <c r="N44" s="29">
        <v>53456</v>
      </c>
      <c r="O44" s="27">
        <v>179541</v>
      </c>
      <c r="P44" s="28">
        <v>1637</v>
      </c>
      <c r="Q44" s="29">
        <v>-16810</v>
      </c>
      <c r="R44" s="27">
        <v>0</v>
      </c>
      <c r="S44" s="28">
        <v>0</v>
      </c>
      <c r="T44" s="29">
        <v>0</v>
      </c>
      <c r="U44" s="27">
        <v>220388</v>
      </c>
      <c r="V44" s="28">
        <v>600394</v>
      </c>
      <c r="W44" s="29">
        <v>959731</v>
      </c>
      <c r="X44" s="27">
        <v>92530</v>
      </c>
      <c r="Y44" s="28">
        <v>588984</v>
      </c>
      <c r="Z44" s="29">
        <v>1082972</v>
      </c>
      <c r="AA44" s="27">
        <v>137747</v>
      </c>
      <c r="AB44" s="28">
        <v>27175</v>
      </c>
      <c r="AC44" s="29">
        <v>-56164</v>
      </c>
      <c r="AD44" s="27">
        <v>9889</v>
      </c>
      <c r="AE44" s="28">
        <v>15765</v>
      </c>
      <c r="AF44" s="29">
        <v>67077</v>
      </c>
      <c r="AG44" s="27">
        <v>0</v>
      </c>
      <c r="AH44" s="28">
        <v>210861.74000000002</v>
      </c>
      <c r="AI44" s="29">
        <v>2.9103830456733704E-11</v>
      </c>
      <c r="AJ44" s="27">
        <v>0</v>
      </c>
      <c r="AK44" s="28">
        <v>0</v>
      </c>
      <c r="AL44" s="29">
        <v>0</v>
      </c>
      <c r="AM44" s="27">
        <v>4506308.88</v>
      </c>
      <c r="AN44" s="28">
        <v>4075957.3</v>
      </c>
      <c r="AO44" s="29">
        <v>2667238.0499999998</v>
      </c>
      <c r="AP44" s="27">
        <v>0</v>
      </c>
      <c r="AQ44" s="28">
        <v>0</v>
      </c>
      <c r="AR44" s="29">
        <v>0</v>
      </c>
      <c r="AS44" s="24">
        <v>0</v>
      </c>
      <c r="AT44" s="25">
        <v>8.3843449674205726E-3</v>
      </c>
      <c r="AU44" s="26">
        <v>9.2782540027156848E-19</v>
      </c>
      <c r="AV44" s="24">
        <v>0</v>
      </c>
      <c r="AW44" s="25">
        <v>0</v>
      </c>
      <c r="AX44" s="26">
        <v>0</v>
      </c>
    </row>
    <row r="45" spans="1:50" x14ac:dyDescent="0.2">
      <c r="A45" s="22">
        <v>5404</v>
      </c>
      <c r="B45" s="23" t="s">
        <v>62</v>
      </c>
      <c r="C45" s="27">
        <v>0</v>
      </c>
      <c r="D45" s="28">
        <v>0</v>
      </c>
      <c r="E45" s="29">
        <v>0</v>
      </c>
      <c r="F45" s="27">
        <v>62256</v>
      </c>
      <c r="G45" s="28">
        <v>62256</v>
      </c>
      <c r="H45" s="29">
        <v>77726</v>
      </c>
      <c r="I45" s="27">
        <v>0</v>
      </c>
      <c r="J45" s="28">
        <v>62256</v>
      </c>
      <c r="K45" s="29">
        <v>77726</v>
      </c>
      <c r="L45" s="27">
        <v>62256</v>
      </c>
      <c r="M45" s="28">
        <v>0</v>
      </c>
      <c r="N45" s="29">
        <v>0</v>
      </c>
      <c r="O45" s="27">
        <v>0</v>
      </c>
      <c r="P45" s="28">
        <v>0</v>
      </c>
      <c r="Q45" s="29">
        <v>0</v>
      </c>
      <c r="R45" s="27">
        <v>0</v>
      </c>
      <c r="S45" s="28">
        <v>0</v>
      </c>
      <c r="T45" s="29">
        <v>0</v>
      </c>
      <c r="U45" s="27">
        <v>163432</v>
      </c>
      <c r="V45" s="28">
        <v>461741</v>
      </c>
      <c r="W45" s="29">
        <v>384998</v>
      </c>
      <c r="X45" s="27">
        <v>81462</v>
      </c>
      <c r="Y45" s="28">
        <v>906365</v>
      </c>
      <c r="Z45" s="29">
        <v>447886</v>
      </c>
      <c r="AA45" s="27">
        <v>70204</v>
      </c>
      <c r="AB45" s="28">
        <v>12513</v>
      </c>
      <c r="AC45" s="29">
        <v>10542</v>
      </c>
      <c r="AD45" s="27">
        <v>-11766</v>
      </c>
      <c r="AE45" s="28">
        <v>457137</v>
      </c>
      <c r="AF45" s="29">
        <v>73430</v>
      </c>
      <c r="AG45" s="27">
        <v>-7.2759576141834259E-12</v>
      </c>
      <c r="AH45" s="28">
        <v>347.61999999999534</v>
      </c>
      <c r="AI45" s="29">
        <v>347.61999999999534</v>
      </c>
      <c r="AJ45" s="27">
        <v>0</v>
      </c>
      <c r="AK45" s="28">
        <v>0</v>
      </c>
      <c r="AL45" s="29">
        <v>0</v>
      </c>
      <c r="AM45" s="27">
        <v>220738</v>
      </c>
      <c r="AN45" s="28">
        <v>2412845.0500000003</v>
      </c>
      <c r="AO45" s="29">
        <v>2399274.5199999996</v>
      </c>
      <c r="AP45" s="27">
        <v>0</v>
      </c>
      <c r="AQ45" s="28">
        <v>0</v>
      </c>
      <c r="AR45" s="29">
        <v>0</v>
      </c>
      <c r="AS45" s="24">
        <v>-4.3559317552647906E-19</v>
      </c>
      <c r="AT45" s="25">
        <v>2.2436194289103377E-5</v>
      </c>
      <c r="AU45" s="26">
        <v>2.3512233368621886E-5</v>
      </c>
      <c r="AV45" s="24">
        <v>0</v>
      </c>
      <c r="AW45" s="25">
        <v>0</v>
      </c>
      <c r="AX45" s="26">
        <v>0</v>
      </c>
    </row>
    <row r="46" spans="1:50" x14ac:dyDescent="0.2">
      <c r="A46" s="22">
        <v>5405</v>
      </c>
      <c r="B46" s="23" t="s">
        <v>63</v>
      </c>
      <c r="C46" s="27">
        <v>0</v>
      </c>
      <c r="D46" s="28">
        <v>0</v>
      </c>
      <c r="E46" s="29">
        <v>0</v>
      </c>
      <c r="F46" s="27">
        <v>0</v>
      </c>
      <c r="G46" s="28">
        <v>90389</v>
      </c>
      <c r="H46" s="29">
        <v>937152</v>
      </c>
      <c r="I46" s="27">
        <v>0</v>
      </c>
      <c r="J46" s="28">
        <v>457155</v>
      </c>
      <c r="K46" s="29">
        <v>1473824</v>
      </c>
      <c r="L46" s="27">
        <v>0</v>
      </c>
      <c r="M46" s="28">
        <v>0</v>
      </c>
      <c r="N46" s="29">
        <v>0</v>
      </c>
      <c r="O46" s="27">
        <v>0</v>
      </c>
      <c r="P46" s="28">
        <v>366766</v>
      </c>
      <c r="Q46" s="29">
        <v>536672</v>
      </c>
      <c r="R46" s="27">
        <v>0</v>
      </c>
      <c r="S46" s="28">
        <v>0</v>
      </c>
      <c r="T46" s="29">
        <v>0</v>
      </c>
      <c r="U46" s="27">
        <v>313191</v>
      </c>
      <c r="V46" s="28">
        <v>631666</v>
      </c>
      <c r="W46" s="29">
        <v>631101</v>
      </c>
      <c r="X46" s="27">
        <v>254933</v>
      </c>
      <c r="Y46" s="28">
        <v>541551</v>
      </c>
      <c r="Z46" s="29">
        <v>710009</v>
      </c>
      <c r="AA46" s="27">
        <v>30492</v>
      </c>
      <c r="AB46" s="28">
        <v>72104</v>
      </c>
      <c r="AC46" s="29">
        <v>-17509</v>
      </c>
      <c r="AD46" s="27">
        <v>-27766</v>
      </c>
      <c r="AE46" s="28">
        <v>-18011</v>
      </c>
      <c r="AF46" s="29">
        <v>61399</v>
      </c>
      <c r="AG46" s="27">
        <v>5724.510000000002</v>
      </c>
      <c r="AH46" s="28">
        <v>46243.400000000023</v>
      </c>
      <c r="AI46" s="29">
        <v>741837.12000000011</v>
      </c>
      <c r="AJ46" s="27">
        <v>0</v>
      </c>
      <c r="AK46" s="28">
        <v>0</v>
      </c>
      <c r="AL46" s="29">
        <v>0</v>
      </c>
      <c r="AM46" s="27">
        <v>3807</v>
      </c>
      <c r="AN46" s="28">
        <v>3800399.8000000003</v>
      </c>
      <c r="AO46" s="29">
        <v>3756179.04</v>
      </c>
      <c r="AP46" s="27">
        <v>0</v>
      </c>
      <c r="AQ46" s="28">
        <v>0</v>
      </c>
      <c r="AR46" s="29">
        <v>0</v>
      </c>
      <c r="AS46" s="24">
        <v>2.999963840135669E-4</v>
      </c>
      <c r="AT46" s="25">
        <v>2.3751415336975405E-3</v>
      </c>
      <c r="AU46" s="26">
        <v>3.5753664278035273E-2</v>
      </c>
      <c r="AV46" s="24">
        <v>0</v>
      </c>
      <c r="AW46" s="25">
        <v>0</v>
      </c>
      <c r="AX46" s="26">
        <v>0</v>
      </c>
    </row>
    <row r="47" spans="1:50" x14ac:dyDescent="0.2">
      <c r="A47" s="22">
        <v>5406</v>
      </c>
      <c r="B47" s="23" t="s">
        <v>64</v>
      </c>
      <c r="C47" s="27">
        <v>11462</v>
      </c>
      <c r="D47" s="28">
        <v>29988</v>
      </c>
      <c r="E47" s="29">
        <v>21335</v>
      </c>
      <c r="F47" s="27">
        <v>2016829</v>
      </c>
      <c r="G47" s="28">
        <v>4192218</v>
      </c>
      <c r="H47" s="29">
        <v>875376</v>
      </c>
      <c r="I47" s="27">
        <v>1984588</v>
      </c>
      <c r="J47" s="28">
        <v>4185176</v>
      </c>
      <c r="K47" s="29">
        <v>750415</v>
      </c>
      <c r="L47" s="27">
        <v>71750</v>
      </c>
      <c r="M47" s="28">
        <v>13652</v>
      </c>
      <c r="N47" s="29">
        <v>-12964</v>
      </c>
      <c r="O47" s="27">
        <v>50971</v>
      </c>
      <c r="P47" s="28">
        <v>36598</v>
      </c>
      <c r="Q47" s="29">
        <v>-116590</v>
      </c>
      <c r="R47" s="27">
        <v>0</v>
      </c>
      <c r="S47" s="28">
        <v>0</v>
      </c>
      <c r="T47" s="29">
        <v>0</v>
      </c>
      <c r="U47" s="27">
        <v>593494</v>
      </c>
      <c r="V47" s="28">
        <v>2060996</v>
      </c>
      <c r="W47" s="29">
        <v>4271564</v>
      </c>
      <c r="X47" s="27">
        <v>524909</v>
      </c>
      <c r="Y47" s="28">
        <v>2233417</v>
      </c>
      <c r="Z47" s="29">
        <v>3907307</v>
      </c>
      <c r="AA47" s="27">
        <v>123108</v>
      </c>
      <c r="AB47" s="28">
        <v>429593</v>
      </c>
      <c r="AC47" s="29">
        <v>1319409</v>
      </c>
      <c r="AD47" s="27">
        <v>54523</v>
      </c>
      <c r="AE47" s="28">
        <v>602014</v>
      </c>
      <c r="AF47" s="29">
        <v>955152</v>
      </c>
      <c r="AG47" s="27">
        <v>20731.759999999878</v>
      </c>
      <c r="AH47" s="28">
        <v>288508.69000000029</v>
      </c>
      <c r="AI47" s="29">
        <v>194200.02000000048</v>
      </c>
      <c r="AJ47" s="27">
        <v>0</v>
      </c>
      <c r="AK47" s="28">
        <v>0</v>
      </c>
      <c r="AL47" s="29">
        <v>0</v>
      </c>
      <c r="AM47" s="27">
        <v>3218626.9400000004</v>
      </c>
      <c r="AN47" s="28">
        <v>8624492.6199999992</v>
      </c>
      <c r="AO47" s="29">
        <v>7095695.5699999994</v>
      </c>
      <c r="AP47" s="27">
        <v>0</v>
      </c>
      <c r="AQ47" s="28">
        <v>0</v>
      </c>
      <c r="AR47" s="29">
        <v>0</v>
      </c>
      <c r="AS47" s="24">
        <v>4.6634926716273526E-4</v>
      </c>
      <c r="AT47" s="25">
        <v>6.5140450434566354E-3</v>
      </c>
      <c r="AU47" s="26">
        <v>4.1974793209862572E-3</v>
      </c>
      <c r="AV47" s="24">
        <v>0</v>
      </c>
      <c r="AW47" s="25">
        <v>0</v>
      </c>
      <c r="AX47" s="26">
        <v>0</v>
      </c>
    </row>
    <row r="48" spans="1:50" x14ac:dyDescent="0.2">
      <c r="A48" s="22">
        <v>5407</v>
      </c>
      <c r="B48" s="23" t="s">
        <v>65</v>
      </c>
      <c r="C48" s="27">
        <v>0</v>
      </c>
      <c r="D48" s="28">
        <v>0</v>
      </c>
      <c r="E48" s="29">
        <v>0</v>
      </c>
      <c r="F48" s="27">
        <v>84941</v>
      </c>
      <c r="G48" s="28">
        <v>383046</v>
      </c>
      <c r="H48" s="29">
        <v>367648</v>
      </c>
      <c r="I48" s="27">
        <v>55844</v>
      </c>
      <c r="J48" s="28">
        <v>348489</v>
      </c>
      <c r="K48" s="29">
        <v>547018</v>
      </c>
      <c r="L48" s="27">
        <v>-55844</v>
      </c>
      <c r="M48" s="28">
        <v>-79834</v>
      </c>
      <c r="N48" s="29">
        <v>9798</v>
      </c>
      <c r="O48" s="27">
        <v>-84941</v>
      </c>
      <c r="P48" s="28">
        <v>-114391</v>
      </c>
      <c r="Q48" s="29">
        <v>189168</v>
      </c>
      <c r="R48" s="27">
        <v>0</v>
      </c>
      <c r="S48" s="28">
        <v>0</v>
      </c>
      <c r="T48" s="29">
        <v>0</v>
      </c>
      <c r="U48" s="27">
        <v>348731</v>
      </c>
      <c r="V48" s="28">
        <v>810528</v>
      </c>
      <c r="W48" s="29">
        <v>979607</v>
      </c>
      <c r="X48" s="27">
        <v>394628</v>
      </c>
      <c r="Y48" s="28">
        <v>1044620</v>
      </c>
      <c r="Z48" s="29">
        <v>996891</v>
      </c>
      <c r="AA48" s="27">
        <v>-29380</v>
      </c>
      <c r="AB48" s="28">
        <v>-223235</v>
      </c>
      <c r="AC48" s="29">
        <v>-4823</v>
      </c>
      <c r="AD48" s="27">
        <v>16517</v>
      </c>
      <c r="AE48" s="28">
        <v>10857</v>
      </c>
      <c r="AF48" s="29">
        <v>12461</v>
      </c>
      <c r="AG48" s="27">
        <v>2924.7099999999991</v>
      </c>
      <c r="AH48" s="28">
        <v>450687.94</v>
      </c>
      <c r="AI48" s="29">
        <v>4636.9799999999814</v>
      </c>
      <c r="AJ48" s="27">
        <v>0</v>
      </c>
      <c r="AK48" s="28">
        <v>0</v>
      </c>
      <c r="AL48" s="29">
        <v>0</v>
      </c>
      <c r="AM48" s="27">
        <v>614181.79</v>
      </c>
      <c r="AN48" s="28">
        <v>1288210.45</v>
      </c>
      <c r="AO48" s="29">
        <v>3022791.9699999997</v>
      </c>
      <c r="AP48" s="27">
        <v>0</v>
      </c>
      <c r="AQ48" s="28">
        <v>0</v>
      </c>
      <c r="AR48" s="29">
        <v>0</v>
      </c>
      <c r="AS48" s="24">
        <v>1.1249866382570075E-4</v>
      </c>
      <c r="AT48" s="25">
        <v>1.701839550110245E-2</v>
      </c>
      <c r="AU48" s="26">
        <v>1.9691639569842969E-4</v>
      </c>
      <c r="AV48" s="24">
        <v>0</v>
      </c>
      <c r="AW48" s="25">
        <v>0</v>
      </c>
      <c r="AX48" s="26">
        <v>0</v>
      </c>
    </row>
    <row r="49" spans="1:50" x14ac:dyDescent="0.2">
      <c r="A49" s="22">
        <v>5408</v>
      </c>
      <c r="B49" s="23" t="s">
        <v>66</v>
      </c>
      <c r="C49" s="27">
        <v>0</v>
      </c>
      <c r="D49" s="28">
        <v>0</v>
      </c>
      <c r="E49" s="29">
        <v>0</v>
      </c>
      <c r="F49" s="27">
        <v>0</v>
      </c>
      <c r="G49" s="28">
        <v>23268</v>
      </c>
      <c r="H49" s="29">
        <v>0</v>
      </c>
      <c r="I49" s="27">
        <v>0</v>
      </c>
      <c r="J49" s="28">
        <v>0</v>
      </c>
      <c r="K49" s="29">
        <v>22276</v>
      </c>
      <c r="L49" s="27">
        <v>0</v>
      </c>
      <c r="M49" s="28">
        <v>23268</v>
      </c>
      <c r="N49" s="29">
        <v>0</v>
      </c>
      <c r="O49" s="27">
        <v>0</v>
      </c>
      <c r="P49" s="28">
        <v>0</v>
      </c>
      <c r="Q49" s="29">
        <v>22276</v>
      </c>
      <c r="R49" s="27">
        <v>0</v>
      </c>
      <c r="S49" s="28">
        <v>0</v>
      </c>
      <c r="T49" s="29">
        <v>0</v>
      </c>
      <c r="U49" s="27">
        <v>1304814</v>
      </c>
      <c r="V49" s="28">
        <v>5509100</v>
      </c>
      <c r="W49" s="29">
        <v>6634097</v>
      </c>
      <c r="X49" s="27">
        <v>1305663</v>
      </c>
      <c r="Y49" s="28">
        <v>4521081</v>
      </c>
      <c r="Z49" s="29">
        <v>9286482</v>
      </c>
      <c r="AA49" s="27">
        <v>222974</v>
      </c>
      <c r="AB49" s="28">
        <v>880703</v>
      </c>
      <c r="AC49" s="29">
        <v>-625272</v>
      </c>
      <c r="AD49" s="27">
        <v>223823</v>
      </c>
      <c r="AE49" s="28">
        <v>-107316</v>
      </c>
      <c r="AF49" s="29">
        <v>2027113</v>
      </c>
      <c r="AG49" s="27">
        <v>1506</v>
      </c>
      <c r="AH49" s="28">
        <v>0</v>
      </c>
      <c r="AI49" s="29">
        <v>29899.089999999851</v>
      </c>
      <c r="AJ49" s="27">
        <v>0</v>
      </c>
      <c r="AK49" s="28">
        <v>0</v>
      </c>
      <c r="AL49" s="29">
        <v>0</v>
      </c>
      <c r="AM49" s="27">
        <v>7814806.2799999993</v>
      </c>
      <c r="AN49" s="28">
        <v>22828004.919999998</v>
      </c>
      <c r="AO49" s="29">
        <v>44180023.280000001</v>
      </c>
      <c r="AP49" s="27">
        <v>0</v>
      </c>
      <c r="AQ49" s="28">
        <v>0</v>
      </c>
      <c r="AR49" s="29">
        <v>0</v>
      </c>
      <c r="AS49" s="24">
        <v>2.930012108187487E-5</v>
      </c>
      <c r="AT49" s="25">
        <v>0</v>
      </c>
      <c r="AU49" s="26">
        <v>5.0198988803773481E-4</v>
      </c>
      <c r="AV49" s="24">
        <v>0</v>
      </c>
      <c r="AW49" s="25">
        <v>0</v>
      </c>
      <c r="AX49" s="26">
        <v>0</v>
      </c>
    </row>
    <row r="50" spans="1:50" x14ac:dyDescent="0.2">
      <c r="A50" s="22">
        <v>5409</v>
      </c>
      <c r="B50" s="23" t="s">
        <v>67</v>
      </c>
      <c r="C50" s="27">
        <v>4908</v>
      </c>
      <c r="D50" s="28">
        <v>8437</v>
      </c>
      <c r="E50" s="29">
        <v>4925</v>
      </c>
      <c r="F50" s="27">
        <v>34659</v>
      </c>
      <c r="G50" s="28">
        <v>171877</v>
      </c>
      <c r="H50" s="29">
        <v>140147</v>
      </c>
      <c r="I50" s="27">
        <v>126146</v>
      </c>
      <c r="J50" s="28">
        <v>170494</v>
      </c>
      <c r="K50" s="29">
        <v>141530</v>
      </c>
      <c r="L50" s="27">
        <v>8112</v>
      </c>
      <c r="M50" s="28">
        <v>1383</v>
      </c>
      <c r="N50" s="29">
        <v>-1383</v>
      </c>
      <c r="O50" s="27">
        <v>104507</v>
      </c>
      <c r="P50" s="28">
        <v>8437</v>
      </c>
      <c r="Q50" s="29">
        <v>4925</v>
      </c>
      <c r="R50" s="27">
        <v>0</v>
      </c>
      <c r="S50" s="28">
        <v>0</v>
      </c>
      <c r="T50" s="29">
        <v>0</v>
      </c>
      <c r="U50" s="27">
        <v>492370</v>
      </c>
      <c r="V50" s="28">
        <v>1354627</v>
      </c>
      <c r="W50" s="29">
        <v>1493441</v>
      </c>
      <c r="X50" s="27">
        <v>462891</v>
      </c>
      <c r="Y50" s="28">
        <v>1226940</v>
      </c>
      <c r="Z50" s="29">
        <v>1683348</v>
      </c>
      <c r="AA50" s="27">
        <v>-7448</v>
      </c>
      <c r="AB50" s="28">
        <v>29105</v>
      </c>
      <c r="AC50" s="29">
        <v>-41489</v>
      </c>
      <c r="AD50" s="27">
        <v>-36927</v>
      </c>
      <c r="AE50" s="28">
        <v>-98582</v>
      </c>
      <c r="AF50" s="29">
        <v>148418</v>
      </c>
      <c r="AG50" s="27">
        <v>23236.16</v>
      </c>
      <c r="AH50" s="28">
        <v>386381.59</v>
      </c>
      <c r="AI50" s="29">
        <v>39515.449999999953</v>
      </c>
      <c r="AJ50" s="27">
        <v>0</v>
      </c>
      <c r="AK50" s="28">
        <v>0</v>
      </c>
      <c r="AL50" s="29">
        <v>0</v>
      </c>
      <c r="AM50" s="27">
        <v>5954335.5300000003</v>
      </c>
      <c r="AN50" s="28">
        <v>5619149.7599999998</v>
      </c>
      <c r="AO50" s="29">
        <v>5092550.91</v>
      </c>
      <c r="AP50" s="27">
        <v>0</v>
      </c>
      <c r="AQ50" s="28">
        <v>0</v>
      </c>
      <c r="AR50" s="29">
        <v>0</v>
      </c>
      <c r="AS50" s="24">
        <v>8.8260406060404863E-4</v>
      </c>
      <c r="AT50" s="25">
        <v>1.4246621280805732E-2</v>
      </c>
      <c r="AU50" s="26">
        <v>1.4393223187486198E-3</v>
      </c>
      <c r="AV50" s="24">
        <v>0</v>
      </c>
      <c r="AW50" s="25">
        <v>0</v>
      </c>
      <c r="AX50" s="26">
        <v>0</v>
      </c>
    </row>
    <row r="51" spans="1:50" x14ac:dyDescent="0.2">
      <c r="A51" s="22">
        <v>5410</v>
      </c>
      <c r="B51" s="23" t="s">
        <v>68</v>
      </c>
      <c r="C51" s="27">
        <v>0</v>
      </c>
      <c r="D51" s="28">
        <v>0</v>
      </c>
      <c r="E51" s="29">
        <v>0</v>
      </c>
      <c r="F51" s="27">
        <v>0</v>
      </c>
      <c r="G51" s="28">
        <v>1042551</v>
      </c>
      <c r="H51" s="29">
        <v>25316</v>
      </c>
      <c r="I51" s="27">
        <v>0</v>
      </c>
      <c r="J51" s="28">
        <v>1063929</v>
      </c>
      <c r="K51" s="29">
        <v>15716</v>
      </c>
      <c r="L51" s="27">
        <v>0</v>
      </c>
      <c r="M51" s="28">
        <v>0</v>
      </c>
      <c r="N51" s="29">
        <v>0</v>
      </c>
      <c r="O51" s="27">
        <v>0</v>
      </c>
      <c r="P51" s="28">
        <v>21378</v>
      </c>
      <c r="Q51" s="29">
        <v>-9600</v>
      </c>
      <c r="R51" s="27">
        <v>0</v>
      </c>
      <c r="S51" s="28">
        <v>0</v>
      </c>
      <c r="T51" s="29">
        <v>0</v>
      </c>
      <c r="U51" s="27">
        <v>113712</v>
      </c>
      <c r="V51" s="28">
        <v>264873</v>
      </c>
      <c r="W51" s="29">
        <v>233613</v>
      </c>
      <c r="X51" s="27">
        <v>93720</v>
      </c>
      <c r="Y51" s="28">
        <v>218151</v>
      </c>
      <c r="Z51" s="29">
        <v>196219</v>
      </c>
      <c r="AA51" s="27">
        <v>-1345</v>
      </c>
      <c r="AB51" s="28">
        <v>26620</v>
      </c>
      <c r="AC51" s="29">
        <v>19890</v>
      </c>
      <c r="AD51" s="27">
        <v>-21337</v>
      </c>
      <c r="AE51" s="28">
        <v>-20102</v>
      </c>
      <c r="AF51" s="29">
        <v>-17504</v>
      </c>
      <c r="AG51" s="27">
        <v>10799.289999999997</v>
      </c>
      <c r="AH51" s="28">
        <v>6813.5299999999988</v>
      </c>
      <c r="AI51" s="29">
        <v>12622.760000000009</v>
      </c>
      <c r="AJ51" s="27">
        <v>0</v>
      </c>
      <c r="AK51" s="28">
        <v>0</v>
      </c>
      <c r="AL51" s="29">
        <v>0</v>
      </c>
      <c r="AM51" s="27">
        <v>2207666.4799999995</v>
      </c>
      <c r="AN51" s="28">
        <v>1122368.3299999998</v>
      </c>
      <c r="AO51" s="29">
        <v>1124854.23</v>
      </c>
      <c r="AP51" s="27">
        <v>0</v>
      </c>
      <c r="AQ51" s="28">
        <v>0</v>
      </c>
      <c r="AR51" s="29">
        <v>0</v>
      </c>
      <c r="AS51" s="24">
        <v>1.0259686897470962E-3</v>
      </c>
      <c r="AT51" s="25">
        <v>7.6342577502753225E-4</v>
      </c>
      <c r="AU51" s="26">
        <v>1.3005963816088084E-3</v>
      </c>
      <c r="AV51" s="24">
        <v>0</v>
      </c>
      <c r="AW51" s="25">
        <v>0</v>
      </c>
      <c r="AX51" s="26">
        <v>0</v>
      </c>
    </row>
    <row r="52" spans="1:50" x14ac:dyDescent="0.2">
      <c r="A52" s="22">
        <v>5501</v>
      </c>
      <c r="B52" s="23" t="s">
        <v>69</v>
      </c>
      <c r="C52" s="27">
        <v>0</v>
      </c>
      <c r="D52" s="28">
        <v>0</v>
      </c>
      <c r="E52" s="29">
        <v>0</v>
      </c>
      <c r="F52" s="27">
        <v>0</v>
      </c>
      <c r="G52" s="28">
        <v>0</v>
      </c>
      <c r="H52" s="29">
        <v>0</v>
      </c>
      <c r="I52" s="27">
        <v>0</v>
      </c>
      <c r="J52" s="28">
        <v>0</v>
      </c>
      <c r="K52" s="29">
        <v>0</v>
      </c>
      <c r="L52" s="27">
        <v>0</v>
      </c>
      <c r="M52" s="28">
        <v>0</v>
      </c>
      <c r="N52" s="29">
        <v>0</v>
      </c>
      <c r="O52" s="27">
        <v>0</v>
      </c>
      <c r="P52" s="28">
        <v>0</v>
      </c>
      <c r="Q52" s="29">
        <v>0</v>
      </c>
      <c r="R52" s="27">
        <v>7233</v>
      </c>
      <c r="S52" s="28">
        <v>7233</v>
      </c>
      <c r="T52" s="29">
        <v>0</v>
      </c>
      <c r="U52" s="27">
        <v>1306386</v>
      </c>
      <c r="V52" s="28">
        <v>2499342</v>
      </c>
      <c r="W52" s="29">
        <v>1051488</v>
      </c>
      <c r="X52" s="27">
        <v>2068337</v>
      </c>
      <c r="Y52" s="28">
        <v>3337526</v>
      </c>
      <c r="Z52" s="29">
        <v>737240</v>
      </c>
      <c r="AA52" s="27">
        <v>-695532</v>
      </c>
      <c r="AB52" s="28">
        <v>-695532</v>
      </c>
      <c r="AC52" s="29">
        <v>423853</v>
      </c>
      <c r="AD52" s="27">
        <v>73652</v>
      </c>
      <c r="AE52" s="28">
        <v>149885</v>
      </c>
      <c r="AF52" s="29">
        <v>109605</v>
      </c>
      <c r="AG52" s="27">
        <v>6938.8800000000047</v>
      </c>
      <c r="AH52" s="28">
        <v>206680.39000000013</v>
      </c>
      <c r="AI52" s="29">
        <v>8478.2700000000186</v>
      </c>
      <c r="AJ52" s="27">
        <v>0</v>
      </c>
      <c r="AK52" s="28">
        <v>0</v>
      </c>
      <c r="AL52" s="29">
        <v>0</v>
      </c>
      <c r="AM52" s="27">
        <v>1273788.23</v>
      </c>
      <c r="AN52" s="28">
        <v>291078.5</v>
      </c>
      <c r="AO52" s="29">
        <v>296800.87</v>
      </c>
      <c r="AP52" s="27">
        <v>0</v>
      </c>
      <c r="AQ52" s="28">
        <v>0</v>
      </c>
      <c r="AR52" s="29">
        <v>0</v>
      </c>
      <c r="AS52" s="24">
        <v>3.5668349243950562E-4</v>
      </c>
      <c r="AT52" s="25">
        <v>1.1804806285710507E-2</v>
      </c>
      <c r="AU52" s="26">
        <v>3.7933929324781088E-4</v>
      </c>
      <c r="AV52" s="24">
        <v>0</v>
      </c>
      <c r="AW52" s="25">
        <v>0</v>
      </c>
      <c r="AX52" s="26">
        <v>0</v>
      </c>
    </row>
    <row r="53" spans="1:50" x14ac:dyDescent="0.2">
      <c r="A53" s="22">
        <v>5502</v>
      </c>
      <c r="B53" s="23" t="s">
        <v>70</v>
      </c>
      <c r="C53" s="27">
        <v>0</v>
      </c>
      <c r="D53" s="28">
        <v>0</v>
      </c>
      <c r="E53" s="29">
        <v>0</v>
      </c>
      <c r="F53" s="27">
        <v>0</v>
      </c>
      <c r="G53" s="28">
        <v>0</v>
      </c>
      <c r="H53" s="29">
        <v>0</v>
      </c>
      <c r="I53" s="27">
        <v>0</v>
      </c>
      <c r="J53" s="28">
        <v>0</v>
      </c>
      <c r="K53" s="29">
        <v>0</v>
      </c>
      <c r="L53" s="27">
        <v>0</v>
      </c>
      <c r="M53" s="28">
        <v>0</v>
      </c>
      <c r="N53" s="29">
        <v>0</v>
      </c>
      <c r="O53" s="27">
        <v>0</v>
      </c>
      <c r="P53" s="28">
        <v>0</v>
      </c>
      <c r="Q53" s="29">
        <v>0</v>
      </c>
      <c r="R53" s="27">
        <v>0</v>
      </c>
      <c r="S53" s="28">
        <v>0</v>
      </c>
      <c r="T53" s="29">
        <v>0</v>
      </c>
      <c r="U53" s="27">
        <v>59404</v>
      </c>
      <c r="V53" s="28">
        <v>202638</v>
      </c>
      <c r="W53" s="29">
        <v>260960</v>
      </c>
      <c r="X53" s="27">
        <v>32105</v>
      </c>
      <c r="Y53" s="28">
        <v>171180</v>
      </c>
      <c r="Z53" s="29">
        <v>215010</v>
      </c>
      <c r="AA53" s="27">
        <v>30000</v>
      </c>
      <c r="AB53" s="28">
        <v>16895</v>
      </c>
      <c r="AC53" s="29">
        <v>74000</v>
      </c>
      <c r="AD53" s="27">
        <v>2701</v>
      </c>
      <c r="AE53" s="28">
        <v>-14563</v>
      </c>
      <c r="AF53" s="29">
        <v>28050</v>
      </c>
      <c r="AG53" s="27">
        <v>2292.8300000000017</v>
      </c>
      <c r="AH53" s="28">
        <v>2395</v>
      </c>
      <c r="AI53" s="29">
        <v>3046</v>
      </c>
      <c r="AJ53" s="27">
        <v>0</v>
      </c>
      <c r="AK53" s="28">
        <v>0</v>
      </c>
      <c r="AL53" s="29">
        <v>0</v>
      </c>
      <c r="AM53" s="27">
        <v>0</v>
      </c>
      <c r="AN53" s="28">
        <v>0</v>
      </c>
      <c r="AO53" s="29">
        <v>0</v>
      </c>
      <c r="AP53" s="27">
        <v>0</v>
      </c>
      <c r="AQ53" s="28">
        <v>0</v>
      </c>
      <c r="AR53" s="29">
        <v>0</v>
      </c>
      <c r="AS53" s="24">
        <v>3.0536344806864963E-4</v>
      </c>
      <c r="AT53" s="25">
        <v>3.7927994454753009E-4</v>
      </c>
      <c r="AU53" s="26">
        <v>3.6241872498332173E-4</v>
      </c>
      <c r="AV53" s="24">
        <v>0</v>
      </c>
      <c r="AW53" s="25">
        <v>0</v>
      </c>
      <c r="AX53" s="26">
        <v>0</v>
      </c>
    </row>
    <row r="54" spans="1:50" x14ac:dyDescent="0.2">
      <c r="A54" s="22">
        <v>5503</v>
      </c>
      <c r="B54" s="23" t="s">
        <v>71</v>
      </c>
      <c r="C54" s="27">
        <v>0</v>
      </c>
      <c r="D54" s="28">
        <v>0</v>
      </c>
      <c r="E54" s="29">
        <v>0</v>
      </c>
      <c r="F54" s="27">
        <v>0</v>
      </c>
      <c r="G54" s="28">
        <v>26820</v>
      </c>
      <c r="H54" s="29">
        <v>1108150</v>
      </c>
      <c r="I54" s="27">
        <v>0</v>
      </c>
      <c r="J54" s="28">
        <v>1151587</v>
      </c>
      <c r="K54" s="29">
        <v>0</v>
      </c>
      <c r="L54" s="27">
        <v>0</v>
      </c>
      <c r="M54" s="28">
        <v>0</v>
      </c>
      <c r="N54" s="29">
        <v>0</v>
      </c>
      <c r="O54" s="27">
        <v>0</v>
      </c>
      <c r="P54" s="28">
        <v>1124767</v>
      </c>
      <c r="Q54" s="29">
        <v>-1108150</v>
      </c>
      <c r="R54" s="27">
        <v>0</v>
      </c>
      <c r="S54" s="28">
        <v>0</v>
      </c>
      <c r="T54" s="29">
        <v>0</v>
      </c>
      <c r="U54" s="27">
        <v>289207</v>
      </c>
      <c r="V54" s="28">
        <v>667375</v>
      </c>
      <c r="W54" s="29">
        <v>315263</v>
      </c>
      <c r="X54" s="27">
        <v>237831</v>
      </c>
      <c r="Y54" s="28">
        <v>620169</v>
      </c>
      <c r="Z54" s="29">
        <v>249443</v>
      </c>
      <c r="AA54" s="27">
        <v>0</v>
      </c>
      <c r="AB54" s="28">
        <v>0</v>
      </c>
      <c r="AC54" s="29">
        <v>0</v>
      </c>
      <c r="AD54" s="27">
        <v>-51376</v>
      </c>
      <c r="AE54" s="28">
        <v>-47206</v>
      </c>
      <c r="AF54" s="29">
        <v>-65820</v>
      </c>
      <c r="AG54" s="27">
        <v>18543.999999999971</v>
      </c>
      <c r="AH54" s="28">
        <v>37020.780000000006</v>
      </c>
      <c r="AI54" s="29">
        <v>67916.659999999974</v>
      </c>
      <c r="AJ54" s="27">
        <v>0</v>
      </c>
      <c r="AK54" s="28">
        <v>0</v>
      </c>
      <c r="AL54" s="29">
        <v>0</v>
      </c>
      <c r="AM54" s="27">
        <v>2299008.25</v>
      </c>
      <c r="AN54" s="28">
        <v>2413752.3600000003</v>
      </c>
      <c r="AO54" s="29">
        <v>388102.93000000017</v>
      </c>
      <c r="AP54" s="27">
        <v>0</v>
      </c>
      <c r="AQ54" s="28">
        <v>0</v>
      </c>
      <c r="AR54" s="29">
        <v>0</v>
      </c>
      <c r="AS54" s="24">
        <v>1.3369424434886939E-3</v>
      </c>
      <c r="AT54" s="25">
        <v>2.5896600174011419E-3</v>
      </c>
      <c r="AU54" s="26">
        <v>4.9490132565314397E-3</v>
      </c>
      <c r="AV54" s="24">
        <v>0</v>
      </c>
      <c r="AW54" s="25">
        <v>0</v>
      </c>
      <c r="AX54" s="26">
        <v>0</v>
      </c>
    </row>
    <row r="55" spans="1:50" x14ac:dyDescent="0.2">
      <c r="A55" s="22">
        <v>5504</v>
      </c>
      <c r="B55" s="23" t="s">
        <v>72</v>
      </c>
      <c r="C55" s="27">
        <v>0</v>
      </c>
      <c r="D55" s="28">
        <v>0</v>
      </c>
      <c r="E55" s="29">
        <v>0</v>
      </c>
      <c r="F55" s="27">
        <v>0</v>
      </c>
      <c r="G55" s="28">
        <v>0</v>
      </c>
      <c r="H55" s="29">
        <v>0</v>
      </c>
      <c r="I55" s="27">
        <v>0</v>
      </c>
      <c r="J55" s="28">
        <v>0</v>
      </c>
      <c r="K55" s="29">
        <v>0</v>
      </c>
      <c r="L55" s="27">
        <v>0</v>
      </c>
      <c r="M55" s="28">
        <v>0</v>
      </c>
      <c r="N55" s="29">
        <v>0</v>
      </c>
      <c r="O55" s="27">
        <v>0</v>
      </c>
      <c r="P55" s="28">
        <v>0</v>
      </c>
      <c r="Q55" s="29">
        <v>0</v>
      </c>
      <c r="R55" s="27">
        <v>81468</v>
      </c>
      <c r="S55" s="28">
        <v>81468</v>
      </c>
      <c r="T55" s="29">
        <v>0</v>
      </c>
      <c r="U55" s="27">
        <v>1700130</v>
      </c>
      <c r="V55" s="28">
        <v>3706119</v>
      </c>
      <c r="W55" s="29">
        <v>4007525</v>
      </c>
      <c r="X55" s="27">
        <v>13296956</v>
      </c>
      <c r="Y55" s="28">
        <v>17012753</v>
      </c>
      <c r="Z55" s="29">
        <v>7618087</v>
      </c>
      <c r="AA55" s="27">
        <v>-12958791</v>
      </c>
      <c r="AB55" s="28">
        <v>-15675197</v>
      </c>
      <c r="AC55" s="29">
        <v>-4200235</v>
      </c>
      <c r="AD55" s="27">
        <v>-1280497</v>
      </c>
      <c r="AE55" s="28">
        <v>-2287095</v>
      </c>
      <c r="AF55" s="29">
        <v>-589673</v>
      </c>
      <c r="AG55" s="27">
        <v>2213514.9500000002</v>
      </c>
      <c r="AH55" s="28">
        <v>2141147.2999999998</v>
      </c>
      <c r="AI55" s="29">
        <v>653792.06999999983</v>
      </c>
      <c r="AJ55" s="27">
        <v>1466441.64</v>
      </c>
      <c r="AK55" s="28">
        <v>1466441.64</v>
      </c>
      <c r="AL55" s="29">
        <v>0</v>
      </c>
      <c r="AM55" s="27">
        <v>3885181.0200000005</v>
      </c>
      <c r="AN55" s="28">
        <v>4247894.8499999996</v>
      </c>
      <c r="AO55" s="29">
        <v>17633077.560000002</v>
      </c>
      <c r="AP55" s="27">
        <v>0</v>
      </c>
      <c r="AQ55" s="28">
        <v>0</v>
      </c>
      <c r="AR55" s="29">
        <v>0</v>
      </c>
      <c r="AS55" s="24">
        <v>2.1830664559601792E-2</v>
      </c>
      <c r="AT55" s="25">
        <v>2.0463939595141398E-2</v>
      </c>
      <c r="AU55" s="26">
        <v>6.1240280785877996E-3</v>
      </c>
      <c r="AV55" s="24">
        <v>0</v>
      </c>
      <c r="AW55" s="25">
        <v>0</v>
      </c>
      <c r="AX55" s="26">
        <v>0</v>
      </c>
    </row>
    <row r="56" spans="1:50" x14ac:dyDescent="0.2">
      <c r="A56" s="22">
        <v>5505</v>
      </c>
      <c r="B56" s="23" t="s">
        <v>73</v>
      </c>
      <c r="C56" s="27">
        <v>0</v>
      </c>
      <c r="D56" s="28">
        <v>0</v>
      </c>
      <c r="E56" s="29">
        <v>0</v>
      </c>
      <c r="F56" s="27">
        <v>0</v>
      </c>
      <c r="G56" s="28">
        <v>0</v>
      </c>
      <c r="H56" s="29">
        <v>401168</v>
      </c>
      <c r="I56" s="27">
        <v>0</v>
      </c>
      <c r="J56" s="28">
        <v>794476</v>
      </c>
      <c r="K56" s="29">
        <v>0</v>
      </c>
      <c r="L56" s="27">
        <v>0</v>
      </c>
      <c r="M56" s="28">
        <v>0</v>
      </c>
      <c r="N56" s="29">
        <v>0</v>
      </c>
      <c r="O56" s="27">
        <v>0</v>
      </c>
      <c r="P56" s="28">
        <v>794476</v>
      </c>
      <c r="Q56" s="29">
        <v>-401168</v>
      </c>
      <c r="R56" s="27">
        <v>0</v>
      </c>
      <c r="S56" s="28">
        <v>0</v>
      </c>
      <c r="T56" s="29">
        <v>0</v>
      </c>
      <c r="U56" s="27">
        <v>110003</v>
      </c>
      <c r="V56" s="28">
        <v>385567</v>
      </c>
      <c r="W56" s="29">
        <v>219326</v>
      </c>
      <c r="X56" s="27">
        <v>112967</v>
      </c>
      <c r="Y56" s="28">
        <v>356718</v>
      </c>
      <c r="Z56" s="29">
        <v>174972</v>
      </c>
      <c r="AA56" s="27">
        <v>13657</v>
      </c>
      <c r="AB56" s="28">
        <v>17757</v>
      </c>
      <c r="AC56" s="29">
        <v>32932</v>
      </c>
      <c r="AD56" s="27">
        <v>16621</v>
      </c>
      <c r="AE56" s="28">
        <v>-11092</v>
      </c>
      <c r="AF56" s="29">
        <v>-11422</v>
      </c>
      <c r="AG56" s="27">
        <v>5138.7999999999993</v>
      </c>
      <c r="AH56" s="28">
        <v>6083.3899999999994</v>
      </c>
      <c r="AI56" s="29">
        <v>9566.89</v>
      </c>
      <c r="AJ56" s="27">
        <v>0</v>
      </c>
      <c r="AK56" s="28">
        <v>0</v>
      </c>
      <c r="AL56" s="29">
        <v>0</v>
      </c>
      <c r="AM56" s="27">
        <v>2000</v>
      </c>
      <c r="AN56" s="28">
        <v>1835874.52</v>
      </c>
      <c r="AO56" s="29">
        <v>1432706.17</v>
      </c>
      <c r="AP56" s="27">
        <v>0</v>
      </c>
      <c r="AQ56" s="28">
        <v>0</v>
      </c>
      <c r="AR56" s="29">
        <v>0</v>
      </c>
      <c r="AS56" s="24">
        <v>9.0495458585401777E-4</v>
      </c>
      <c r="AT56" s="25">
        <v>1.1912194951926418E-3</v>
      </c>
      <c r="AU56" s="26">
        <v>1.7244279464002626E-3</v>
      </c>
      <c r="AV56" s="24">
        <v>0</v>
      </c>
      <c r="AW56" s="25">
        <v>0</v>
      </c>
      <c r="AX56" s="26">
        <v>0</v>
      </c>
    </row>
    <row r="57" spans="1:50" x14ac:dyDescent="0.2">
      <c r="A57" s="22">
        <v>5506</v>
      </c>
      <c r="B57" s="23" t="s">
        <v>74</v>
      </c>
      <c r="C57" s="27">
        <v>0</v>
      </c>
      <c r="D57" s="28">
        <v>0</v>
      </c>
      <c r="E57" s="29">
        <v>0</v>
      </c>
      <c r="F57" s="27">
        <v>1746156</v>
      </c>
      <c r="G57" s="28">
        <v>3200812</v>
      </c>
      <c r="H57" s="29">
        <v>290931</v>
      </c>
      <c r="I57" s="27">
        <v>0</v>
      </c>
      <c r="J57" s="28">
        <v>1454656</v>
      </c>
      <c r="K57" s="29">
        <v>290931</v>
      </c>
      <c r="L57" s="27">
        <v>0</v>
      </c>
      <c r="M57" s="28">
        <v>0</v>
      </c>
      <c r="N57" s="29">
        <v>0</v>
      </c>
      <c r="O57" s="27">
        <v>-1746156</v>
      </c>
      <c r="P57" s="28">
        <v>-1746156</v>
      </c>
      <c r="Q57" s="29">
        <v>0</v>
      </c>
      <c r="R57" s="27">
        <v>0</v>
      </c>
      <c r="S57" s="28">
        <v>0</v>
      </c>
      <c r="T57" s="29">
        <v>0</v>
      </c>
      <c r="U57" s="27">
        <v>596933</v>
      </c>
      <c r="V57" s="28">
        <v>1078065</v>
      </c>
      <c r="W57" s="29">
        <v>1250045</v>
      </c>
      <c r="X57" s="27">
        <v>149273</v>
      </c>
      <c r="Y57" s="28">
        <v>1274119</v>
      </c>
      <c r="Z57" s="29">
        <v>762731</v>
      </c>
      <c r="AA57" s="27">
        <v>444263</v>
      </c>
      <c r="AB57" s="28">
        <v>277205</v>
      </c>
      <c r="AC57" s="29">
        <v>79635</v>
      </c>
      <c r="AD57" s="27">
        <v>-3397</v>
      </c>
      <c r="AE57" s="28">
        <v>473259</v>
      </c>
      <c r="AF57" s="29">
        <v>-407679</v>
      </c>
      <c r="AG57" s="27">
        <v>3600</v>
      </c>
      <c r="AH57" s="28">
        <v>380140.59999999986</v>
      </c>
      <c r="AI57" s="29">
        <v>5736</v>
      </c>
      <c r="AJ57" s="27">
        <v>0</v>
      </c>
      <c r="AK57" s="28">
        <v>0</v>
      </c>
      <c r="AL57" s="29">
        <v>0</v>
      </c>
      <c r="AM57" s="27">
        <v>4714380.5</v>
      </c>
      <c r="AN57" s="28">
        <v>3441758.55</v>
      </c>
      <c r="AO57" s="29">
        <v>2676663.96</v>
      </c>
      <c r="AP57" s="27">
        <v>0</v>
      </c>
      <c r="AQ57" s="28">
        <v>0</v>
      </c>
      <c r="AR57" s="29">
        <v>0</v>
      </c>
      <c r="AS57" s="24">
        <v>2.1255099452610339E-4</v>
      </c>
      <c r="AT57" s="25">
        <v>2.1462204216948919E-2</v>
      </c>
      <c r="AU57" s="26">
        <v>3.2811949773462547E-4</v>
      </c>
      <c r="AV57" s="24">
        <v>0</v>
      </c>
      <c r="AW57" s="25">
        <v>0</v>
      </c>
      <c r="AX57" s="26">
        <v>0</v>
      </c>
    </row>
    <row r="58" spans="1:50" x14ac:dyDescent="0.2">
      <c r="A58" s="22">
        <v>5507</v>
      </c>
      <c r="B58" s="23" t="s">
        <v>75</v>
      </c>
      <c r="C58" s="27">
        <v>0</v>
      </c>
      <c r="D58" s="28">
        <v>0</v>
      </c>
      <c r="E58" s="29">
        <v>0</v>
      </c>
      <c r="F58" s="27">
        <v>0</v>
      </c>
      <c r="G58" s="28">
        <v>0</v>
      </c>
      <c r="H58" s="29">
        <v>0</v>
      </c>
      <c r="I58" s="27">
        <v>0</v>
      </c>
      <c r="J58" s="28">
        <v>0</v>
      </c>
      <c r="K58" s="29">
        <v>0</v>
      </c>
      <c r="L58" s="27">
        <v>0</v>
      </c>
      <c r="M58" s="28">
        <v>0</v>
      </c>
      <c r="N58" s="29">
        <v>0</v>
      </c>
      <c r="O58" s="27">
        <v>0</v>
      </c>
      <c r="P58" s="28">
        <v>0</v>
      </c>
      <c r="Q58" s="29">
        <v>0</v>
      </c>
      <c r="R58" s="27">
        <v>0</v>
      </c>
      <c r="S58" s="28">
        <v>0</v>
      </c>
      <c r="T58" s="29">
        <v>0</v>
      </c>
      <c r="U58" s="27">
        <v>36404</v>
      </c>
      <c r="V58" s="28">
        <v>169458</v>
      </c>
      <c r="W58" s="29">
        <v>1640622</v>
      </c>
      <c r="X58" s="27">
        <v>53044</v>
      </c>
      <c r="Y58" s="28">
        <v>906216</v>
      </c>
      <c r="Z58" s="29">
        <v>931466</v>
      </c>
      <c r="AA58" s="27">
        <v>11433</v>
      </c>
      <c r="AB58" s="28">
        <v>30056</v>
      </c>
      <c r="AC58" s="29">
        <v>15408</v>
      </c>
      <c r="AD58" s="27">
        <v>28073</v>
      </c>
      <c r="AE58" s="28">
        <v>766814</v>
      </c>
      <c r="AF58" s="29">
        <v>-693748</v>
      </c>
      <c r="AG58" s="27">
        <v>0.01</v>
      </c>
      <c r="AH58" s="28">
        <v>4761.0500000000011</v>
      </c>
      <c r="AI58" s="29">
        <v>4538.7900000000282</v>
      </c>
      <c r="AJ58" s="27">
        <v>0</v>
      </c>
      <c r="AK58" s="28">
        <v>0</v>
      </c>
      <c r="AL58" s="29">
        <v>0</v>
      </c>
      <c r="AM58" s="27">
        <v>31362.770000000004</v>
      </c>
      <c r="AN58" s="28">
        <v>3162107.4699999997</v>
      </c>
      <c r="AO58" s="29">
        <v>1934666.0499999998</v>
      </c>
      <c r="AP58" s="27">
        <v>0</v>
      </c>
      <c r="AQ58" s="28">
        <v>0</v>
      </c>
      <c r="AR58" s="29">
        <v>0</v>
      </c>
      <c r="AS58" s="24">
        <v>7.8507564910447204E-10</v>
      </c>
      <c r="AT58" s="25">
        <v>4.5728660446699306E-4</v>
      </c>
      <c r="AU58" s="26">
        <v>3.1225310637075538E-4</v>
      </c>
      <c r="AV58" s="24">
        <v>0</v>
      </c>
      <c r="AW58" s="25">
        <v>0</v>
      </c>
      <c r="AX58" s="26">
        <v>0</v>
      </c>
    </row>
    <row r="59" spans="1:50" x14ac:dyDescent="0.2">
      <c r="A59" s="22">
        <v>5508</v>
      </c>
      <c r="B59" s="23" t="s">
        <v>76</v>
      </c>
      <c r="C59" s="27">
        <v>0</v>
      </c>
      <c r="D59" s="28">
        <v>0</v>
      </c>
      <c r="E59" s="29">
        <v>0</v>
      </c>
      <c r="F59" s="27">
        <v>596178</v>
      </c>
      <c r="G59" s="28">
        <v>711213</v>
      </c>
      <c r="H59" s="29">
        <v>0</v>
      </c>
      <c r="I59" s="27">
        <v>575028</v>
      </c>
      <c r="J59" s="28">
        <v>690063</v>
      </c>
      <c r="K59" s="29">
        <v>0</v>
      </c>
      <c r="L59" s="27">
        <v>-483</v>
      </c>
      <c r="M59" s="28">
        <v>-483</v>
      </c>
      <c r="N59" s="29">
        <v>0</v>
      </c>
      <c r="O59" s="27">
        <v>-21633</v>
      </c>
      <c r="P59" s="28">
        <v>-21633</v>
      </c>
      <c r="Q59" s="29">
        <v>0</v>
      </c>
      <c r="R59" s="27">
        <v>0</v>
      </c>
      <c r="S59" s="28">
        <v>0</v>
      </c>
      <c r="T59" s="29">
        <v>0</v>
      </c>
      <c r="U59" s="27">
        <v>156547</v>
      </c>
      <c r="V59" s="28">
        <v>402830</v>
      </c>
      <c r="W59" s="29">
        <v>237424</v>
      </c>
      <c r="X59" s="27">
        <v>140790</v>
      </c>
      <c r="Y59" s="28">
        <v>339993</v>
      </c>
      <c r="Z59" s="29">
        <v>174697</v>
      </c>
      <c r="AA59" s="27">
        <v>-21629</v>
      </c>
      <c r="AB59" s="28">
        <v>-75629</v>
      </c>
      <c r="AC59" s="29">
        <v>60000</v>
      </c>
      <c r="AD59" s="27">
        <v>-37386</v>
      </c>
      <c r="AE59" s="28">
        <v>-138466</v>
      </c>
      <c r="AF59" s="29">
        <v>-2727</v>
      </c>
      <c r="AG59" s="27">
        <v>13103.720000000001</v>
      </c>
      <c r="AH59" s="28">
        <v>14920.040000000008</v>
      </c>
      <c r="AI59" s="29">
        <v>19766.380000000005</v>
      </c>
      <c r="AJ59" s="27">
        <v>0</v>
      </c>
      <c r="AK59" s="28">
        <v>0</v>
      </c>
      <c r="AL59" s="29">
        <v>0</v>
      </c>
      <c r="AM59" s="27">
        <v>97106.28</v>
      </c>
      <c r="AN59" s="28">
        <v>250527.30000000002</v>
      </c>
      <c r="AO59" s="29">
        <v>165330.13</v>
      </c>
      <c r="AP59" s="27">
        <v>0</v>
      </c>
      <c r="AQ59" s="28">
        <v>0</v>
      </c>
      <c r="AR59" s="29">
        <v>0</v>
      </c>
      <c r="AS59" s="24">
        <v>2.9701904734272888E-3</v>
      </c>
      <c r="AT59" s="25">
        <v>3.3162984518351193E-3</v>
      </c>
      <c r="AU59" s="26">
        <v>4.0666718923815463E-3</v>
      </c>
      <c r="AV59" s="24">
        <v>0</v>
      </c>
      <c r="AW59" s="25">
        <v>0</v>
      </c>
      <c r="AX59" s="26">
        <v>0</v>
      </c>
    </row>
    <row r="60" spans="1:50" x14ac:dyDescent="0.2">
      <c r="A60" s="22">
        <v>5509</v>
      </c>
      <c r="B60" s="23" t="s">
        <v>77</v>
      </c>
      <c r="C60" s="27">
        <v>0</v>
      </c>
      <c r="D60" s="28">
        <v>0</v>
      </c>
      <c r="E60" s="29">
        <v>0</v>
      </c>
      <c r="F60" s="27">
        <v>13106</v>
      </c>
      <c r="G60" s="28">
        <v>13106</v>
      </c>
      <c r="H60" s="29">
        <v>25706</v>
      </c>
      <c r="I60" s="27">
        <v>13244</v>
      </c>
      <c r="J60" s="28">
        <v>13244</v>
      </c>
      <c r="K60" s="29">
        <v>25920</v>
      </c>
      <c r="L60" s="27">
        <v>0</v>
      </c>
      <c r="M60" s="28">
        <v>0</v>
      </c>
      <c r="N60" s="29">
        <v>0</v>
      </c>
      <c r="O60" s="27">
        <v>138</v>
      </c>
      <c r="P60" s="28">
        <v>138</v>
      </c>
      <c r="Q60" s="29">
        <v>214</v>
      </c>
      <c r="R60" s="27">
        <v>-969</v>
      </c>
      <c r="S60" s="28">
        <v>0</v>
      </c>
      <c r="T60" s="29">
        <v>0</v>
      </c>
      <c r="U60" s="27">
        <v>54965</v>
      </c>
      <c r="V60" s="28">
        <v>109781</v>
      </c>
      <c r="W60" s="29">
        <v>157673</v>
      </c>
      <c r="X60" s="27">
        <v>2710</v>
      </c>
      <c r="Y60" s="28">
        <v>90114</v>
      </c>
      <c r="Z60" s="29">
        <v>166262</v>
      </c>
      <c r="AA60" s="27">
        <v>18558</v>
      </c>
      <c r="AB60" s="28">
        <v>17870</v>
      </c>
      <c r="AC60" s="29">
        <v>-25000</v>
      </c>
      <c r="AD60" s="27">
        <v>-34666</v>
      </c>
      <c r="AE60" s="28">
        <v>-1797</v>
      </c>
      <c r="AF60" s="29">
        <v>-16411</v>
      </c>
      <c r="AG60" s="27">
        <v>7600.0800000000036</v>
      </c>
      <c r="AH60" s="28">
        <v>6931.7199999999957</v>
      </c>
      <c r="AI60" s="29">
        <v>100621.97000000003</v>
      </c>
      <c r="AJ60" s="27">
        <v>0</v>
      </c>
      <c r="AK60" s="28">
        <v>0</v>
      </c>
      <c r="AL60" s="29">
        <v>0</v>
      </c>
      <c r="AM60" s="27">
        <v>525902.22</v>
      </c>
      <c r="AN60" s="28">
        <v>590382.05000000005</v>
      </c>
      <c r="AO60" s="29">
        <v>98310.369999999879</v>
      </c>
      <c r="AP60" s="27">
        <v>0</v>
      </c>
      <c r="AQ60" s="28">
        <v>0</v>
      </c>
      <c r="AR60" s="29">
        <v>0</v>
      </c>
      <c r="AS60" s="24">
        <v>7.8317849233132094E-4</v>
      </c>
      <c r="AT60" s="25">
        <v>8.5457244933044845E-4</v>
      </c>
      <c r="AU60" s="26">
        <v>1.120110022884885E-2</v>
      </c>
      <c r="AV60" s="24">
        <v>0</v>
      </c>
      <c r="AW60" s="25">
        <v>0</v>
      </c>
      <c r="AX60" s="26">
        <v>0</v>
      </c>
    </row>
    <row r="61" spans="1:50" x14ac:dyDescent="0.2">
      <c r="A61" s="22">
        <v>5510</v>
      </c>
      <c r="B61" s="23" t="s">
        <v>78</v>
      </c>
      <c r="C61" s="27">
        <v>0</v>
      </c>
      <c r="D61" s="28">
        <v>0</v>
      </c>
      <c r="E61" s="29">
        <v>0</v>
      </c>
      <c r="F61" s="27">
        <v>0</v>
      </c>
      <c r="G61" s="28">
        <v>746139</v>
      </c>
      <c r="H61" s="29">
        <v>397267</v>
      </c>
      <c r="I61" s="27">
        <v>0</v>
      </c>
      <c r="J61" s="28">
        <v>1162344</v>
      </c>
      <c r="K61" s="29">
        <v>0</v>
      </c>
      <c r="L61" s="27">
        <v>0</v>
      </c>
      <c r="M61" s="28">
        <v>0</v>
      </c>
      <c r="N61" s="29">
        <v>0</v>
      </c>
      <c r="O61" s="27">
        <v>0</v>
      </c>
      <c r="P61" s="28">
        <v>416205</v>
      </c>
      <c r="Q61" s="29">
        <v>-397267</v>
      </c>
      <c r="R61" s="27">
        <v>0</v>
      </c>
      <c r="S61" s="28">
        <v>0</v>
      </c>
      <c r="T61" s="29">
        <v>0</v>
      </c>
      <c r="U61" s="27">
        <v>371883</v>
      </c>
      <c r="V61" s="28">
        <v>1374701</v>
      </c>
      <c r="W61" s="29">
        <v>2334235</v>
      </c>
      <c r="X61" s="27">
        <v>410424</v>
      </c>
      <c r="Y61" s="28">
        <v>1417307</v>
      </c>
      <c r="Z61" s="29">
        <v>1880469</v>
      </c>
      <c r="AA61" s="27">
        <v>-17048</v>
      </c>
      <c r="AB61" s="28">
        <v>-3246</v>
      </c>
      <c r="AC61" s="29">
        <v>454800</v>
      </c>
      <c r="AD61" s="27">
        <v>21493</v>
      </c>
      <c r="AE61" s="28">
        <v>39360</v>
      </c>
      <c r="AF61" s="29">
        <v>1034</v>
      </c>
      <c r="AG61" s="27">
        <v>0</v>
      </c>
      <c r="AH61" s="28">
        <v>0</v>
      </c>
      <c r="AI61" s="29">
        <v>0</v>
      </c>
      <c r="AJ61" s="27">
        <v>0</v>
      </c>
      <c r="AK61" s="28">
        <v>0</v>
      </c>
      <c r="AL61" s="29">
        <v>0</v>
      </c>
      <c r="AM61" s="27">
        <v>653633.68999999994</v>
      </c>
      <c r="AN61" s="28">
        <v>3581463.71</v>
      </c>
      <c r="AO61" s="29">
        <v>2451818.88</v>
      </c>
      <c r="AP61" s="27">
        <v>0</v>
      </c>
      <c r="AQ61" s="28">
        <v>0</v>
      </c>
      <c r="AR61" s="29">
        <v>0</v>
      </c>
      <c r="AS61" s="24">
        <v>0</v>
      </c>
      <c r="AT61" s="25">
        <v>0</v>
      </c>
      <c r="AU61" s="26">
        <v>0</v>
      </c>
      <c r="AV61" s="24">
        <v>0</v>
      </c>
      <c r="AW61" s="25">
        <v>0</v>
      </c>
      <c r="AX61" s="26">
        <v>0</v>
      </c>
    </row>
    <row r="62" spans="1:50" x14ac:dyDescent="0.2">
      <c r="A62" s="22">
        <v>5511</v>
      </c>
      <c r="B62" s="23" t="s">
        <v>79</v>
      </c>
      <c r="C62" s="27">
        <v>0</v>
      </c>
      <c r="D62" s="28">
        <v>0</v>
      </c>
      <c r="E62" s="29">
        <v>0</v>
      </c>
      <c r="F62" s="27">
        <v>1224449</v>
      </c>
      <c r="G62" s="28">
        <v>1469339</v>
      </c>
      <c r="H62" s="29">
        <v>0</v>
      </c>
      <c r="I62" s="27">
        <v>1224449</v>
      </c>
      <c r="J62" s="28">
        <v>1469339</v>
      </c>
      <c r="K62" s="29">
        <v>0</v>
      </c>
      <c r="L62" s="27">
        <v>0</v>
      </c>
      <c r="M62" s="28">
        <v>0</v>
      </c>
      <c r="N62" s="29">
        <v>0</v>
      </c>
      <c r="O62" s="27">
        <v>0</v>
      </c>
      <c r="P62" s="28">
        <v>0</v>
      </c>
      <c r="Q62" s="29">
        <v>0</v>
      </c>
      <c r="R62" s="27">
        <v>0</v>
      </c>
      <c r="S62" s="28">
        <v>0</v>
      </c>
      <c r="T62" s="29">
        <v>0</v>
      </c>
      <c r="U62" s="27">
        <v>138538</v>
      </c>
      <c r="V62" s="28">
        <v>334436</v>
      </c>
      <c r="W62" s="29">
        <v>413781</v>
      </c>
      <c r="X62" s="27">
        <v>29710</v>
      </c>
      <c r="Y62" s="28">
        <v>171482</v>
      </c>
      <c r="Z62" s="29">
        <v>484906</v>
      </c>
      <c r="AA62" s="27">
        <v>70432</v>
      </c>
      <c r="AB62" s="28">
        <v>114046</v>
      </c>
      <c r="AC62" s="29">
        <v>180251</v>
      </c>
      <c r="AD62" s="27">
        <v>-38396</v>
      </c>
      <c r="AE62" s="28">
        <v>-48908</v>
      </c>
      <c r="AF62" s="29">
        <v>251376</v>
      </c>
      <c r="AG62" s="27">
        <v>260180.32</v>
      </c>
      <c r="AH62" s="28">
        <v>18447.660000000003</v>
      </c>
      <c r="AI62" s="29">
        <v>16359.880000000003</v>
      </c>
      <c r="AJ62" s="27">
        <v>0</v>
      </c>
      <c r="AK62" s="28">
        <v>0</v>
      </c>
      <c r="AL62" s="29">
        <v>0</v>
      </c>
      <c r="AM62" s="27">
        <v>0</v>
      </c>
      <c r="AN62" s="28">
        <v>153077.18</v>
      </c>
      <c r="AO62" s="29">
        <v>0</v>
      </c>
      <c r="AP62" s="27">
        <v>0</v>
      </c>
      <c r="AQ62" s="28">
        <v>0</v>
      </c>
      <c r="AR62" s="29">
        <v>0</v>
      </c>
      <c r="AS62" s="24">
        <v>3.2106076034715686E-2</v>
      </c>
      <c r="AT62" s="25">
        <v>2.5783952548155023E-3</v>
      </c>
      <c r="AU62" s="26">
        <v>0</v>
      </c>
      <c r="AV62" s="24">
        <v>0</v>
      </c>
      <c r="AW62" s="25">
        <v>0</v>
      </c>
      <c r="AX62" s="26">
        <v>0</v>
      </c>
    </row>
    <row r="63" spans="1:50" x14ac:dyDescent="0.2">
      <c r="A63" s="22">
        <v>5601</v>
      </c>
      <c r="B63" s="23" t="s">
        <v>80</v>
      </c>
      <c r="C63" s="27">
        <v>0</v>
      </c>
      <c r="D63" s="28">
        <v>0</v>
      </c>
      <c r="E63" s="29">
        <v>0</v>
      </c>
      <c r="F63" s="27">
        <v>0</v>
      </c>
      <c r="G63" s="28">
        <v>1078470</v>
      </c>
      <c r="H63" s="29">
        <v>1211429</v>
      </c>
      <c r="I63" s="27">
        <v>52568</v>
      </c>
      <c r="J63" s="28">
        <v>1198293</v>
      </c>
      <c r="K63" s="29">
        <v>1144120</v>
      </c>
      <c r="L63" s="27">
        <v>-52568</v>
      </c>
      <c r="M63" s="28">
        <v>-52568</v>
      </c>
      <c r="N63" s="29">
        <v>54</v>
      </c>
      <c r="O63" s="27">
        <v>0</v>
      </c>
      <c r="P63" s="28">
        <v>67255</v>
      </c>
      <c r="Q63" s="29">
        <v>-67255</v>
      </c>
      <c r="R63" s="27">
        <v>32355</v>
      </c>
      <c r="S63" s="28">
        <v>0</v>
      </c>
      <c r="T63" s="29">
        <v>0</v>
      </c>
      <c r="U63" s="27">
        <v>486862</v>
      </c>
      <c r="V63" s="28">
        <v>1051878</v>
      </c>
      <c r="W63" s="29">
        <v>502499</v>
      </c>
      <c r="X63" s="27">
        <v>273887</v>
      </c>
      <c r="Y63" s="28">
        <v>895440</v>
      </c>
      <c r="Z63" s="29">
        <v>201106</v>
      </c>
      <c r="AA63" s="27">
        <v>54257</v>
      </c>
      <c r="AB63" s="28">
        <v>46047</v>
      </c>
      <c r="AC63" s="29">
        <v>132250</v>
      </c>
      <c r="AD63" s="27">
        <v>-126363</v>
      </c>
      <c r="AE63" s="28">
        <v>-110391</v>
      </c>
      <c r="AF63" s="29">
        <v>-169143</v>
      </c>
      <c r="AG63" s="27">
        <v>42389.800000000017</v>
      </c>
      <c r="AH63" s="28">
        <v>45036.319999999861</v>
      </c>
      <c r="AI63" s="29">
        <v>45050.710000000021</v>
      </c>
      <c r="AJ63" s="27">
        <v>0</v>
      </c>
      <c r="AK63" s="28">
        <v>0</v>
      </c>
      <c r="AL63" s="29">
        <v>0</v>
      </c>
      <c r="AM63" s="27">
        <v>2345992.19</v>
      </c>
      <c r="AN63" s="28">
        <v>1122189.8499999999</v>
      </c>
      <c r="AO63" s="29">
        <v>2115524.08</v>
      </c>
      <c r="AP63" s="27">
        <v>0</v>
      </c>
      <c r="AQ63" s="28">
        <v>0</v>
      </c>
      <c r="AR63" s="29">
        <v>0</v>
      </c>
      <c r="AS63" s="24">
        <v>3.2456841347163596E-3</v>
      </c>
      <c r="AT63" s="25">
        <v>3.5159142861849158E-3</v>
      </c>
      <c r="AU63" s="26">
        <v>2.8837192004600065E-3</v>
      </c>
      <c r="AV63" s="24">
        <v>0</v>
      </c>
      <c r="AW63" s="25">
        <v>0</v>
      </c>
      <c r="AX63" s="26">
        <v>0</v>
      </c>
    </row>
    <row r="64" spans="1:50" x14ac:dyDescent="0.2">
      <c r="A64" s="22">
        <v>5602</v>
      </c>
      <c r="B64" s="23" t="s">
        <v>81</v>
      </c>
      <c r="C64" s="27">
        <v>1840</v>
      </c>
      <c r="D64" s="28">
        <v>3170</v>
      </c>
      <c r="E64" s="29">
        <v>1856</v>
      </c>
      <c r="F64" s="27">
        <v>286459</v>
      </c>
      <c r="G64" s="28">
        <v>1578419</v>
      </c>
      <c r="H64" s="29">
        <v>454486</v>
      </c>
      <c r="I64" s="27">
        <v>195215</v>
      </c>
      <c r="J64" s="28">
        <v>1951873</v>
      </c>
      <c r="K64" s="29">
        <v>0</v>
      </c>
      <c r="L64" s="27">
        <v>0</v>
      </c>
      <c r="M64" s="28">
        <v>0</v>
      </c>
      <c r="N64" s="29">
        <v>6540</v>
      </c>
      <c r="O64" s="27">
        <v>-89404</v>
      </c>
      <c r="P64" s="28">
        <v>376624</v>
      </c>
      <c r="Q64" s="29">
        <v>-446090</v>
      </c>
      <c r="R64" s="27">
        <v>18165</v>
      </c>
      <c r="S64" s="28">
        <v>18165</v>
      </c>
      <c r="T64" s="29">
        <v>0</v>
      </c>
      <c r="U64" s="27">
        <v>1092392</v>
      </c>
      <c r="V64" s="28">
        <v>3490946</v>
      </c>
      <c r="W64" s="29">
        <v>3272562</v>
      </c>
      <c r="X64" s="27">
        <v>1156243</v>
      </c>
      <c r="Y64" s="28">
        <v>3775466</v>
      </c>
      <c r="Z64" s="29">
        <v>2871278</v>
      </c>
      <c r="AA64" s="27">
        <v>-4065</v>
      </c>
      <c r="AB64" s="28">
        <v>-84263</v>
      </c>
      <c r="AC64" s="29">
        <v>89467</v>
      </c>
      <c r="AD64" s="27">
        <v>77951</v>
      </c>
      <c r="AE64" s="28">
        <v>218422</v>
      </c>
      <c r="AF64" s="29">
        <v>-311817</v>
      </c>
      <c r="AG64" s="27">
        <v>129398.62</v>
      </c>
      <c r="AH64" s="28">
        <v>1193908.4900000005</v>
      </c>
      <c r="AI64" s="29">
        <v>1855892.8299999998</v>
      </c>
      <c r="AJ64" s="27">
        <v>0</v>
      </c>
      <c r="AK64" s="28">
        <v>0</v>
      </c>
      <c r="AL64" s="29">
        <v>0</v>
      </c>
      <c r="AM64" s="27">
        <v>7362208.129999999</v>
      </c>
      <c r="AN64" s="28">
        <v>9930167.6099999994</v>
      </c>
      <c r="AO64" s="29">
        <v>14371796.82</v>
      </c>
      <c r="AP64" s="27">
        <v>0</v>
      </c>
      <c r="AQ64" s="28">
        <v>0</v>
      </c>
      <c r="AR64" s="29">
        <v>0</v>
      </c>
      <c r="AS64" s="24">
        <v>2.4440768846035869E-3</v>
      </c>
      <c r="AT64" s="25">
        <v>2.0823326571396083E-2</v>
      </c>
      <c r="AU64" s="26">
        <v>3.2956808407653658E-2</v>
      </c>
      <c r="AV64" s="24">
        <v>0</v>
      </c>
      <c r="AW64" s="25">
        <v>0</v>
      </c>
      <c r="AX64" s="26">
        <v>0</v>
      </c>
    </row>
    <row r="65" spans="1:50" x14ac:dyDescent="0.2">
      <c r="A65" s="22">
        <v>5603</v>
      </c>
      <c r="B65" s="23" t="s">
        <v>82</v>
      </c>
      <c r="C65" s="27">
        <v>0</v>
      </c>
      <c r="D65" s="28">
        <v>0</v>
      </c>
      <c r="E65" s="29">
        <v>0</v>
      </c>
      <c r="F65" s="27">
        <v>0</v>
      </c>
      <c r="G65" s="28">
        <v>0</v>
      </c>
      <c r="H65" s="29">
        <v>0</v>
      </c>
      <c r="I65" s="27">
        <v>0</v>
      </c>
      <c r="J65" s="28">
        <v>0</v>
      </c>
      <c r="K65" s="29">
        <v>0</v>
      </c>
      <c r="L65" s="27">
        <v>0</v>
      </c>
      <c r="M65" s="28">
        <v>0</v>
      </c>
      <c r="N65" s="29">
        <v>0</v>
      </c>
      <c r="O65" s="27">
        <v>0</v>
      </c>
      <c r="P65" s="28">
        <v>0</v>
      </c>
      <c r="Q65" s="29">
        <v>0</v>
      </c>
      <c r="R65" s="27">
        <v>-15806</v>
      </c>
      <c r="S65" s="28">
        <v>-90688</v>
      </c>
      <c r="T65" s="29">
        <v>-1955</v>
      </c>
      <c r="U65" s="27">
        <v>1220806</v>
      </c>
      <c r="V65" s="28">
        <v>7480423</v>
      </c>
      <c r="W65" s="29">
        <v>5152103</v>
      </c>
      <c r="X65" s="27">
        <v>4849610</v>
      </c>
      <c r="Y65" s="28">
        <v>12581273</v>
      </c>
      <c r="Z65" s="29">
        <v>9131084</v>
      </c>
      <c r="AA65" s="27">
        <v>-2764564</v>
      </c>
      <c r="AB65" s="28">
        <v>-3764298</v>
      </c>
      <c r="AC65" s="29">
        <v>905461</v>
      </c>
      <c r="AD65" s="27">
        <v>848434</v>
      </c>
      <c r="AE65" s="28">
        <v>1245864</v>
      </c>
      <c r="AF65" s="29">
        <v>4882487</v>
      </c>
      <c r="AG65" s="27">
        <v>254584.81000000006</v>
      </c>
      <c r="AH65" s="28">
        <v>136271.45999999996</v>
      </c>
      <c r="AI65" s="29">
        <v>4356126.68</v>
      </c>
      <c r="AJ65" s="27">
        <v>3987543.37</v>
      </c>
      <c r="AK65" s="28">
        <v>3139179.69</v>
      </c>
      <c r="AL65" s="29">
        <v>3139179.69</v>
      </c>
      <c r="AM65" s="27">
        <v>2580590.69</v>
      </c>
      <c r="AN65" s="28">
        <v>17576708.200000003</v>
      </c>
      <c r="AO65" s="29">
        <v>38449628.079999998</v>
      </c>
      <c r="AP65" s="27">
        <v>23790</v>
      </c>
      <c r="AQ65" s="28">
        <v>28798</v>
      </c>
      <c r="AR65" s="29">
        <v>25577</v>
      </c>
      <c r="AS65" s="24">
        <v>1.7159854770706063E-3</v>
      </c>
      <c r="AT65" s="25">
        <v>8.9864797694099384E-4</v>
      </c>
      <c r="AU65" s="26">
        <v>2.7255633090932728E-2</v>
      </c>
      <c r="AV65" s="24">
        <v>1.6035243618623481E-4</v>
      </c>
      <c r="AW65" s="25">
        <v>1.8990964388248828E-4</v>
      </c>
      <c r="AX65" s="26">
        <v>1.6003146344834636E-4</v>
      </c>
    </row>
    <row r="66" spans="1:50" x14ac:dyDescent="0.2">
      <c r="A66" s="22">
        <v>5605</v>
      </c>
      <c r="B66" s="23" t="s">
        <v>83</v>
      </c>
      <c r="C66" s="27">
        <v>0</v>
      </c>
      <c r="D66" s="28">
        <v>0</v>
      </c>
      <c r="E66" s="29">
        <v>0</v>
      </c>
      <c r="F66" s="27">
        <v>0</v>
      </c>
      <c r="G66" s="28">
        <v>0</v>
      </c>
      <c r="H66" s="29">
        <v>0</v>
      </c>
      <c r="I66" s="27">
        <v>8205</v>
      </c>
      <c r="J66" s="28">
        <v>8205</v>
      </c>
      <c r="K66" s="29">
        <v>1152192</v>
      </c>
      <c r="L66" s="27">
        <v>-8205</v>
      </c>
      <c r="M66" s="28">
        <v>-8205</v>
      </c>
      <c r="N66" s="29">
        <v>0</v>
      </c>
      <c r="O66" s="27">
        <v>0</v>
      </c>
      <c r="P66" s="28">
        <v>0</v>
      </c>
      <c r="Q66" s="29">
        <v>1152192</v>
      </c>
      <c r="R66" s="27">
        <v>0</v>
      </c>
      <c r="S66" s="28">
        <v>0</v>
      </c>
      <c r="T66" s="29">
        <v>0</v>
      </c>
      <c r="U66" s="27">
        <v>90526</v>
      </c>
      <c r="V66" s="28">
        <v>417449</v>
      </c>
      <c r="W66" s="29">
        <v>996229</v>
      </c>
      <c r="X66" s="27">
        <v>131856</v>
      </c>
      <c r="Y66" s="28">
        <v>430880</v>
      </c>
      <c r="Z66" s="29">
        <v>1015077</v>
      </c>
      <c r="AA66" s="27">
        <v>-56715</v>
      </c>
      <c r="AB66" s="28">
        <v>-42477</v>
      </c>
      <c r="AC66" s="29">
        <v>22351</v>
      </c>
      <c r="AD66" s="27">
        <v>-15385</v>
      </c>
      <c r="AE66" s="28">
        <v>-29046</v>
      </c>
      <c r="AF66" s="29">
        <v>41199</v>
      </c>
      <c r="AG66" s="27">
        <v>0</v>
      </c>
      <c r="AH66" s="28">
        <v>0</v>
      </c>
      <c r="AI66" s="29">
        <v>335457.97000000003</v>
      </c>
      <c r="AJ66" s="27">
        <v>0</v>
      </c>
      <c r="AK66" s="28">
        <v>0</v>
      </c>
      <c r="AL66" s="29">
        <v>0</v>
      </c>
      <c r="AM66" s="27">
        <v>-2.0918378140777349E-11</v>
      </c>
      <c r="AN66" s="28">
        <v>198512.12000000008</v>
      </c>
      <c r="AO66" s="29">
        <v>3171864.9400000004</v>
      </c>
      <c r="AP66" s="27">
        <v>0</v>
      </c>
      <c r="AQ66" s="28">
        <v>0</v>
      </c>
      <c r="AR66" s="29">
        <v>0</v>
      </c>
      <c r="AS66" s="24">
        <v>0</v>
      </c>
      <c r="AT66" s="25">
        <v>0</v>
      </c>
      <c r="AU66" s="26">
        <v>6.4981105175555718E-3</v>
      </c>
      <c r="AV66" s="24">
        <v>0</v>
      </c>
      <c r="AW66" s="25">
        <v>0</v>
      </c>
      <c r="AX66" s="26">
        <v>0</v>
      </c>
    </row>
    <row r="67" spans="1:50" x14ac:dyDescent="0.2">
      <c r="A67" s="22">
        <v>5606</v>
      </c>
      <c r="B67" s="23" t="s">
        <v>84</v>
      </c>
      <c r="C67" s="27">
        <v>0</v>
      </c>
      <c r="D67" s="28">
        <v>26</v>
      </c>
      <c r="E67" s="29">
        <v>0</v>
      </c>
      <c r="F67" s="27">
        <v>1256692</v>
      </c>
      <c r="G67" s="28">
        <v>1375708</v>
      </c>
      <c r="H67" s="29">
        <v>1143709</v>
      </c>
      <c r="I67" s="27">
        <v>1143883</v>
      </c>
      <c r="J67" s="28">
        <v>1143883</v>
      </c>
      <c r="K67" s="29">
        <v>1056191</v>
      </c>
      <c r="L67" s="27">
        <v>0</v>
      </c>
      <c r="M67" s="28">
        <v>0</v>
      </c>
      <c r="N67" s="29">
        <v>-29480</v>
      </c>
      <c r="O67" s="27">
        <v>-112809</v>
      </c>
      <c r="P67" s="28">
        <v>-231799</v>
      </c>
      <c r="Q67" s="29">
        <v>-116998</v>
      </c>
      <c r="R67" s="27">
        <v>0</v>
      </c>
      <c r="S67" s="28">
        <v>31</v>
      </c>
      <c r="T67" s="29">
        <v>0</v>
      </c>
      <c r="U67" s="27">
        <v>729937</v>
      </c>
      <c r="V67" s="28">
        <v>1590864</v>
      </c>
      <c r="W67" s="29">
        <v>969382</v>
      </c>
      <c r="X67" s="27">
        <v>876999</v>
      </c>
      <c r="Y67" s="28">
        <v>1571585</v>
      </c>
      <c r="Z67" s="29">
        <v>600134</v>
      </c>
      <c r="AA67" s="27">
        <v>0</v>
      </c>
      <c r="AB67" s="28">
        <v>0</v>
      </c>
      <c r="AC67" s="29">
        <v>56886</v>
      </c>
      <c r="AD67" s="27">
        <v>147062</v>
      </c>
      <c r="AE67" s="28">
        <v>-19248</v>
      </c>
      <c r="AF67" s="29">
        <v>-312362</v>
      </c>
      <c r="AG67" s="27">
        <v>201521.63000000012</v>
      </c>
      <c r="AH67" s="28">
        <v>1332769.7800000003</v>
      </c>
      <c r="AI67" s="29">
        <v>128241.65000000001</v>
      </c>
      <c r="AJ67" s="27">
        <v>0</v>
      </c>
      <c r="AK67" s="28">
        <v>0</v>
      </c>
      <c r="AL67" s="29">
        <v>0</v>
      </c>
      <c r="AM67" s="27">
        <v>1619512.0399999998</v>
      </c>
      <c r="AN67" s="28">
        <v>915053.86999999965</v>
      </c>
      <c r="AO67" s="29">
        <v>551525.05000000005</v>
      </c>
      <c r="AP67" s="27">
        <v>0</v>
      </c>
      <c r="AQ67" s="28">
        <v>0</v>
      </c>
      <c r="AR67" s="29">
        <v>0</v>
      </c>
      <c r="AS67" s="24">
        <v>1.402899883101905E-2</v>
      </c>
      <c r="AT67" s="25">
        <v>7.6088827956564464E-2</v>
      </c>
      <c r="AU67" s="26">
        <v>7.1301384193146874E-3</v>
      </c>
      <c r="AV67" s="24">
        <v>0</v>
      </c>
      <c r="AW67" s="25">
        <v>0</v>
      </c>
      <c r="AX67" s="26">
        <v>0</v>
      </c>
    </row>
    <row r="68" spans="1:50" x14ac:dyDescent="0.2">
      <c r="A68" s="22">
        <v>5607</v>
      </c>
      <c r="B68" s="23" t="s">
        <v>85</v>
      </c>
      <c r="C68" s="27">
        <v>0</v>
      </c>
      <c r="D68" s="28">
        <v>0</v>
      </c>
      <c r="E68" s="29">
        <v>0</v>
      </c>
      <c r="F68" s="27">
        <v>1722872</v>
      </c>
      <c r="G68" s="28">
        <v>3217619</v>
      </c>
      <c r="H68" s="29">
        <v>773982</v>
      </c>
      <c r="I68" s="27">
        <v>1759811</v>
      </c>
      <c r="J68" s="28">
        <v>3221248</v>
      </c>
      <c r="K68" s="29">
        <v>841855</v>
      </c>
      <c r="L68" s="27">
        <v>-5919</v>
      </c>
      <c r="M68" s="28">
        <v>-3629</v>
      </c>
      <c r="N68" s="29">
        <v>-2290</v>
      </c>
      <c r="O68" s="27">
        <v>31020</v>
      </c>
      <c r="P68" s="28">
        <v>0</v>
      </c>
      <c r="Q68" s="29">
        <v>65583</v>
      </c>
      <c r="R68" s="27">
        <v>0</v>
      </c>
      <c r="S68" s="28">
        <v>0</v>
      </c>
      <c r="T68" s="29">
        <v>0</v>
      </c>
      <c r="U68" s="27">
        <v>707753</v>
      </c>
      <c r="V68" s="28">
        <v>2003214</v>
      </c>
      <c r="W68" s="29">
        <v>2210196</v>
      </c>
      <c r="X68" s="27">
        <v>671000</v>
      </c>
      <c r="Y68" s="28">
        <v>2125152</v>
      </c>
      <c r="Z68" s="29">
        <v>1450856</v>
      </c>
      <c r="AA68" s="27">
        <v>90703</v>
      </c>
      <c r="AB68" s="28">
        <v>143647</v>
      </c>
      <c r="AC68" s="29">
        <v>674113</v>
      </c>
      <c r="AD68" s="27">
        <v>53950</v>
      </c>
      <c r="AE68" s="28">
        <v>265585</v>
      </c>
      <c r="AF68" s="29">
        <v>-85227</v>
      </c>
      <c r="AG68" s="27">
        <v>7400.1500000000233</v>
      </c>
      <c r="AH68" s="28">
        <v>290673.46999999986</v>
      </c>
      <c r="AI68" s="29">
        <v>327136.80000000005</v>
      </c>
      <c r="AJ68" s="27">
        <v>0</v>
      </c>
      <c r="AK68" s="28">
        <v>0</v>
      </c>
      <c r="AL68" s="29">
        <v>0</v>
      </c>
      <c r="AM68" s="27">
        <v>2104661.8600000003</v>
      </c>
      <c r="AN68" s="28">
        <v>3844165.17</v>
      </c>
      <c r="AO68" s="29">
        <v>2913880.11</v>
      </c>
      <c r="AP68" s="27">
        <v>0</v>
      </c>
      <c r="AQ68" s="28">
        <v>0</v>
      </c>
      <c r="AR68" s="29">
        <v>0</v>
      </c>
      <c r="AS68" s="24">
        <v>1.7661044037230978E-4</v>
      </c>
      <c r="AT68" s="25">
        <v>6.5839363836298634E-3</v>
      </c>
      <c r="AU68" s="26">
        <v>6.8996246022511223E-3</v>
      </c>
      <c r="AV68" s="24">
        <v>0</v>
      </c>
      <c r="AW68" s="25">
        <v>0</v>
      </c>
      <c r="AX68" s="26">
        <v>0</v>
      </c>
    </row>
    <row r="69" spans="1:50" x14ac:dyDescent="0.2">
      <c r="A69" s="22">
        <v>5608</v>
      </c>
      <c r="B69" s="23" t="s">
        <v>86</v>
      </c>
      <c r="C69" s="27">
        <v>0</v>
      </c>
      <c r="D69" s="28">
        <v>0</v>
      </c>
      <c r="E69" s="29">
        <v>0</v>
      </c>
      <c r="F69" s="27">
        <v>555427</v>
      </c>
      <c r="G69" s="28">
        <v>877571</v>
      </c>
      <c r="H69" s="29">
        <v>946035</v>
      </c>
      <c r="I69" s="27">
        <v>0</v>
      </c>
      <c r="J69" s="28">
        <v>332720</v>
      </c>
      <c r="K69" s="29">
        <v>1006818</v>
      </c>
      <c r="L69" s="27">
        <v>15818</v>
      </c>
      <c r="M69" s="28">
        <v>11247</v>
      </c>
      <c r="N69" s="29">
        <v>-19941</v>
      </c>
      <c r="O69" s="27">
        <v>-539609</v>
      </c>
      <c r="P69" s="28">
        <v>-533604</v>
      </c>
      <c r="Q69" s="29">
        <v>40842</v>
      </c>
      <c r="R69" s="27">
        <v>0</v>
      </c>
      <c r="S69" s="28">
        <v>0</v>
      </c>
      <c r="T69" s="29">
        <v>0</v>
      </c>
      <c r="U69" s="27">
        <v>269943</v>
      </c>
      <c r="V69" s="28">
        <v>1471507</v>
      </c>
      <c r="W69" s="29">
        <v>1495818</v>
      </c>
      <c r="X69" s="27">
        <v>329173</v>
      </c>
      <c r="Y69" s="28">
        <v>1424676</v>
      </c>
      <c r="Z69" s="29">
        <v>1503947</v>
      </c>
      <c r="AA69" s="27">
        <v>1524</v>
      </c>
      <c r="AB69" s="28">
        <v>309184</v>
      </c>
      <c r="AC69" s="29">
        <v>84666</v>
      </c>
      <c r="AD69" s="27">
        <v>60754</v>
      </c>
      <c r="AE69" s="28">
        <v>262353</v>
      </c>
      <c r="AF69" s="29">
        <v>92795</v>
      </c>
      <c r="AG69" s="27">
        <v>21304.439999999988</v>
      </c>
      <c r="AH69" s="28">
        <v>115450.72000000006</v>
      </c>
      <c r="AI69" s="29">
        <v>94391.12</v>
      </c>
      <c r="AJ69" s="27">
        <v>0</v>
      </c>
      <c r="AK69" s="28">
        <v>0</v>
      </c>
      <c r="AL69" s="29">
        <v>0</v>
      </c>
      <c r="AM69" s="27">
        <v>1349000.8399999999</v>
      </c>
      <c r="AN69" s="28">
        <v>956427.72</v>
      </c>
      <c r="AO69" s="29">
        <v>4187307.5</v>
      </c>
      <c r="AP69" s="27">
        <v>0</v>
      </c>
      <c r="AQ69" s="28">
        <v>0</v>
      </c>
      <c r="AR69" s="29">
        <v>0</v>
      </c>
      <c r="AS69" s="24">
        <v>1.7031602627596469E-3</v>
      </c>
      <c r="AT69" s="25">
        <v>7.3971308665705627E-3</v>
      </c>
      <c r="AU69" s="26">
        <v>6.9606238662573176E-3</v>
      </c>
      <c r="AV69" s="24">
        <v>0</v>
      </c>
      <c r="AW69" s="25">
        <v>0</v>
      </c>
      <c r="AX69" s="26">
        <v>0</v>
      </c>
    </row>
    <row r="70" spans="1:50" x14ac:dyDescent="0.2">
      <c r="A70" s="22">
        <v>5609</v>
      </c>
      <c r="B70" s="23" t="s">
        <v>87</v>
      </c>
      <c r="C70" s="27">
        <v>0</v>
      </c>
      <c r="D70" s="28">
        <v>0</v>
      </c>
      <c r="E70" s="29">
        <v>0</v>
      </c>
      <c r="F70" s="27">
        <v>0</v>
      </c>
      <c r="G70" s="28">
        <v>2249315</v>
      </c>
      <c r="H70" s="29">
        <v>537188</v>
      </c>
      <c r="I70" s="27">
        <v>0</v>
      </c>
      <c r="J70" s="28">
        <v>2617511</v>
      </c>
      <c r="K70" s="29">
        <v>187878</v>
      </c>
      <c r="L70" s="27">
        <v>0</v>
      </c>
      <c r="M70" s="28">
        <v>177878</v>
      </c>
      <c r="N70" s="29">
        <v>-187878</v>
      </c>
      <c r="O70" s="27">
        <v>0</v>
      </c>
      <c r="P70" s="28">
        <v>546074</v>
      </c>
      <c r="Q70" s="29">
        <v>-537188</v>
      </c>
      <c r="R70" s="27">
        <v>0</v>
      </c>
      <c r="S70" s="28">
        <v>0</v>
      </c>
      <c r="T70" s="29">
        <v>0</v>
      </c>
      <c r="U70" s="27">
        <v>212149</v>
      </c>
      <c r="V70" s="28">
        <v>720107</v>
      </c>
      <c r="W70" s="29">
        <v>5557859</v>
      </c>
      <c r="X70" s="27">
        <v>261015</v>
      </c>
      <c r="Y70" s="28">
        <v>28159</v>
      </c>
      <c r="Z70" s="29">
        <v>5690270</v>
      </c>
      <c r="AA70" s="27">
        <v>-3567</v>
      </c>
      <c r="AB70" s="28">
        <v>32099</v>
      </c>
      <c r="AC70" s="29">
        <v>374</v>
      </c>
      <c r="AD70" s="27">
        <v>45299</v>
      </c>
      <c r="AE70" s="28">
        <v>-659849</v>
      </c>
      <c r="AF70" s="29">
        <v>132785</v>
      </c>
      <c r="AG70" s="27">
        <v>0</v>
      </c>
      <c r="AH70" s="28">
        <v>0</v>
      </c>
      <c r="AI70" s="29">
        <v>2340.9000000003725</v>
      </c>
      <c r="AJ70" s="27">
        <v>0</v>
      </c>
      <c r="AK70" s="28">
        <v>0</v>
      </c>
      <c r="AL70" s="29">
        <v>0</v>
      </c>
      <c r="AM70" s="27">
        <v>7691385.2700000005</v>
      </c>
      <c r="AN70" s="28">
        <v>9996987.9399999995</v>
      </c>
      <c r="AO70" s="29">
        <v>5508924.459999999</v>
      </c>
      <c r="AP70" s="27">
        <v>0</v>
      </c>
      <c r="AQ70" s="28">
        <v>0</v>
      </c>
      <c r="AR70" s="29">
        <v>0</v>
      </c>
      <c r="AS70" s="24">
        <v>0</v>
      </c>
      <c r="AT70" s="25">
        <v>0</v>
      </c>
      <c r="AU70" s="26">
        <v>1.0351356680407478E-4</v>
      </c>
      <c r="AV70" s="24">
        <v>0</v>
      </c>
      <c r="AW70" s="25">
        <v>0</v>
      </c>
      <c r="AX70" s="26">
        <v>0</v>
      </c>
    </row>
    <row r="71" spans="1:50" x14ac:dyDescent="0.2">
      <c r="A71" s="22">
        <v>5610</v>
      </c>
      <c r="B71" s="23" t="s">
        <v>88</v>
      </c>
      <c r="C71" s="27">
        <v>0</v>
      </c>
      <c r="D71" s="28">
        <v>0</v>
      </c>
      <c r="E71" s="29">
        <v>0</v>
      </c>
      <c r="F71" s="27">
        <v>0</v>
      </c>
      <c r="G71" s="28">
        <v>1359455</v>
      </c>
      <c r="H71" s="29">
        <v>140385</v>
      </c>
      <c r="I71" s="27">
        <v>0</v>
      </c>
      <c r="J71" s="28">
        <v>1474284</v>
      </c>
      <c r="K71" s="29">
        <v>39599</v>
      </c>
      <c r="L71" s="27">
        <v>0</v>
      </c>
      <c r="M71" s="28">
        <v>0</v>
      </c>
      <c r="N71" s="29">
        <v>0</v>
      </c>
      <c r="O71" s="27">
        <v>0</v>
      </c>
      <c r="P71" s="28">
        <v>114829</v>
      </c>
      <c r="Q71" s="29">
        <v>-100786</v>
      </c>
      <c r="R71" s="27">
        <v>0</v>
      </c>
      <c r="S71" s="28">
        <v>0</v>
      </c>
      <c r="T71" s="29">
        <v>0</v>
      </c>
      <c r="U71" s="27">
        <v>63415</v>
      </c>
      <c r="V71" s="28">
        <v>239818</v>
      </c>
      <c r="W71" s="29">
        <v>228092</v>
      </c>
      <c r="X71" s="27">
        <v>91008</v>
      </c>
      <c r="Y71" s="28">
        <v>229406</v>
      </c>
      <c r="Z71" s="29">
        <v>312123</v>
      </c>
      <c r="AA71" s="27">
        <v>-6846</v>
      </c>
      <c r="AB71" s="28">
        <v>27212</v>
      </c>
      <c r="AC71" s="29">
        <v>-8557</v>
      </c>
      <c r="AD71" s="27">
        <v>20747</v>
      </c>
      <c r="AE71" s="28">
        <v>16800</v>
      </c>
      <c r="AF71" s="29">
        <v>75474</v>
      </c>
      <c r="AG71" s="27">
        <v>14038.729999999996</v>
      </c>
      <c r="AH71" s="28">
        <v>61492.140000000189</v>
      </c>
      <c r="AI71" s="29">
        <v>128882.08</v>
      </c>
      <c r="AJ71" s="27">
        <v>0</v>
      </c>
      <c r="AK71" s="28">
        <v>0</v>
      </c>
      <c r="AL71" s="29">
        <v>0</v>
      </c>
      <c r="AM71" s="27">
        <v>2944209.58</v>
      </c>
      <c r="AN71" s="28">
        <v>1600258.65</v>
      </c>
      <c r="AO71" s="29">
        <v>1352603.76</v>
      </c>
      <c r="AP71" s="27">
        <v>0</v>
      </c>
      <c r="AQ71" s="28">
        <v>0</v>
      </c>
      <c r="AR71" s="29">
        <v>0</v>
      </c>
      <c r="AS71" s="24">
        <v>6.8293981204126922E-4</v>
      </c>
      <c r="AT71" s="25">
        <v>3.2533258530781767E-3</v>
      </c>
      <c r="AU71" s="26">
        <v>6.0414586061996794E-3</v>
      </c>
      <c r="AV71" s="24">
        <v>0</v>
      </c>
      <c r="AW71" s="25">
        <v>0</v>
      </c>
      <c r="AX71" s="26">
        <v>0</v>
      </c>
    </row>
    <row r="72" spans="1:50" x14ac:dyDescent="0.2">
      <c r="A72" s="22">
        <v>5611</v>
      </c>
      <c r="B72" s="23" t="s">
        <v>89</v>
      </c>
      <c r="C72" s="27">
        <v>0</v>
      </c>
      <c r="D72" s="28">
        <v>0</v>
      </c>
      <c r="E72" s="29">
        <v>0</v>
      </c>
      <c r="F72" s="27">
        <v>0</v>
      </c>
      <c r="G72" s="28">
        <v>0</v>
      </c>
      <c r="H72" s="29">
        <v>0</v>
      </c>
      <c r="I72" s="27">
        <v>0</v>
      </c>
      <c r="J72" s="28">
        <v>-125</v>
      </c>
      <c r="K72" s="29">
        <v>0</v>
      </c>
      <c r="L72" s="27">
        <v>0</v>
      </c>
      <c r="M72" s="28">
        <v>0</v>
      </c>
      <c r="N72" s="29">
        <v>0</v>
      </c>
      <c r="O72" s="27">
        <v>0</v>
      </c>
      <c r="P72" s="28">
        <v>-125</v>
      </c>
      <c r="Q72" s="29">
        <v>0</v>
      </c>
      <c r="R72" s="27">
        <v>0</v>
      </c>
      <c r="S72" s="28">
        <v>0</v>
      </c>
      <c r="T72" s="29">
        <v>0</v>
      </c>
      <c r="U72" s="27">
        <v>601460</v>
      </c>
      <c r="V72" s="28">
        <v>1428478</v>
      </c>
      <c r="W72" s="29">
        <v>1528610</v>
      </c>
      <c r="X72" s="27">
        <v>552737</v>
      </c>
      <c r="Y72" s="28">
        <v>1335606</v>
      </c>
      <c r="Z72" s="29">
        <v>1774569</v>
      </c>
      <c r="AA72" s="27">
        <v>0</v>
      </c>
      <c r="AB72" s="28">
        <v>20250</v>
      </c>
      <c r="AC72" s="29">
        <v>39000</v>
      </c>
      <c r="AD72" s="27">
        <v>-48723</v>
      </c>
      <c r="AE72" s="28">
        <v>-72622</v>
      </c>
      <c r="AF72" s="29">
        <v>284959</v>
      </c>
      <c r="AG72" s="27">
        <v>18171.890000000007</v>
      </c>
      <c r="AH72" s="28">
        <v>50968.459999999963</v>
      </c>
      <c r="AI72" s="29">
        <v>23005.05000000001</v>
      </c>
      <c r="AJ72" s="27">
        <v>0</v>
      </c>
      <c r="AK72" s="28">
        <v>0</v>
      </c>
      <c r="AL72" s="29">
        <v>0</v>
      </c>
      <c r="AM72" s="27">
        <v>691823</v>
      </c>
      <c r="AN72" s="28">
        <v>266105</v>
      </c>
      <c r="AO72" s="29">
        <v>3956617</v>
      </c>
      <c r="AP72" s="27">
        <v>0</v>
      </c>
      <c r="AQ72" s="28">
        <v>0</v>
      </c>
      <c r="AR72" s="29">
        <v>0</v>
      </c>
      <c r="AS72" s="24">
        <v>1.676319182255337E-3</v>
      </c>
      <c r="AT72" s="25">
        <v>4.2294774524781371E-3</v>
      </c>
      <c r="AU72" s="26">
        <v>2.2140829226870496E-3</v>
      </c>
      <c r="AV72" s="24">
        <v>0</v>
      </c>
      <c r="AW72" s="25">
        <v>0</v>
      </c>
      <c r="AX72" s="26">
        <v>0</v>
      </c>
    </row>
    <row r="73" spans="1:50" x14ac:dyDescent="0.2">
      <c r="A73" s="22">
        <v>5701</v>
      </c>
      <c r="B73" s="23" t="s">
        <v>90</v>
      </c>
      <c r="C73" s="27">
        <v>0</v>
      </c>
      <c r="D73" s="28">
        <v>0</v>
      </c>
      <c r="E73" s="29">
        <v>0</v>
      </c>
      <c r="F73" s="27">
        <v>0</v>
      </c>
      <c r="G73" s="28">
        <v>0</v>
      </c>
      <c r="H73" s="29">
        <v>0</v>
      </c>
      <c r="I73" s="27">
        <v>0</v>
      </c>
      <c r="J73" s="28">
        <v>0</v>
      </c>
      <c r="K73" s="29">
        <v>0</v>
      </c>
      <c r="L73" s="27">
        <v>0</v>
      </c>
      <c r="M73" s="28">
        <v>0</v>
      </c>
      <c r="N73" s="29">
        <v>0</v>
      </c>
      <c r="O73" s="27">
        <v>0</v>
      </c>
      <c r="P73" s="28">
        <v>0</v>
      </c>
      <c r="Q73" s="29">
        <v>0</v>
      </c>
      <c r="R73" s="27">
        <v>-646</v>
      </c>
      <c r="S73" s="28">
        <v>-651</v>
      </c>
      <c r="T73" s="29">
        <v>0</v>
      </c>
      <c r="U73" s="27">
        <v>5166018</v>
      </c>
      <c r="V73" s="28">
        <v>8846942</v>
      </c>
      <c r="W73" s="29">
        <v>4515314</v>
      </c>
      <c r="X73" s="27">
        <v>2592069</v>
      </c>
      <c r="Y73" s="28">
        <v>9352194</v>
      </c>
      <c r="Z73" s="29">
        <v>4129085</v>
      </c>
      <c r="AA73" s="27">
        <v>788821</v>
      </c>
      <c r="AB73" s="28">
        <v>-1586669</v>
      </c>
      <c r="AC73" s="29">
        <v>-20102</v>
      </c>
      <c r="AD73" s="27">
        <v>-1785774</v>
      </c>
      <c r="AE73" s="28">
        <v>-1082068</v>
      </c>
      <c r="AF73" s="29">
        <v>-406331</v>
      </c>
      <c r="AG73" s="27">
        <v>14029.519999999873</v>
      </c>
      <c r="AH73" s="28">
        <v>19654.830000000075</v>
      </c>
      <c r="AI73" s="29">
        <v>195942.62000000017</v>
      </c>
      <c r="AJ73" s="27">
        <v>0</v>
      </c>
      <c r="AK73" s="28">
        <v>0</v>
      </c>
      <c r="AL73" s="29">
        <v>0</v>
      </c>
      <c r="AM73" s="27">
        <v>5609346.96</v>
      </c>
      <c r="AN73" s="28">
        <v>4152697.3699999996</v>
      </c>
      <c r="AO73" s="29">
        <v>18132214.469999999</v>
      </c>
      <c r="AP73" s="27">
        <v>0</v>
      </c>
      <c r="AQ73" s="28">
        <v>0</v>
      </c>
      <c r="AR73" s="29">
        <v>0</v>
      </c>
      <c r="AS73" s="24">
        <v>1.4317080421485872E-4</v>
      </c>
      <c r="AT73" s="25">
        <v>1.9261378778755379E-4</v>
      </c>
      <c r="AU73" s="26">
        <v>1.8226820322828278E-3</v>
      </c>
      <c r="AV73" s="24">
        <v>0</v>
      </c>
      <c r="AW73" s="25">
        <v>0</v>
      </c>
      <c r="AX73" s="26">
        <v>0</v>
      </c>
    </row>
    <row r="74" spans="1:50" x14ac:dyDescent="0.2">
      <c r="A74" s="22">
        <v>5702</v>
      </c>
      <c r="B74" s="23" t="s">
        <v>91</v>
      </c>
      <c r="C74" s="27">
        <v>0</v>
      </c>
      <c r="D74" s="28">
        <v>0</v>
      </c>
      <c r="E74" s="29">
        <v>0</v>
      </c>
      <c r="F74" s="27">
        <v>2128868</v>
      </c>
      <c r="G74" s="28">
        <v>4644610</v>
      </c>
      <c r="H74" s="29">
        <v>198362</v>
      </c>
      <c r="I74" s="27">
        <v>709864</v>
      </c>
      <c r="J74" s="28">
        <v>2899241</v>
      </c>
      <c r="K74" s="29">
        <v>133025</v>
      </c>
      <c r="L74" s="27">
        <v>2736</v>
      </c>
      <c r="M74" s="28">
        <v>-9336</v>
      </c>
      <c r="N74" s="29">
        <v>70227</v>
      </c>
      <c r="O74" s="27">
        <v>-1416268</v>
      </c>
      <c r="P74" s="28">
        <v>-1754705</v>
      </c>
      <c r="Q74" s="29">
        <v>4890</v>
      </c>
      <c r="R74" s="27">
        <v>0</v>
      </c>
      <c r="S74" s="28">
        <v>0</v>
      </c>
      <c r="T74" s="29">
        <v>0</v>
      </c>
      <c r="U74" s="27">
        <v>565174</v>
      </c>
      <c r="V74" s="28">
        <v>1431925</v>
      </c>
      <c r="W74" s="29">
        <v>580245</v>
      </c>
      <c r="X74" s="27">
        <v>167989</v>
      </c>
      <c r="Y74" s="28">
        <v>707528</v>
      </c>
      <c r="Z74" s="29">
        <v>1261859</v>
      </c>
      <c r="AA74" s="27">
        <v>357331</v>
      </c>
      <c r="AB74" s="28">
        <v>716362</v>
      </c>
      <c r="AC74" s="29">
        <v>-616051</v>
      </c>
      <c r="AD74" s="27">
        <v>-39854</v>
      </c>
      <c r="AE74" s="28">
        <v>-8035</v>
      </c>
      <c r="AF74" s="29">
        <v>65563</v>
      </c>
      <c r="AG74" s="27">
        <v>13898.119999999821</v>
      </c>
      <c r="AH74" s="28">
        <v>94418.690000000526</v>
      </c>
      <c r="AI74" s="29">
        <v>4907.4500000000698</v>
      </c>
      <c r="AJ74" s="27">
        <v>0</v>
      </c>
      <c r="AK74" s="28">
        <v>0</v>
      </c>
      <c r="AL74" s="29">
        <v>0</v>
      </c>
      <c r="AM74" s="27">
        <v>4175669.62</v>
      </c>
      <c r="AN74" s="28">
        <v>342275.22000000009</v>
      </c>
      <c r="AO74" s="29">
        <v>158439.90999999995</v>
      </c>
      <c r="AP74" s="27">
        <v>0</v>
      </c>
      <c r="AQ74" s="28">
        <v>0</v>
      </c>
      <c r="AR74" s="29">
        <v>0</v>
      </c>
      <c r="AS74" s="24">
        <v>4.3989490090627826E-4</v>
      </c>
      <c r="AT74" s="25">
        <v>3.1669980007922142E-3</v>
      </c>
      <c r="AU74" s="26">
        <v>1.4260513156463789E-4</v>
      </c>
      <c r="AV74" s="24">
        <v>0</v>
      </c>
      <c r="AW74" s="25">
        <v>0</v>
      </c>
      <c r="AX74" s="26">
        <v>0</v>
      </c>
    </row>
    <row r="75" spans="1:50" x14ac:dyDescent="0.2">
      <c r="A75" s="22">
        <v>5703</v>
      </c>
      <c r="B75" s="23" t="s">
        <v>92</v>
      </c>
      <c r="C75" s="27">
        <v>0</v>
      </c>
      <c r="D75" s="28">
        <v>0</v>
      </c>
      <c r="E75" s="29">
        <v>0</v>
      </c>
      <c r="F75" s="27">
        <v>0</v>
      </c>
      <c r="G75" s="28">
        <v>0</v>
      </c>
      <c r="H75" s="29">
        <v>0</v>
      </c>
      <c r="I75" s="27">
        <v>0</v>
      </c>
      <c r="J75" s="28">
        <v>0</v>
      </c>
      <c r="K75" s="29">
        <v>0</v>
      </c>
      <c r="L75" s="27">
        <v>0</v>
      </c>
      <c r="M75" s="28">
        <v>0</v>
      </c>
      <c r="N75" s="29">
        <v>0</v>
      </c>
      <c r="O75" s="27">
        <v>0</v>
      </c>
      <c r="P75" s="28">
        <v>0</v>
      </c>
      <c r="Q75" s="29">
        <v>0</v>
      </c>
      <c r="R75" s="27">
        <v>-74</v>
      </c>
      <c r="S75" s="28">
        <v>-565</v>
      </c>
      <c r="T75" s="29">
        <v>0</v>
      </c>
      <c r="U75" s="27">
        <v>261408</v>
      </c>
      <c r="V75" s="28">
        <v>921275</v>
      </c>
      <c r="W75" s="29">
        <v>1989671</v>
      </c>
      <c r="X75" s="27">
        <v>491773</v>
      </c>
      <c r="Y75" s="28">
        <v>2476657</v>
      </c>
      <c r="Z75" s="29">
        <v>1221148</v>
      </c>
      <c r="AA75" s="27">
        <v>-342315</v>
      </c>
      <c r="AB75" s="28">
        <v>87309</v>
      </c>
      <c r="AC75" s="29">
        <v>-309456</v>
      </c>
      <c r="AD75" s="27">
        <v>-112024</v>
      </c>
      <c r="AE75" s="28">
        <v>1642126</v>
      </c>
      <c r="AF75" s="29">
        <v>-1077979</v>
      </c>
      <c r="AG75" s="27">
        <v>6850.6000000000058</v>
      </c>
      <c r="AH75" s="28">
        <v>8127.4099999999162</v>
      </c>
      <c r="AI75" s="29">
        <v>233449.31000000006</v>
      </c>
      <c r="AJ75" s="27">
        <v>0</v>
      </c>
      <c r="AK75" s="28">
        <v>0</v>
      </c>
      <c r="AL75" s="29">
        <v>0</v>
      </c>
      <c r="AM75" s="27">
        <v>1132587</v>
      </c>
      <c r="AN75" s="28">
        <v>3880388.7900000005</v>
      </c>
      <c r="AO75" s="29">
        <v>20208251.68</v>
      </c>
      <c r="AP75" s="27">
        <v>0</v>
      </c>
      <c r="AQ75" s="28">
        <v>0</v>
      </c>
      <c r="AR75" s="29">
        <v>0</v>
      </c>
      <c r="AS75" s="24">
        <v>1.0146517243428874E-4</v>
      </c>
      <c r="AT75" s="25">
        <v>1.2016499283467051E-4</v>
      </c>
      <c r="AU75" s="26">
        <v>3.3095231729258693E-3</v>
      </c>
      <c r="AV75" s="24">
        <v>0</v>
      </c>
      <c r="AW75" s="25">
        <v>0</v>
      </c>
      <c r="AX75" s="26">
        <v>0</v>
      </c>
    </row>
    <row r="76" spans="1:50" x14ac:dyDescent="0.2">
      <c r="A76" s="22">
        <v>5704</v>
      </c>
      <c r="B76" s="23" t="s">
        <v>93</v>
      </c>
      <c r="C76" s="27">
        <v>0</v>
      </c>
      <c r="D76" s="28">
        <v>0</v>
      </c>
      <c r="E76" s="29">
        <v>0</v>
      </c>
      <c r="F76" s="27">
        <v>305736</v>
      </c>
      <c r="G76" s="28">
        <v>2468734</v>
      </c>
      <c r="H76" s="29">
        <v>558955</v>
      </c>
      <c r="I76" s="27">
        <v>237907</v>
      </c>
      <c r="J76" s="28">
        <v>2878646</v>
      </c>
      <c r="K76" s="29">
        <v>133868</v>
      </c>
      <c r="L76" s="27">
        <v>0</v>
      </c>
      <c r="M76" s="28">
        <v>1368</v>
      </c>
      <c r="N76" s="29">
        <v>-1368</v>
      </c>
      <c r="O76" s="27">
        <v>-67829</v>
      </c>
      <c r="P76" s="28">
        <v>411280</v>
      </c>
      <c r="Q76" s="29">
        <v>-426455</v>
      </c>
      <c r="R76" s="27">
        <v>0</v>
      </c>
      <c r="S76" s="28">
        <v>0</v>
      </c>
      <c r="T76" s="29">
        <v>0</v>
      </c>
      <c r="U76" s="27">
        <v>302951</v>
      </c>
      <c r="V76" s="28">
        <v>1492224</v>
      </c>
      <c r="W76" s="29">
        <v>1462452</v>
      </c>
      <c r="X76" s="27">
        <v>294659</v>
      </c>
      <c r="Y76" s="28">
        <v>1625921</v>
      </c>
      <c r="Z76" s="29">
        <v>1443193</v>
      </c>
      <c r="AA76" s="27">
        <v>17561</v>
      </c>
      <c r="AB76" s="28">
        <v>-81507</v>
      </c>
      <c r="AC76" s="29">
        <v>5925</v>
      </c>
      <c r="AD76" s="27">
        <v>9269</v>
      </c>
      <c r="AE76" s="28">
        <v>52190</v>
      </c>
      <c r="AF76" s="29">
        <v>-13334</v>
      </c>
      <c r="AG76" s="27">
        <v>264819.74</v>
      </c>
      <c r="AH76" s="28">
        <v>53645.460000000079</v>
      </c>
      <c r="AI76" s="29">
        <v>71186.789999999921</v>
      </c>
      <c r="AJ76" s="27">
        <v>0</v>
      </c>
      <c r="AK76" s="28">
        <v>0</v>
      </c>
      <c r="AL76" s="29">
        <v>0</v>
      </c>
      <c r="AM76" s="27">
        <v>1827931.4700000002</v>
      </c>
      <c r="AN76" s="28">
        <v>3926175.42</v>
      </c>
      <c r="AO76" s="29">
        <v>2258763.9900000002</v>
      </c>
      <c r="AP76" s="27">
        <v>0</v>
      </c>
      <c r="AQ76" s="28">
        <v>0</v>
      </c>
      <c r="AR76" s="29">
        <v>0</v>
      </c>
      <c r="AS76" s="24">
        <v>1.1390598020317109E-2</v>
      </c>
      <c r="AT76" s="25">
        <v>2.1386852857401798E-3</v>
      </c>
      <c r="AU76" s="26">
        <v>3.1380599699325088E-3</v>
      </c>
      <c r="AV76" s="24">
        <v>0</v>
      </c>
      <c r="AW76" s="25">
        <v>0</v>
      </c>
      <c r="AX76" s="26">
        <v>0</v>
      </c>
    </row>
    <row r="77" spans="1:50" x14ac:dyDescent="0.2">
      <c r="A77" s="22">
        <v>5801</v>
      </c>
      <c r="B77" s="23" t="s">
        <v>94</v>
      </c>
      <c r="C77" s="27">
        <v>0</v>
      </c>
      <c r="D77" s="28">
        <v>0</v>
      </c>
      <c r="E77" s="29">
        <v>0</v>
      </c>
      <c r="F77" s="27">
        <v>273235</v>
      </c>
      <c r="G77" s="28">
        <v>1459135</v>
      </c>
      <c r="H77" s="29">
        <v>0</v>
      </c>
      <c r="I77" s="27">
        <v>32170</v>
      </c>
      <c r="J77" s="28">
        <v>32171</v>
      </c>
      <c r="K77" s="29">
        <v>0</v>
      </c>
      <c r="L77" s="27">
        <v>241065</v>
      </c>
      <c r="M77" s="28">
        <v>1426964</v>
      </c>
      <c r="N77" s="29">
        <v>0</v>
      </c>
      <c r="O77" s="27">
        <v>0</v>
      </c>
      <c r="P77" s="28">
        <v>0</v>
      </c>
      <c r="Q77" s="29">
        <v>0</v>
      </c>
      <c r="R77" s="27">
        <v>0</v>
      </c>
      <c r="S77" s="28">
        <v>0</v>
      </c>
      <c r="T77" s="29">
        <v>0</v>
      </c>
      <c r="U77" s="27">
        <v>194005</v>
      </c>
      <c r="V77" s="28">
        <v>1449957</v>
      </c>
      <c r="W77" s="29">
        <v>1578954</v>
      </c>
      <c r="X77" s="27">
        <v>196375</v>
      </c>
      <c r="Y77" s="28">
        <v>724887</v>
      </c>
      <c r="Z77" s="29">
        <v>1157186</v>
      </c>
      <c r="AA77" s="27">
        <v>0</v>
      </c>
      <c r="AB77" s="28">
        <v>746095</v>
      </c>
      <c r="AC77" s="29">
        <v>478508</v>
      </c>
      <c r="AD77" s="27">
        <v>2370</v>
      </c>
      <c r="AE77" s="28">
        <v>21025</v>
      </c>
      <c r="AF77" s="29">
        <v>56740</v>
      </c>
      <c r="AG77" s="27">
        <v>29998.799999999996</v>
      </c>
      <c r="AH77" s="28">
        <v>12229.440000000061</v>
      </c>
      <c r="AI77" s="29">
        <v>57785.999999999884</v>
      </c>
      <c r="AJ77" s="27">
        <v>0</v>
      </c>
      <c r="AK77" s="28">
        <v>0</v>
      </c>
      <c r="AL77" s="29">
        <v>0</v>
      </c>
      <c r="AM77" s="27">
        <v>1067464.8899999999</v>
      </c>
      <c r="AN77" s="28">
        <v>2131625.9499999997</v>
      </c>
      <c r="AO77" s="29">
        <v>5506857.75</v>
      </c>
      <c r="AP77" s="27">
        <v>29999</v>
      </c>
      <c r="AQ77" s="28">
        <v>0</v>
      </c>
      <c r="AR77" s="29">
        <v>49758</v>
      </c>
      <c r="AS77" s="24">
        <v>6.8416202809062703E-4</v>
      </c>
      <c r="AT77" s="25">
        <v>2.8459704902398316E-4</v>
      </c>
      <c r="AU77" s="26">
        <v>1.1484789778620547E-3</v>
      </c>
      <c r="AV77" s="24">
        <v>6.8416658935326492E-4</v>
      </c>
      <c r="AW77" s="25">
        <v>0</v>
      </c>
      <c r="AX77" s="26">
        <v>9.8892494688090958E-4</v>
      </c>
    </row>
    <row r="78" spans="1:50" x14ac:dyDescent="0.2">
      <c r="A78" s="22">
        <v>5802</v>
      </c>
      <c r="B78" s="23" t="s">
        <v>95</v>
      </c>
      <c r="C78" s="27">
        <v>0</v>
      </c>
      <c r="D78" s="28">
        <v>0</v>
      </c>
      <c r="E78" s="29">
        <v>0</v>
      </c>
      <c r="F78" s="27">
        <v>1521019</v>
      </c>
      <c r="G78" s="28">
        <v>2879616</v>
      </c>
      <c r="H78" s="29">
        <v>865954</v>
      </c>
      <c r="I78" s="27">
        <v>1558471</v>
      </c>
      <c r="J78" s="28">
        <v>1951574</v>
      </c>
      <c r="K78" s="29">
        <v>246180</v>
      </c>
      <c r="L78" s="27">
        <v>249845</v>
      </c>
      <c r="M78" s="28">
        <v>929616</v>
      </c>
      <c r="N78" s="29">
        <v>610799</v>
      </c>
      <c r="O78" s="27">
        <v>287297</v>
      </c>
      <c r="P78" s="28">
        <v>1574</v>
      </c>
      <c r="Q78" s="29">
        <v>-8975</v>
      </c>
      <c r="R78" s="27">
        <v>0</v>
      </c>
      <c r="S78" s="28">
        <v>0</v>
      </c>
      <c r="T78" s="29">
        <v>0</v>
      </c>
      <c r="U78" s="27">
        <v>439027</v>
      </c>
      <c r="V78" s="28">
        <v>1037838</v>
      </c>
      <c r="W78" s="29">
        <v>437519</v>
      </c>
      <c r="X78" s="27">
        <v>242049</v>
      </c>
      <c r="Y78" s="28">
        <v>961787</v>
      </c>
      <c r="Z78" s="29">
        <v>485987</v>
      </c>
      <c r="AA78" s="27">
        <v>132862</v>
      </c>
      <c r="AB78" s="28">
        <v>47841</v>
      </c>
      <c r="AC78" s="29">
        <v>-19606</v>
      </c>
      <c r="AD78" s="27">
        <v>-64116</v>
      </c>
      <c r="AE78" s="28">
        <v>-28210</v>
      </c>
      <c r="AF78" s="29">
        <v>28862</v>
      </c>
      <c r="AG78" s="27">
        <v>2500</v>
      </c>
      <c r="AH78" s="28">
        <v>4.6566128730773926E-10</v>
      </c>
      <c r="AI78" s="29">
        <v>1.0000000009313226E-2</v>
      </c>
      <c r="AJ78" s="27">
        <v>0</v>
      </c>
      <c r="AK78" s="28">
        <v>0</v>
      </c>
      <c r="AL78" s="29">
        <v>0</v>
      </c>
      <c r="AM78" s="27">
        <v>1454994.1600000001</v>
      </c>
      <c r="AN78" s="28">
        <v>907312.65999999968</v>
      </c>
      <c r="AO78" s="29">
        <v>67095.81</v>
      </c>
      <c r="AP78" s="27">
        <v>0</v>
      </c>
      <c r="AQ78" s="28">
        <v>0</v>
      </c>
      <c r="AR78" s="29">
        <v>0</v>
      </c>
      <c r="AS78" s="24">
        <v>8.3327103243580823E-5</v>
      </c>
      <c r="AT78" s="25">
        <v>1.6383123498199863E-17</v>
      </c>
      <c r="AU78" s="26">
        <v>3.279045782369412E-10</v>
      </c>
      <c r="AV78" s="24">
        <v>0</v>
      </c>
      <c r="AW78" s="25">
        <v>0</v>
      </c>
      <c r="AX78" s="26">
        <v>0</v>
      </c>
    </row>
    <row r="79" spans="1:50" x14ac:dyDescent="0.2">
      <c r="A79" s="22">
        <v>5803</v>
      </c>
      <c r="B79" s="23" t="s">
        <v>96</v>
      </c>
      <c r="C79" s="27">
        <v>44043</v>
      </c>
      <c r="D79" s="28">
        <v>109194</v>
      </c>
      <c r="E79" s="29">
        <v>37327</v>
      </c>
      <c r="F79" s="27">
        <v>93863</v>
      </c>
      <c r="G79" s="28">
        <v>229295</v>
      </c>
      <c r="H79" s="29">
        <v>88508</v>
      </c>
      <c r="I79" s="27">
        <v>49254</v>
      </c>
      <c r="J79" s="28">
        <v>134040</v>
      </c>
      <c r="K79" s="29">
        <v>37505</v>
      </c>
      <c r="L79" s="27">
        <v>0</v>
      </c>
      <c r="M79" s="28">
        <v>0</v>
      </c>
      <c r="N79" s="29">
        <v>0</v>
      </c>
      <c r="O79" s="27">
        <v>-566</v>
      </c>
      <c r="P79" s="28">
        <v>13939</v>
      </c>
      <c r="Q79" s="29">
        <v>-13676</v>
      </c>
      <c r="R79" s="27">
        <v>0</v>
      </c>
      <c r="S79" s="28">
        <v>0</v>
      </c>
      <c r="T79" s="29">
        <v>0</v>
      </c>
      <c r="U79" s="27">
        <v>2168477</v>
      </c>
      <c r="V79" s="28">
        <v>6987486</v>
      </c>
      <c r="W79" s="29">
        <v>12609440</v>
      </c>
      <c r="X79" s="27">
        <v>2718380</v>
      </c>
      <c r="Y79" s="28">
        <v>8626872</v>
      </c>
      <c r="Z79" s="29">
        <v>12875507</v>
      </c>
      <c r="AA79" s="27">
        <v>-396831</v>
      </c>
      <c r="AB79" s="28">
        <v>-531034</v>
      </c>
      <c r="AC79" s="29">
        <v>-209408</v>
      </c>
      <c r="AD79" s="27">
        <v>153072</v>
      </c>
      <c r="AE79" s="28">
        <v>1108352</v>
      </c>
      <c r="AF79" s="29">
        <v>56659</v>
      </c>
      <c r="AG79" s="27">
        <v>2490.1200000000536</v>
      </c>
      <c r="AH79" s="28">
        <v>1136464.74</v>
      </c>
      <c r="AI79" s="29">
        <v>617969.44000000111</v>
      </c>
      <c r="AJ79" s="27">
        <v>513744.73</v>
      </c>
      <c r="AK79" s="28">
        <v>513744.73</v>
      </c>
      <c r="AL79" s="29">
        <v>513744.73</v>
      </c>
      <c r="AM79" s="27">
        <v>9411592.2800000012</v>
      </c>
      <c r="AN79" s="28">
        <v>12999570.390000001</v>
      </c>
      <c r="AO79" s="29">
        <v>9632344</v>
      </c>
      <c r="AP79" s="27">
        <v>208098</v>
      </c>
      <c r="AQ79" s="28">
        <v>208098</v>
      </c>
      <c r="AR79" s="29">
        <v>208098</v>
      </c>
      <c r="AS79" s="24">
        <v>1.614347557025119E-5</v>
      </c>
      <c r="AT79" s="25">
        <v>7.8605848240756917E-3</v>
      </c>
      <c r="AU79" s="26">
        <v>3.8051315241020953E-3</v>
      </c>
      <c r="AV79" s="24">
        <v>0</v>
      </c>
      <c r="AW79" s="25">
        <v>0</v>
      </c>
      <c r="AX79" s="26">
        <v>0</v>
      </c>
    </row>
    <row r="80" spans="1:50" x14ac:dyDescent="0.2">
      <c r="A80" s="22">
        <v>5804</v>
      </c>
      <c r="B80" s="23" t="s">
        <v>97</v>
      </c>
      <c r="C80" s="27">
        <v>0</v>
      </c>
      <c r="D80" s="28">
        <v>16</v>
      </c>
      <c r="E80" s="29">
        <v>0</v>
      </c>
      <c r="F80" s="27">
        <v>3000</v>
      </c>
      <c r="G80" s="28">
        <v>68268</v>
      </c>
      <c r="H80" s="29">
        <v>2320969</v>
      </c>
      <c r="I80" s="27">
        <v>0</v>
      </c>
      <c r="J80" s="28">
        <v>230590</v>
      </c>
      <c r="K80" s="29">
        <v>2625106</v>
      </c>
      <c r="L80" s="27">
        <v>3000</v>
      </c>
      <c r="M80" s="28">
        <v>-263050</v>
      </c>
      <c r="N80" s="29">
        <v>323530</v>
      </c>
      <c r="O80" s="27">
        <v>0</v>
      </c>
      <c r="P80" s="28">
        <v>-100712</v>
      </c>
      <c r="Q80" s="29">
        <v>627667</v>
      </c>
      <c r="R80" s="27">
        <v>0</v>
      </c>
      <c r="S80" s="28">
        <v>40</v>
      </c>
      <c r="T80" s="29">
        <v>0</v>
      </c>
      <c r="U80" s="27">
        <v>640425</v>
      </c>
      <c r="V80" s="28">
        <v>1448843</v>
      </c>
      <c r="W80" s="29">
        <v>1118862</v>
      </c>
      <c r="X80" s="27">
        <v>454418</v>
      </c>
      <c r="Y80" s="28">
        <v>1231943</v>
      </c>
      <c r="Z80" s="29">
        <v>1149868</v>
      </c>
      <c r="AA80" s="27">
        <v>163191</v>
      </c>
      <c r="AB80" s="28">
        <v>401612</v>
      </c>
      <c r="AC80" s="29">
        <v>12201</v>
      </c>
      <c r="AD80" s="27">
        <v>-22816</v>
      </c>
      <c r="AE80" s="28">
        <v>184752</v>
      </c>
      <c r="AF80" s="29">
        <v>43207</v>
      </c>
      <c r="AG80" s="27">
        <v>1232.4700000000012</v>
      </c>
      <c r="AH80" s="28">
        <v>63427.969999999972</v>
      </c>
      <c r="AI80" s="29">
        <v>446.29999999993015</v>
      </c>
      <c r="AJ80" s="27">
        <v>0</v>
      </c>
      <c r="AK80" s="28">
        <v>0</v>
      </c>
      <c r="AL80" s="29">
        <v>0</v>
      </c>
      <c r="AM80" s="27">
        <v>40196.879999999997</v>
      </c>
      <c r="AN80" s="28">
        <v>3954954.5</v>
      </c>
      <c r="AO80" s="29">
        <v>4413515.0600000005</v>
      </c>
      <c r="AP80" s="27">
        <v>0</v>
      </c>
      <c r="AQ80" s="28">
        <v>0</v>
      </c>
      <c r="AR80" s="29">
        <v>0</v>
      </c>
      <c r="AS80" s="24">
        <v>2.7549022191551375E-5</v>
      </c>
      <c r="AT80" s="25">
        <v>1.5180921181356154E-3</v>
      </c>
      <c r="AU80" s="26">
        <v>9.0869600494423907E-6</v>
      </c>
      <c r="AV80" s="24">
        <v>0</v>
      </c>
      <c r="AW80" s="25">
        <v>0</v>
      </c>
      <c r="AX80" s="26">
        <v>0</v>
      </c>
    </row>
    <row r="81" spans="1:50" x14ac:dyDescent="0.2">
      <c r="A81" s="22">
        <v>5805</v>
      </c>
      <c r="B81" s="23" t="s">
        <v>98</v>
      </c>
      <c r="C81" s="27">
        <v>8234</v>
      </c>
      <c r="D81" s="28">
        <v>21164</v>
      </c>
      <c r="E81" s="29">
        <v>10706</v>
      </c>
      <c r="F81" s="27">
        <v>26246</v>
      </c>
      <c r="G81" s="28">
        <v>34875</v>
      </c>
      <c r="H81" s="29">
        <v>8990</v>
      </c>
      <c r="I81" s="27">
        <v>449708</v>
      </c>
      <c r="J81" s="28">
        <v>449708</v>
      </c>
      <c r="K81" s="29">
        <v>0</v>
      </c>
      <c r="L81" s="27">
        <v>-449708</v>
      </c>
      <c r="M81" s="28">
        <v>-449708</v>
      </c>
      <c r="N81" s="29">
        <v>0</v>
      </c>
      <c r="O81" s="27">
        <v>-18012</v>
      </c>
      <c r="P81" s="28">
        <v>-13711</v>
      </c>
      <c r="Q81" s="29">
        <v>1716</v>
      </c>
      <c r="R81" s="27">
        <v>0</v>
      </c>
      <c r="S81" s="28">
        <v>0</v>
      </c>
      <c r="T81" s="29">
        <v>0</v>
      </c>
      <c r="U81" s="27">
        <v>1200743</v>
      </c>
      <c r="V81" s="28">
        <v>3204606</v>
      </c>
      <c r="W81" s="29">
        <v>1237866</v>
      </c>
      <c r="X81" s="27">
        <v>548880</v>
      </c>
      <c r="Y81" s="28">
        <v>3182880</v>
      </c>
      <c r="Z81" s="29">
        <v>1240499</v>
      </c>
      <c r="AA81" s="27">
        <v>792982</v>
      </c>
      <c r="AB81" s="28">
        <v>56141</v>
      </c>
      <c r="AC81" s="29">
        <v>18576</v>
      </c>
      <c r="AD81" s="27">
        <v>141119</v>
      </c>
      <c r="AE81" s="28">
        <v>34415</v>
      </c>
      <c r="AF81" s="29">
        <v>21209</v>
      </c>
      <c r="AG81" s="27">
        <v>759.99999999994179</v>
      </c>
      <c r="AH81" s="28">
        <v>425727.21000000014</v>
      </c>
      <c r="AI81" s="29">
        <v>21471.469999999972</v>
      </c>
      <c r="AJ81" s="27">
        <v>0</v>
      </c>
      <c r="AK81" s="28">
        <v>0</v>
      </c>
      <c r="AL81" s="29">
        <v>0</v>
      </c>
      <c r="AM81" s="27">
        <v>2684544.71</v>
      </c>
      <c r="AN81" s="28">
        <v>63033.1700000001</v>
      </c>
      <c r="AO81" s="29">
        <v>152142.90000000002</v>
      </c>
      <c r="AP81" s="27">
        <v>0</v>
      </c>
      <c r="AQ81" s="28">
        <v>0</v>
      </c>
      <c r="AR81" s="29">
        <v>6384</v>
      </c>
      <c r="AS81" s="24">
        <v>1.7572054034157293E-5</v>
      </c>
      <c r="AT81" s="25">
        <v>1.1644019852810619E-2</v>
      </c>
      <c r="AU81" s="26">
        <v>5.4756615093648877E-4</v>
      </c>
      <c r="AV81" s="24">
        <v>0</v>
      </c>
      <c r="AW81" s="25">
        <v>0</v>
      </c>
      <c r="AX81" s="26">
        <v>1.6280498296476902E-4</v>
      </c>
    </row>
    <row r="82" spans="1:50" x14ac:dyDescent="0.2">
      <c r="A82" s="22">
        <v>5806</v>
      </c>
      <c r="B82" s="23" t="s">
        <v>99</v>
      </c>
      <c r="C82" s="27">
        <v>0</v>
      </c>
      <c r="D82" s="28">
        <v>0</v>
      </c>
      <c r="E82" s="29">
        <v>0</v>
      </c>
      <c r="F82" s="27">
        <v>0</v>
      </c>
      <c r="G82" s="28">
        <v>163320</v>
      </c>
      <c r="H82" s="29">
        <v>73916</v>
      </c>
      <c r="I82" s="27">
        <v>0</v>
      </c>
      <c r="J82" s="28">
        <v>177965</v>
      </c>
      <c r="K82" s="29">
        <v>36764</v>
      </c>
      <c r="L82" s="27">
        <v>0</v>
      </c>
      <c r="M82" s="28">
        <v>3211</v>
      </c>
      <c r="N82" s="29">
        <v>19296</v>
      </c>
      <c r="O82" s="27">
        <v>0</v>
      </c>
      <c r="P82" s="28">
        <v>17856</v>
      </c>
      <c r="Q82" s="29">
        <v>-17856</v>
      </c>
      <c r="R82" s="27">
        <v>0</v>
      </c>
      <c r="S82" s="28">
        <v>0</v>
      </c>
      <c r="T82" s="29">
        <v>0</v>
      </c>
      <c r="U82" s="27">
        <v>128821</v>
      </c>
      <c r="V82" s="28">
        <v>372777</v>
      </c>
      <c r="W82" s="29">
        <v>1212925</v>
      </c>
      <c r="X82" s="27">
        <v>88998</v>
      </c>
      <c r="Y82" s="28">
        <v>686381</v>
      </c>
      <c r="Z82" s="29">
        <v>971472</v>
      </c>
      <c r="AA82" s="27">
        <v>33800</v>
      </c>
      <c r="AB82" s="28">
        <v>95882</v>
      </c>
      <c r="AC82" s="29">
        <v>-46182</v>
      </c>
      <c r="AD82" s="27">
        <v>-6023</v>
      </c>
      <c r="AE82" s="28">
        <v>409486</v>
      </c>
      <c r="AF82" s="29">
        <v>-287635</v>
      </c>
      <c r="AG82" s="27">
        <v>0</v>
      </c>
      <c r="AH82" s="28">
        <v>0</v>
      </c>
      <c r="AI82" s="29">
        <v>0</v>
      </c>
      <c r="AJ82" s="27">
        <v>0</v>
      </c>
      <c r="AK82" s="28">
        <v>0</v>
      </c>
      <c r="AL82" s="29">
        <v>0</v>
      </c>
      <c r="AM82" s="27">
        <v>174224.35</v>
      </c>
      <c r="AN82" s="28">
        <v>72475.990000000005</v>
      </c>
      <c r="AO82" s="29">
        <v>1347265.16</v>
      </c>
      <c r="AP82" s="27">
        <v>0</v>
      </c>
      <c r="AQ82" s="28">
        <v>0</v>
      </c>
      <c r="AR82" s="29">
        <v>0</v>
      </c>
      <c r="AS82" s="24">
        <v>0</v>
      </c>
      <c r="AT82" s="25">
        <v>0</v>
      </c>
      <c r="AU82" s="26">
        <v>0</v>
      </c>
      <c r="AV82" s="24">
        <v>0</v>
      </c>
      <c r="AW82" s="25">
        <v>0</v>
      </c>
      <c r="AX82" s="26">
        <v>0</v>
      </c>
    </row>
    <row r="83" spans="1:50" x14ac:dyDescent="0.2">
      <c r="A83" s="22">
        <v>5807</v>
      </c>
      <c r="B83" s="23" t="s">
        <v>100</v>
      </c>
      <c r="C83" s="27">
        <v>0</v>
      </c>
      <c r="D83" s="28">
        <v>0</v>
      </c>
      <c r="E83" s="29">
        <v>0</v>
      </c>
      <c r="F83" s="27">
        <v>175239</v>
      </c>
      <c r="G83" s="28">
        <v>517845</v>
      </c>
      <c r="H83" s="29">
        <v>906721</v>
      </c>
      <c r="I83" s="27">
        <v>171580</v>
      </c>
      <c r="J83" s="28">
        <v>1384468</v>
      </c>
      <c r="K83" s="29">
        <v>56320</v>
      </c>
      <c r="L83" s="27">
        <v>3659</v>
      </c>
      <c r="M83" s="28">
        <v>39770</v>
      </c>
      <c r="N83" s="29">
        <v>-55992</v>
      </c>
      <c r="O83" s="27">
        <v>0</v>
      </c>
      <c r="P83" s="28">
        <v>906393</v>
      </c>
      <c r="Q83" s="29">
        <v>-906393</v>
      </c>
      <c r="R83" s="27">
        <v>15776</v>
      </c>
      <c r="S83" s="28">
        <v>15776</v>
      </c>
      <c r="T83" s="29">
        <v>0</v>
      </c>
      <c r="U83" s="27">
        <v>409093</v>
      </c>
      <c r="V83" s="28">
        <v>1977591</v>
      </c>
      <c r="W83" s="29">
        <v>1474873</v>
      </c>
      <c r="X83" s="27">
        <v>214264</v>
      </c>
      <c r="Y83" s="28">
        <v>1275473</v>
      </c>
      <c r="Z83" s="29">
        <v>1915088</v>
      </c>
      <c r="AA83" s="27">
        <v>100566</v>
      </c>
      <c r="AB83" s="28">
        <v>830359</v>
      </c>
      <c r="AC83" s="29">
        <v>-636673</v>
      </c>
      <c r="AD83" s="27">
        <v>-78487</v>
      </c>
      <c r="AE83" s="28">
        <v>144017</v>
      </c>
      <c r="AF83" s="29">
        <v>-196458</v>
      </c>
      <c r="AG83" s="27">
        <v>15409.339999999997</v>
      </c>
      <c r="AH83" s="28">
        <v>110778.35000000009</v>
      </c>
      <c r="AI83" s="29">
        <v>1215875.48</v>
      </c>
      <c r="AJ83" s="27">
        <v>0</v>
      </c>
      <c r="AK83" s="28">
        <v>0</v>
      </c>
      <c r="AL83" s="29">
        <v>0</v>
      </c>
      <c r="AM83" s="27">
        <v>2637280.5499999998</v>
      </c>
      <c r="AN83" s="28">
        <v>1758982.85</v>
      </c>
      <c r="AO83" s="29">
        <v>3502039.1500000004</v>
      </c>
      <c r="AP83" s="27">
        <v>0</v>
      </c>
      <c r="AQ83" s="28">
        <v>0</v>
      </c>
      <c r="AR83" s="29">
        <v>0</v>
      </c>
      <c r="AS83" s="24">
        <v>6.3435528875722773E-4</v>
      </c>
      <c r="AT83" s="25">
        <v>4.1343236301798064E-3</v>
      </c>
      <c r="AU83" s="26">
        <v>4.4892314608613385E-2</v>
      </c>
      <c r="AV83" s="24">
        <v>0</v>
      </c>
      <c r="AW83" s="25">
        <v>0</v>
      </c>
      <c r="AX83" s="26">
        <v>0</v>
      </c>
    </row>
    <row r="84" spans="1:50" x14ac:dyDescent="0.2">
      <c r="A84" s="22">
        <v>5808</v>
      </c>
      <c r="B84" s="23" t="s">
        <v>101</v>
      </c>
      <c r="C84" s="27">
        <v>0</v>
      </c>
      <c r="D84" s="28">
        <v>0</v>
      </c>
      <c r="E84" s="29">
        <v>0</v>
      </c>
      <c r="F84" s="27">
        <v>0</v>
      </c>
      <c r="G84" s="28">
        <v>0</v>
      </c>
      <c r="H84" s="29">
        <v>0</v>
      </c>
      <c r="I84" s="27">
        <v>0</v>
      </c>
      <c r="J84" s="28">
        <v>0</v>
      </c>
      <c r="K84" s="29">
        <v>0</v>
      </c>
      <c r="L84" s="27">
        <v>0</v>
      </c>
      <c r="M84" s="28">
        <v>0</v>
      </c>
      <c r="N84" s="29">
        <v>0</v>
      </c>
      <c r="O84" s="27">
        <v>0</v>
      </c>
      <c r="P84" s="28">
        <v>0</v>
      </c>
      <c r="Q84" s="29">
        <v>0</v>
      </c>
      <c r="R84" s="27">
        <v>0</v>
      </c>
      <c r="S84" s="28">
        <v>0</v>
      </c>
      <c r="T84" s="29">
        <v>0</v>
      </c>
      <c r="U84" s="27">
        <v>183333</v>
      </c>
      <c r="V84" s="28">
        <v>408347</v>
      </c>
      <c r="W84" s="29">
        <v>573989</v>
      </c>
      <c r="X84" s="27">
        <v>192100</v>
      </c>
      <c r="Y84" s="28">
        <v>552882</v>
      </c>
      <c r="Z84" s="29">
        <v>583739</v>
      </c>
      <c r="AA84" s="27">
        <v>-1183</v>
      </c>
      <c r="AB84" s="28">
        <v>-115254</v>
      </c>
      <c r="AC84" s="29">
        <v>447</v>
      </c>
      <c r="AD84" s="27">
        <v>7584</v>
      </c>
      <c r="AE84" s="28">
        <v>29281</v>
      </c>
      <c r="AF84" s="29">
        <v>10197</v>
      </c>
      <c r="AG84" s="27">
        <v>1367.8500000000058</v>
      </c>
      <c r="AH84" s="28">
        <v>2895.3100000000122</v>
      </c>
      <c r="AI84" s="29">
        <v>203.21999999999935</v>
      </c>
      <c r="AJ84" s="27">
        <v>0</v>
      </c>
      <c r="AK84" s="28">
        <v>0</v>
      </c>
      <c r="AL84" s="29">
        <v>0</v>
      </c>
      <c r="AM84" s="27">
        <v>33240.19</v>
      </c>
      <c r="AN84" s="28">
        <v>169672.59999999998</v>
      </c>
      <c r="AO84" s="29">
        <v>3629600.92</v>
      </c>
      <c r="AP84" s="27">
        <v>0</v>
      </c>
      <c r="AQ84" s="28">
        <v>0</v>
      </c>
      <c r="AR84" s="29">
        <v>0</v>
      </c>
      <c r="AS84" s="24">
        <v>9.7029672629397068E-5</v>
      </c>
      <c r="AT84" s="25">
        <v>1.5220303045579913E-4</v>
      </c>
      <c r="AU84" s="26">
        <v>1.6187579008241898E-5</v>
      </c>
      <c r="AV84" s="24">
        <v>0</v>
      </c>
      <c r="AW84" s="25">
        <v>0</v>
      </c>
      <c r="AX84" s="26">
        <v>0</v>
      </c>
    </row>
    <row r="85" spans="1:50" x14ac:dyDescent="0.2">
      <c r="A85" s="22">
        <v>5901</v>
      </c>
      <c r="B85" s="23" t="s">
        <v>102</v>
      </c>
      <c r="C85" s="27">
        <v>0</v>
      </c>
      <c r="D85" s="28">
        <v>0</v>
      </c>
      <c r="E85" s="29">
        <v>0</v>
      </c>
      <c r="F85" s="27">
        <v>202869</v>
      </c>
      <c r="G85" s="28">
        <v>3957322</v>
      </c>
      <c r="H85" s="29">
        <v>850350</v>
      </c>
      <c r="I85" s="27">
        <v>1578561</v>
      </c>
      <c r="J85" s="28">
        <v>3877417</v>
      </c>
      <c r="K85" s="29">
        <v>837420</v>
      </c>
      <c r="L85" s="27">
        <v>11753</v>
      </c>
      <c r="M85" s="28">
        <v>68451</v>
      </c>
      <c r="N85" s="29">
        <v>11910</v>
      </c>
      <c r="O85" s="27">
        <v>1387445</v>
      </c>
      <c r="P85" s="28">
        <v>-11454</v>
      </c>
      <c r="Q85" s="29">
        <v>-1020</v>
      </c>
      <c r="R85" s="27">
        <v>0</v>
      </c>
      <c r="S85" s="28">
        <v>0</v>
      </c>
      <c r="T85" s="29">
        <v>0</v>
      </c>
      <c r="U85" s="27">
        <v>990264</v>
      </c>
      <c r="V85" s="28">
        <v>2292788</v>
      </c>
      <c r="W85" s="29">
        <v>1527783</v>
      </c>
      <c r="X85" s="27">
        <v>696283</v>
      </c>
      <c r="Y85" s="28">
        <v>2296298</v>
      </c>
      <c r="Z85" s="29">
        <v>1173003</v>
      </c>
      <c r="AA85" s="27">
        <v>-194628</v>
      </c>
      <c r="AB85" s="28">
        <v>-247081</v>
      </c>
      <c r="AC85" s="29">
        <v>285064</v>
      </c>
      <c r="AD85" s="27">
        <v>-488609</v>
      </c>
      <c r="AE85" s="28">
        <v>-243571</v>
      </c>
      <c r="AF85" s="29">
        <v>-69716</v>
      </c>
      <c r="AG85" s="27">
        <v>125181.72</v>
      </c>
      <c r="AH85" s="28">
        <v>721330.8</v>
      </c>
      <c r="AI85" s="29">
        <v>122354.04000000004</v>
      </c>
      <c r="AJ85" s="27">
        <v>0</v>
      </c>
      <c r="AK85" s="28">
        <v>0</v>
      </c>
      <c r="AL85" s="29">
        <v>0</v>
      </c>
      <c r="AM85" s="27">
        <v>6178190.0300000003</v>
      </c>
      <c r="AN85" s="28">
        <v>1433261.0199999998</v>
      </c>
      <c r="AO85" s="29">
        <v>1406753.74</v>
      </c>
      <c r="AP85" s="27">
        <v>0</v>
      </c>
      <c r="AQ85" s="28">
        <v>0</v>
      </c>
      <c r="AR85" s="29">
        <v>0</v>
      </c>
      <c r="AS85" s="24">
        <v>4.5224990513829111E-3</v>
      </c>
      <c r="AT85" s="25">
        <v>2.7517326344111352E-2</v>
      </c>
      <c r="AU85" s="26">
        <v>4.5259229165526913E-3</v>
      </c>
      <c r="AV85" s="24">
        <v>0</v>
      </c>
      <c r="AW85" s="25">
        <v>0</v>
      </c>
      <c r="AX85" s="26">
        <v>0</v>
      </c>
    </row>
    <row r="86" spans="1:50" x14ac:dyDescent="0.2">
      <c r="A86" s="22">
        <v>5902</v>
      </c>
      <c r="B86" s="23" t="s">
        <v>103</v>
      </c>
      <c r="C86" s="27">
        <v>0</v>
      </c>
      <c r="D86" s="28">
        <v>0</v>
      </c>
      <c r="E86" s="29">
        <v>0</v>
      </c>
      <c r="F86" s="27">
        <v>126899</v>
      </c>
      <c r="G86" s="28">
        <v>819728</v>
      </c>
      <c r="H86" s="29">
        <v>80090</v>
      </c>
      <c r="I86" s="27">
        <v>0</v>
      </c>
      <c r="J86" s="28">
        <v>721213</v>
      </c>
      <c r="K86" s="29">
        <v>0</v>
      </c>
      <c r="L86" s="27">
        <v>0</v>
      </c>
      <c r="M86" s="28">
        <v>0</v>
      </c>
      <c r="N86" s="29">
        <v>11450</v>
      </c>
      <c r="O86" s="27">
        <v>-126899</v>
      </c>
      <c r="P86" s="28">
        <v>-98515</v>
      </c>
      <c r="Q86" s="29">
        <v>-68640</v>
      </c>
      <c r="R86" s="27">
        <v>0</v>
      </c>
      <c r="S86" s="28">
        <v>0</v>
      </c>
      <c r="T86" s="29">
        <v>0</v>
      </c>
      <c r="U86" s="27">
        <v>695004</v>
      </c>
      <c r="V86" s="28">
        <v>1491716</v>
      </c>
      <c r="W86" s="29">
        <v>976631</v>
      </c>
      <c r="X86" s="27">
        <v>460968</v>
      </c>
      <c r="Y86" s="28">
        <v>1116403</v>
      </c>
      <c r="Z86" s="29">
        <v>932448</v>
      </c>
      <c r="AA86" s="27">
        <v>-43865</v>
      </c>
      <c r="AB86" s="28">
        <v>163989</v>
      </c>
      <c r="AC86" s="29">
        <v>31951</v>
      </c>
      <c r="AD86" s="27">
        <v>-277901</v>
      </c>
      <c r="AE86" s="28">
        <v>-211324</v>
      </c>
      <c r="AF86" s="29">
        <v>-12232</v>
      </c>
      <c r="AG86" s="27">
        <v>1530</v>
      </c>
      <c r="AH86" s="28">
        <v>16688.310000000056</v>
      </c>
      <c r="AI86" s="29">
        <v>586151.7200000002</v>
      </c>
      <c r="AJ86" s="27">
        <v>0</v>
      </c>
      <c r="AK86" s="28">
        <v>0</v>
      </c>
      <c r="AL86" s="29">
        <v>0</v>
      </c>
      <c r="AM86" s="27">
        <v>1187250.5999999999</v>
      </c>
      <c r="AN86" s="28">
        <v>1667167.15</v>
      </c>
      <c r="AO86" s="29">
        <v>635995.42999999993</v>
      </c>
      <c r="AP86" s="27">
        <v>0</v>
      </c>
      <c r="AQ86" s="28">
        <v>0</v>
      </c>
      <c r="AR86" s="29">
        <v>0</v>
      </c>
      <c r="AS86" s="24">
        <v>7.5605115175251178E-5</v>
      </c>
      <c r="AT86" s="25">
        <v>6.9649226998924716E-4</v>
      </c>
      <c r="AU86" s="26">
        <v>2.3669829163009602E-2</v>
      </c>
      <c r="AV86" s="24">
        <v>0</v>
      </c>
      <c r="AW86" s="25">
        <v>0</v>
      </c>
      <c r="AX86" s="26">
        <v>0</v>
      </c>
    </row>
    <row r="87" spans="1:50" x14ac:dyDescent="0.2">
      <c r="A87" s="22">
        <v>5903</v>
      </c>
      <c r="B87" s="23" t="s">
        <v>104</v>
      </c>
      <c r="C87" s="27">
        <v>0</v>
      </c>
      <c r="D87" s="28">
        <v>0</v>
      </c>
      <c r="E87" s="29">
        <v>0</v>
      </c>
      <c r="F87" s="27">
        <v>271386</v>
      </c>
      <c r="G87" s="28">
        <v>306080</v>
      </c>
      <c r="H87" s="29">
        <v>-65</v>
      </c>
      <c r="I87" s="27">
        <v>0</v>
      </c>
      <c r="J87" s="28">
        <v>135694</v>
      </c>
      <c r="K87" s="29">
        <v>17083</v>
      </c>
      <c r="L87" s="27">
        <v>135693</v>
      </c>
      <c r="M87" s="28">
        <v>34694</v>
      </c>
      <c r="N87" s="29">
        <v>-17148</v>
      </c>
      <c r="O87" s="27">
        <v>-135693</v>
      </c>
      <c r="P87" s="28">
        <v>-135692</v>
      </c>
      <c r="Q87" s="29">
        <v>0</v>
      </c>
      <c r="R87" s="27">
        <v>0</v>
      </c>
      <c r="S87" s="28">
        <v>43</v>
      </c>
      <c r="T87" s="29">
        <v>0</v>
      </c>
      <c r="U87" s="27">
        <v>1518386</v>
      </c>
      <c r="V87" s="28">
        <v>3315766</v>
      </c>
      <c r="W87" s="29">
        <v>2509177</v>
      </c>
      <c r="X87" s="27">
        <v>1865527</v>
      </c>
      <c r="Y87" s="28">
        <v>3407539</v>
      </c>
      <c r="Z87" s="29">
        <v>2207976</v>
      </c>
      <c r="AA87" s="27">
        <v>-427356</v>
      </c>
      <c r="AB87" s="28">
        <v>-393175</v>
      </c>
      <c r="AC87" s="29">
        <v>548369</v>
      </c>
      <c r="AD87" s="27">
        <v>-80215</v>
      </c>
      <c r="AE87" s="28">
        <v>-301359</v>
      </c>
      <c r="AF87" s="29">
        <v>247168</v>
      </c>
      <c r="AG87" s="27">
        <v>139864.09999999995</v>
      </c>
      <c r="AH87" s="28">
        <v>241364.52999999988</v>
      </c>
      <c r="AI87" s="29">
        <v>278583.47000000009</v>
      </c>
      <c r="AJ87" s="27">
        <v>0</v>
      </c>
      <c r="AK87" s="28">
        <v>0</v>
      </c>
      <c r="AL87" s="29">
        <v>0</v>
      </c>
      <c r="AM87" s="27">
        <v>3267037.9699999997</v>
      </c>
      <c r="AN87" s="28">
        <v>2274823.1</v>
      </c>
      <c r="AO87" s="29">
        <v>1037083.35</v>
      </c>
      <c r="AP87" s="27">
        <v>0</v>
      </c>
      <c r="AQ87" s="28">
        <v>0</v>
      </c>
      <c r="AR87" s="29">
        <v>0</v>
      </c>
      <c r="AS87" s="24">
        <v>4.8500046691976597E-3</v>
      </c>
      <c r="AT87" s="25">
        <v>5.4141847632590279E-3</v>
      </c>
      <c r="AU87" s="26">
        <v>7.8803250439426348E-3</v>
      </c>
      <c r="AV87" s="24">
        <v>0</v>
      </c>
      <c r="AW87" s="25">
        <v>0</v>
      </c>
      <c r="AX87" s="26">
        <v>0</v>
      </c>
    </row>
    <row r="88" spans="1:50" x14ac:dyDescent="0.2">
      <c r="A88" s="22">
        <v>5904</v>
      </c>
      <c r="B88" s="23" t="s">
        <v>105</v>
      </c>
      <c r="C88" s="27">
        <v>0</v>
      </c>
      <c r="D88" s="28">
        <v>0</v>
      </c>
      <c r="E88" s="29">
        <v>0</v>
      </c>
      <c r="F88" s="27">
        <v>86059</v>
      </c>
      <c r="G88" s="28">
        <v>416524</v>
      </c>
      <c r="H88" s="29">
        <v>289317</v>
      </c>
      <c r="I88" s="27">
        <v>24298</v>
      </c>
      <c r="J88" s="28">
        <v>272296</v>
      </c>
      <c r="K88" s="29">
        <v>502030</v>
      </c>
      <c r="L88" s="27">
        <v>61761</v>
      </c>
      <c r="M88" s="28">
        <v>144228</v>
      </c>
      <c r="N88" s="29">
        <v>-195633</v>
      </c>
      <c r="O88" s="27">
        <v>0</v>
      </c>
      <c r="P88" s="28">
        <v>0</v>
      </c>
      <c r="Q88" s="29">
        <v>17080</v>
      </c>
      <c r="R88" s="27">
        <v>0</v>
      </c>
      <c r="S88" s="28">
        <v>0</v>
      </c>
      <c r="T88" s="29">
        <v>0</v>
      </c>
      <c r="U88" s="27">
        <v>996113</v>
      </c>
      <c r="V88" s="28">
        <v>4420956</v>
      </c>
      <c r="W88" s="29">
        <v>2160843</v>
      </c>
      <c r="X88" s="27">
        <v>614825</v>
      </c>
      <c r="Y88" s="28">
        <v>4579998</v>
      </c>
      <c r="Z88" s="29">
        <v>1916168</v>
      </c>
      <c r="AA88" s="27">
        <v>234658</v>
      </c>
      <c r="AB88" s="28">
        <v>-105109</v>
      </c>
      <c r="AC88" s="29">
        <v>177910</v>
      </c>
      <c r="AD88" s="27">
        <v>-146630</v>
      </c>
      <c r="AE88" s="28">
        <v>53933</v>
      </c>
      <c r="AF88" s="29">
        <v>-66765</v>
      </c>
      <c r="AG88" s="27">
        <v>53451.539999999979</v>
      </c>
      <c r="AH88" s="28">
        <v>81257.329999999842</v>
      </c>
      <c r="AI88" s="29">
        <v>64079.919999999984</v>
      </c>
      <c r="AJ88" s="27">
        <v>0</v>
      </c>
      <c r="AK88" s="28">
        <v>0</v>
      </c>
      <c r="AL88" s="29">
        <v>0</v>
      </c>
      <c r="AM88" s="27">
        <v>2929829.1399999997</v>
      </c>
      <c r="AN88" s="28">
        <v>3792267.7699999996</v>
      </c>
      <c r="AO88" s="29">
        <v>2530703.9900000007</v>
      </c>
      <c r="AP88" s="27">
        <v>0</v>
      </c>
      <c r="AQ88" s="28">
        <v>0</v>
      </c>
      <c r="AR88" s="29">
        <v>0</v>
      </c>
      <c r="AS88" s="24">
        <v>9.460200745870645E-4</v>
      </c>
      <c r="AT88" s="25">
        <v>1.6991935466163816E-3</v>
      </c>
      <c r="AU88" s="26">
        <v>1.0501973145890138E-3</v>
      </c>
      <c r="AV88" s="24">
        <v>0</v>
      </c>
      <c r="AW88" s="25">
        <v>0</v>
      </c>
      <c r="AX88" s="26">
        <v>0</v>
      </c>
    </row>
    <row r="89" spans="1:50" x14ac:dyDescent="0.2">
      <c r="A89" s="22">
        <v>5905</v>
      </c>
      <c r="B89" s="23" t="s">
        <v>106</v>
      </c>
      <c r="C89" s="27">
        <v>0</v>
      </c>
      <c r="D89" s="28">
        <v>0</v>
      </c>
      <c r="E89" s="29">
        <v>0</v>
      </c>
      <c r="F89" s="27">
        <v>0</v>
      </c>
      <c r="G89" s="28">
        <v>889084</v>
      </c>
      <c r="H89" s="29">
        <v>0</v>
      </c>
      <c r="I89" s="27">
        <v>0</v>
      </c>
      <c r="J89" s="28">
        <v>240000</v>
      </c>
      <c r="K89" s="29">
        <v>0</v>
      </c>
      <c r="L89" s="27">
        <v>0</v>
      </c>
      <c r="M89" s="28">
        <v>649506</v>
      </c>
      <c r="N89" s="29">
        <v>0</v>
      </c>
      <c r="O89" s="27">
        <v>0</v>
      </c>
      <c r="P89" s="28">
        <v>422</v>
      </c>
      <c r="Q89" s="29">
        <v>0</v>
      </c>
      <c r="R89" s="27">
        <v>0</v>
      </c>
      <c r="S89" s="28">
        <v>0</v>
      </c>
      <c r="T89" s="29">
        <v>0</v>
      </c>
      <c r="U89" s="27">
        <v>2087825</v>
      </c>
      <c r="V89" s="28">
        <v>6408995</v>
      </c>
      <c r="W89" s="29">
        <v>4450164</v>
      </c>
      <c r="X89" s="27">
        <v>4276368</v>
      </c>
      <c r="Y89" s="28">
        <v>11474795</v>
      </c>
      <c r="Z89" s="29">
        <v>4865863</v>
      </c>
      <c r="AA89" s="27">
        <v>7845359</v>
      </c>
      <c r="AB89" s="28">
        <v>-3071631</v>
      </c>
      <c r="AC89" s="29">
        <v>-119995</v>
      </c>
      <c r="AD89" s="27">
        <v>10033902</v>
      </c>
      <c r="AE89" s="28">
        <v>1994169</v>
      </c>
      <c r="AF89" s="29">
        <v>295704</v>
      </c>
      <c r="AG89" s="27">
        <v>12804.010000000009</v>
      </c>
      <c r="AH89" s="28">
        <v>918417.06999999983</v>
      </c>
      <c r="AI89" s="29">
        <v>210122.10999999987</v>
      </c>
      <c r="AJ89" s="27">
        <v>0</v>
      </c>
      <c r="AK89" s="28">
        <v>0</v>
      </c>
      <c r="AL89" s="29">
        <v>0</v>
      </c>
      <c r="AM89" s="27">
        <v>7741292.1400000006</v>
      </c>
      <c r="AN89" s="28">
        <v>6655935.3100000005</v>
      </c>
      <c r="AO89" s="29">
        <v>17674102.620000001</v>
      </c>
      <c r="AP89" s="27">
        <v>0</v>
      </c>
      <c r="AQ89" s="28">
        <v>701231</v>
      </c>
      <c r="AR89" s="29">
        <v>0</v>
      </c>
      <c r="AS89" s="24">
        <v>8.8819216312400844E-5</v>
      </c>
      <c r="AT89" s="25">
        <v>5.7009333298481141E-3</v>
      </c>
      <c r="AU89" s="26">
        <v>1.3622367038196371E-3</v>
      </c>
      <c r="AV89" s="24">
        <v>0</v>
      </c>
      <c r="AW89" s="25">
        <v>4.3527840568367525E-3</v>
      </c>
      <c r="AX89" s="26">
        <v>0</v>
      </c>
    </row>
    <row r="90" spans="1:50" x14ac:dyDescent="0.2">
      <c r="A90" s="22">
        <v>5906</v>
      </c>
      <c r="B90" s="23" t="s">
        <v>107</v>
      </c>
      <c r="C90" s="27">
        <v>0</v>
      </c>
      <c r="D90" s="28">
        <v>0</v>
      </c>
      <c r="E90" s="29">
        <v>0</v>
      </c>
      <c r="F90" s="27">
        <v>1730365</v>
      </c>
      <c r="G90" s="28">
        <v>4066423</v>
      </c>
      <c r="H90" s="29">
        <v>530265</v>
      </c>
      <c r="I90" s="27">
        <v>371947</v>
      </c>
      <c r="J90" s="28">
        <v>2867130</v>
      </c>
      <c r="K90" s="29">
        <v>544254</v>
      </c>
      <c r="L90" s="27">
        <v>117007</v>
      </c>
      <c r="M90" s="28">
        <v>11469</v>
      </c>
      <c r="N90" s="29">
        <v>-13989</v>
      </c>
      <c r="O90" s="27">
        <v>-1241411</v>
      </c>
      <c r="P90" s="28">
        <v>-1187824</v>
      </c>
      <c r="Q90" s="29">
        <v>0</v>
      </c>
      <c r="R90" s="27">
        <v>0</v>
      </c>
      <c r="S90" s="28">
        <v>0</v>
      </c>
      <c r="T90" s="29">
        <v>0</v>
      </c>
      <c r="U90" s="27">
        <v>797951</v>
      </c>
      <c r="V90" s="28">
        <v>2304185</v>
      </c>
      <c r="W90" s="29">
        <v>1438685</v>
      </c>
      <c r="X90" s="27">
        <v>656537</v>
      </c>
      <c r="Y90" s="28">
        <v>1652573</v>
      </c>
      <c r="Z90" s="29">
        <v>2003631</v>
      </c>
      <c r="AA90" s="27">
        <v>169184</v>
      </c>
      <c r="AB90" s="28">
        <v>625988</v>
      </c>
      <c r="AC90" s="29">
        <v>-529494</v>
      </c>
      <c r="AD90" s="27">
        <v>27770</v>
      </c>
      <c r="AE90" s="28">
        <v>-25624</v>
      </c>
      <c r="AF90" s="29">
        <v>35452</v>
      </c>
      <c r="AG90" s="27">
        <v>49601.500000000058</v>
      </c>
      <c r="AH90" s="28">
        <v>718381.17999999993</v>
      </c>
      <c r="AI90" s="29">
        <v>73262.449999999983</v>
      </c>
      <c r="AJ90" s="27">
        <v>0</v>
      </c>
      <c r="AK90" s="28">
        <v>0</v>
      </c>
      <c r="AL90" s="29">
        <v>0</v>
      </c>
      <c r="AM90" s="27">
        <v>2814751.92</v>
      </c>
      <c r="AN90" s="28">
        <v>931458.3899999999</v>
      </c>
      <c r="AO90" s="29">
        <v>215297.29999999996</v>
      </c>
      <c r="AP90" s="27">
        <v>0</v>
      </c>
      <c r="AQ90" s="28">
        <v>0</v>
      </c>
      <c r="AR90" s="29">
        <v>0</v>
      </c>
      <c r="AS90" s="24">
        <v>1.6305378672749459E-3</v>
      </c>
      <c r="AT90" s="25">
        <v>2.2437615999563728E-2</v>
      </c>
      <c r="AU90" s="26">
        <v>2.2574103039107226E-3</v>
      </c>
      <c r="AV90" s="24">
        <v>0</v>
      </c>
      <c r="AW90" s="25">
        <v>0</v>
      </c>
      <c r="AX90" s="26">
        <v>0</v>
      </c>
    </row>
    <row r="91" spans="1:50" x14ac:dyDescent="0.2">
      <c r="A91" s="22">
        <v>5907</v>
      </c>
      <c r="B91" s="23" t="s">
        <v>108</v>
      </c>
      <c r="C91" s="27">
        <v>0</v>
      </c>
      <c r="D91" s="28">
        <v>0</v>
      </c>
      <c r="E91" s="29">
        <v>0</v>
      </c>
      <c r="F91" s="27">
        <v>8010</v>
      </c>
      <c r="G91" s="28">
        <v>411240</v>
      </c>
      <c r="H91" s="29">
        <v>143685</v>
      </c>
      <c r="I91" s="27">
        <v>8010</v>
      </c>
      <c r="J91" s="28">
        <v>411240</v>
      </c>
      <c r="K91" s="29">
        <v>143685</v>
      </c>
      <c r="L91" s="27">
        <v>0</v>
      </c>
      <c r="M91" s="28">
        <v>0</v>
      </c>
      <c r="N91" s="29">
        <v>0</v>
      </c>
      <c r="O91" s="27">
        <v>0</v>
      </c>
      <c r="P91" s="28">
        <v>0</v>
      </c>
      <c r="Q91" s="29">
        <v>0</v>
      </c>
      <c r="R91" s="27">
        <v>0</v>
      </c>
      <c r="S91" s="28">
        <v>0</v>
      </c>
      <c r="T91" s="29">
        <v>0</v>
      </c>
      <c r="U91" s="27">
        <v>1029248</v>
      </c>
      <c r="V91" s="28">
        <v>2203324</v>
      </c>
      <c r="W91" s="29">
        <v>1107953</v>
      </c>
      <c r="X91" s="27">
        <v>1063509</v>
      </c>
      <c r="Y91" s="28">
        <v>2178875</v>
      </c>
      <c r="Z91" s="29">
        <v>1140125</v>
      </c>
      <c r="AA91" s="27">
        <v>0</v>
      </c>
      <c r="AB91" s="28">
        <v>0</v>
      </c>
      <c r="AC91" s="29">
        <v>0</v>
      </c>
      <c r="AD91" s="27">
        <v>34261</v>
      </c>
      <c r="AE91" s="28">
        <v>-24449</v>
      </c>
      <c r="AF91" s="29">
        <v>32172</v>
      </c>
      <c r="AG91" s="27">
        <v>45600</v>
      </c>
      <c r="AH91" s="28">
        <v>229462</v>
      </c>
      <c r="AI91" s="29">
        <v>141847.20000000007</v>
      </c>
      <c r="AJ91" s="27">
        <v>0</v>
      </c>
      <c r="AK91" s="28">
        <v>0</v>
      </c>
      <c r="AL91" s="29">
        <v>0</v>
      </c>
      <c r="AM91" s="27">
        <v>1866048</v>
      </c>
      <c r="AN91" s="28">
        <v>1298068.5</v>
      </c>
      <c r="AO91" s="29">
        <v>1304218.6499999999</v>
      </c>
      <c r="AP91" s="27">
        <v>0</v>
      </c>
      <c r="AQ91" s="28">
        <v>0</v>
      </c>
      <c r="AR91" s="29">
        <v>0</v>
      </c>
      <c r="AS91" s="24">
        <v>2.4016446209559608E-3</v>
      </c>
      <c r="AT91" s="25">
        <v>1.1014413030168408E-2</v>
      </c>
      <c r="AU91" s="26">
        <v>7.2728797855122129E-3</v>
      </c>
      <c r="AV91" s="24">
        <v>0</v>
      </c>
      <c r="AW91" s="25">
        <v>0</v>
      </c>
      <c r="AX91" s="26">
        <v>0</v>
      </c>
    </row>
    <row r="92" spans="1:50" x14ac:dyDescent="0.2">
      <c r="A92" s="22">
        <v>6001</v>
      </c>
      <c r="B92" s="23" t="s">
        <v>109</v>
      </c>
      <c r="C92" s="27">
        <v>0</v>
      </c>
      <c r="D92" s="28">
        <v>0</v>
      </c>
      <c r="E92" s="29">
        <v>0</v>
      </c>
      <c r="F92" s="27">
        <v>0</v>
      </c>
      <c r="G92" s="28">
        <v>0</v>
      </c>
      <c r="H92" s="29">
        <v>0</v>
      </c>
      <c r="I92" s="27">
        <v>0</v>
      </c>
      <c r="J92" s="28">
        <v>0</v>
      </c>
      <c r="K92" s="29">
        <v>0</v>
      </c>
      <c r="L92" s="27">
        <v>0</v>
      </c>
      <c r="M92" s="28">
        <v>0</v>
      </c>
      <c r="N92" s="29">
        <v>0</v>
      </c>
      <c r="O92" s="27">
        <v>0</v>
      </c>
      <c r="P92" s="28">
        <v>0</v>
      </c>
      <c r="Q92" s="29">
        <v>0</v>
      </c>
      <c r="R92" s="27">
        <v>0</v>
      </c>
      <c r="S92" s="28">
        <v>0</v>
      </c>
      <c r="T92" s="29">
        <v>0</v>
      </c>
      <c r="U92" s="27">
        <v>192149</v>
      </c>
      <c r="V92" s="28">
        <v>1434084</v>
      </c>
      <c r="W92" s="29">
        <v>2746860</v>
      </c>
      <c r="X92" s="27">
        <v>37090</v>
      </c>
      <c r="Y92" s="28">
        <v>1443669</v>
      </c>
      <c r="Z92" s="29">
        <v>6374304</v>
      </c>
      <c r="AA92" s="27">
        <v>135504</v>
      </c>
      <c r="AB92" s="28">
        <v>-13136</v>
      </c>
      <c r="AC92" s="29">
        <v>56086</v>
      </c>
      <c r="AD92" s="27">
        <v>-19555</v>
      </c>
      <c r="AE92" s="28">
        <v>-3551</v>
      </c>
      <c r="AF92" s="29">
        <v>3683530</v>
      </c>
      <c r="AG92" s="27">
        <v>0</v>
      </c>
      <c r="AH92" s="28">
        <v>773757.08</v>
      </c>
      <c r="AI92" s="29">
        <v>54963.550000000047</v>
      </c>
      <c r="AJ92" s="27">
        <v>0</v>
      </c>
      <c r="AK92" s="28">
        <v>0</v>
      </c>
      <c r="AL92" s="29">
        <v>0</v>
      </c>
      <c r="AM92" s="27">
        <v>30379.14</v>
      </c>
      <c r="AN92" s="28">
        <v>7448115.709999999</v>
      </c>
      <c r="AO92" s="29">
        <v>8198922.8300000001</v>
      </c>
      <c r="AP92" s="27">
        <v>0</v>
      </c>
      <c r="AQ92" s="28">
        <v>0</v>
      </c>
      <c r="AR92" s="29">
        <v>0</v>
      </c>
      <c r="AS92" s="24">
        <v>0</v>
      </c>
      <c r="AT92" s="25">
        <v>4.63943248282946E-2</v>
      </c>
      <c r="AU92" s="26">
        <v>3.090420562429213E-3</v>
      </c>
      <c r="AV92" s="24">
        <v>0</v>
      </c>
      <c r="AW92" s="25">
        <v>0</v>
      </c>
      <c r="AX92" s="26">
        <v>0</v>
      </c>
    </row>
    <row r="93" spans="1:50" x14ac:dyDescent="0.2">
      <c r="A93" s="22">
        <v>6002</v>
      </c>
      <c r="B93" s="23" t="s">
        <v>110</v>
      </c>
      <c r="C93" s="27">
        <v>0</v>
      </c>
      <c r="D93" s="28">
        <v>0</v>
      </c>
      <c r="E93" s="29">
        <v>0</v>
      </c>
      <c r="F93" s="27">
        <v>0</v>
      </c>
      <c r="G93" s="28">
        <v>0</v>
      </c>
      <c r="H93" s="29">
        <v>0</v>
      </c>
      <c r="I93" s="27">
        <v>0</v>
      </c>
      <c r="J93" s="28">
        <v>0</v>
      </c>
      <c r="K93" s="29">
        <v>0</v>
      </c>
      <c r="L93" s="27">
        <v>0</v>
      </c>
      <c r="M93" s="28">
        <v>0</v>
      </c>
      <c r="N93" s="29">
        <v>0</v>
      </c>
      <c r="O93" s="27">
        <v>0</v>
      </c>
      <c r="P93" s="28">
        <v>0</v>
      </c>
      <c r="Q93" s="29">
        <v>0</v>
      </c>
      <c r="R93" s="27">
        <v>0</v>
      </c>
      <c r="S93" s="28">
        <v>0</v>
      </c>
      <c r="T93" s="29">
        <v>0</v>
      </c>
      <c r="U93" s="27">
        <v>84618</v>
      </c>
      <c r="V93" s="28">
        <v>198754</v>
      </c>
      <c r="W93" s="29">
        <v>180412</v>
      </c>
      <c r="X93" s="27">
        <v>90692</v>
      </c>
      <c r="Y93" s="28">
        <v>246370</v>
      </c>
      <c r="Z93" s="29">
        <v>187949</v>
      </c>
      <c r="AA93" s="27">
        <v>0</v>
      </c>
      <c r="AB93" s="28">
        <v>0</v>
      </c>
      <c r="AC93" s="29">
        <v>0</v>
      </c>
      <c r="AD93" s="27">
        <v>6074</v>
      </c>
      <c r="AE93" s="28">
        <v>47616</v>
      </c>
      <c r="AF93" s="29">
        <v>7537</v>
      </c>
      <c r="AG93" s="27">
        <v>0</v>
      </c>
      <c r="AH93" s="28">
        <v>0</v>
      </c>
      <c r="AI93" s="29">
        <v>0</v>
      </c>
      <c r="AJ93" s="27">
        <v>0</v>
      </c>
      <c r="AK93" s="28">
        <v>0</v>
      </c>
      <c r="AL93" s="29">
        <v>0</v>
      </c>
      <c r="AM93" s="27">
        <v>840</v>
      </c>
      <c r="AN93" s="28">
        <v>138177.13</v>
      </c>
      <c r="AO93" s="29">
        <v>840</v>
      </c>
      <c r="AP93" s="27">
        <v>0</v>
      </c>
      <c r="AQ93" s="28">
        <v>0</v>
      </c>
      <c r="AR93" s="29">
        <v>0</v>
      </c>
      <c r="AS93" s="24">
        <v>0</v>
      </c>
      <c r="AT93" s="25">
        <v>0</v>
      </c>
      <c r="AU93" s="26">
        <v>0</v>
      </c>
      <c r="AV93" s="24">
        <v>0</v>
      </c>
      <c r="AW93" s="25">
        <v>0</v>
      </c>
      <c r="AX93" s="26">
        <v>0</v>
      </c>
    </row>
    <row r="94" spans="1:50" x14ac:dyDescent="0.2">
      <c r="A94" s="22">
        <v>6003</v>
      </c>
      <c r="B94" s="23" t="s">
        <v>111</v>
      </c>
      <c r="C94" s="27">
        <v>0</v>
      </c>
      <c r="D94" s="28">
        <v>0</v>
      </c>
      <c r="E94" s="29">
        <v>0</v>
      </c>
      <c r="F94" s="27">
        <v>0</v>
      </c>
      <c r="G94" s="28">
        <v>0</v>
      </c>
      <c r="H94" s="29">
        <v>0</v>
      </c>
      <c r="I94" s="27">
        <v>0</v>
      </c>
      <c r="J94" s="28">
        <v>0</v>
      </c>
      <c r="K94" s="29">
        <v>0</v>
      </c>
      <c r="L94" s="27">
        <v>0</v>
      </c>
      <c r="M94" s="28">
        <v>0</v>
      </c>
      <c r="N94" s="29">
        <v>0</v>
      </c>
      <c r="O94" s="27">
        <v>0</v>
      </c>
      <c r="P94" s="28">
        <v>0</v>
      </c>
      <c r="Q94" s="29">
        <v>0</v>
      </c>
      <c r="R94" s="27">
        <v>0</v>
      </c>
      <c r="S94" s="28">
        <v>11950</v>
      </c>
      <c r="T94" s="29">
        <v>0</v>
      </c>
      <c r="U94" s="27">
        <v>1255967</v>
      </c>
      <c r="V94" s="28">
        <v>2850664</v>
      </c>
      <c r="W94" s="29">
        <v>2167030</v>
      </c>
      <c r="X94" s="27">
        <v>5512381</v>
      </c>
      <c r="Y94" s="28">
        <v>11497262</v>
      </c>
      <c r="Z94" s="29">
        <v>2411466</v>
      </c>
      <c r="AA94" s="27">
        <v>-5366371</v>
      </c>
      <c r="AB94" s="28">
        <v>-10414003</v>
      </c>
      <c r="AC94" s="29">
        <v>18283</v>
      </c>
      <c r="AD94" s="27">
        <v>-1109957</v>
      </c>
      <c r="AE94" s="28">
        <v>-1755455</v>
      </c>
      <c r="AF94" s="29">
        <v>262719</v>
      </c>
      <c r="AG94" s="27">
        <v>90820.609999999986</v>
      </c>
      <c r="AH94" s="28">
        <v>60665.510000000009</v>
      </c>
      <c r="AI94" s="29">
        <v>135764.32000000007</v>
      </c>
      <c r="AJ94" s="27">
        <v>0</v>
      </c>
      <c r="AK94" s="28">
        <v>0</v>
      </c>
      <c r="AL94" s="29">
        <v>0</v>
      </c>
      <c r="AM94" s="27">
        <v>1671371.0099999998</v>
      </c>
      <c r="AN94" s="28">
        <v>1653215.4799999997</v>
      </c>
      <c r="AO94" s="29">
        <v>10086454.92</v>
      </c>
      <c r="AP94" s="27">
        <v>0</v>
      </c>
      <c r="AQ94" s="28">
        <v>0</v>
      </c>
      <c r="AR94" s="29">
        <v>0</v>
      </c>
      <c r="AS94" s="24">
        <v>1.5664507415693925E-3</v>
      </c>
      <c r="AT94" s="25">
        <v>8.5517348260210604E-4</v>
      </c>
      <c r="AU94" s="26">
        <v>2.0934386863639995E-3</v>
      </c>
      <c r="AV94" s="24">
        <v>0</v>
      </c>
      <c r="AW94" s="25">
        <v>0</v>
      </c>
      <c r="AX94" s="26">
        <v>0</v>
      </c>
    </row>
    <row r="95" spans="1:50" x14ac:dyDescent="0.2">
      <c r="A95" s="22">
        <v>6004</v>
      </c>
      <c r="B95" s="23" t="s">
        <v>112</v>
      </c>
      <c r="C95" s="27">
        <v>0</v>
      </c>
      <c r="D95" s="28">
        <v>0</v>
      </c>
      <c r="E95" s="29">
        <v>0</v>
      </c>
      <c r="F95" s="27">
        <v>0</v>
      </c>
      <c r="G95" s="28">
        <v>0</v>
      </c>
      <c r="H95" s="29">
        <v>0</v>
      </c>
      <c r="I95" s="27">
        <v>0</v>
      </c>
      <c r="J95" s="28">
        <v>0</v>
      </c>
      <c r="K95" s="29">
        <v>-38</v>
      </c>
      <c r="L95" s="27">
        <v>0</v>
      </c>
      <c r="M95" s="28">
        <v>0</v>
      </c>
      <c r="N95" s="29">
        <v>0</v>
      </c>
      <c r="O95" s="27">
        <v>0</v>
      </c>
      <c r="P95" s="28">
        <v>0</v>
      </c>
      <c r="Q95" s="29">
        <v>-38</v>
      </c>
      <c r="R95" s="27">
        <v>0</v>
      </c>
      <c r="S95" s="28">
        <v>-194</v>
      </c>
      <c r="T95" s="29">
        <v>0</v>
      </c>
      <c r="U95" s="27">
        <v>225659</v>
      </c>
      <c r="V95" s="28">
        <v>572244</v>
      </c>
      <c r="W95" s="29">
        <v>1230104</v>
      </c>
      <c r="X95" s="27">
        <v>151870</v>
      </c>
      <c r="Y95" s="28">
        <v>1059924</v>
      </c>
      <c r="Z95" s="29">
        <v>1078636</v>
      </c>
      <c r="AA95" s="27">
        <v>4242</v>
      </c>
      <c r="AB95" s="28">
        <v>16691</v>
      </c>
      <c r="AC95" s="29">
        <v>42482</v>
      </c>
      <c r="AD95" s="27">
        <v>-69547</v>
      </c>
      <c r="AE95" s="28">
        <v>504177</v>
      </c>
      <c r="AF95" s="29">
        <v>-108986</v>
      </c>
      <c r="AG95" s="27">
        <v>10682.89</v>
      </c>
      <c r="AH95" s="28">
        <v>68879.88</v>
      </c>
      <c r="AI95" s="29">
        <v>12151.760000000009</v>
      </c>
      <c r="AJ95" s="27">
        <v>0</v>
      </c>
      <c r="AK95" s="28">
        <v>0</v>
      </c>
      <c r="AL95" s="29">
        <v>0</v>
      </c>
      <c r="AM95" s="27">
        <v>323551.84999999998</v>
      </c>
      <c r="AN95" s="28">
        <v>3241021.64</v>
      </c>
      <c r="AO95" s="29">
        <v>3371685.7600000002</v>
      </c>
      <c r="AP95" s="27">
        <v>0</v>
      </c>
      <c r="AQ95" s="28">
        <v>0</v>
      </c>
      <c r="AR95" s="29">
        <v>0</v>
      </c>
      <c r="AS95" s="24">
        <v>1.1358704522316527E-3</v>
      </c>
      <c r="AT95" s="25">
        <v>5.0537241602406071E-3</v>
      </c>
      <c r="AU95" s="26">
        <v>9.482453953356993E-4</v>
      </c>
      <c r="AV95" s="24">
        <v>0</v>
      </c>
      <c r="AW95" s="25">
        <v>0</v>
      </c>
      <c r="AX95" s="26">
        <v>0</v>
      </c>
    </row>
    <row r="96" spans="1:50" x14ac:dyDescent="0.2">
      <c r="A96" s="22">
        <v>6005</v>
      </c>
      <c r="B96" s="23" t="s">
        <v>113</v>
      </c>
      <c r="C96" s="27">
        <v>0</v>
      </c>
      <c r="D96" s="28">
        <v>0</v>
      </c>
      <c r="E96" s="29">
        <v>0</v>
      </c>
      <c r="F96" s="27">
        <v>0</v>
      </c>
      <c r="G96" s="28">
        <v>0</v>
      </c>
      <c r="H96" s="29">
        <v>0</v>
      </c>
      <c r="I96" s="27">
        <v>0</v>
      </c>
      <c r="J96" s="28">
        <v>0</v>
      </c>
      <c r="K96" s="29">
        <v>0</v>
      </c>
      <c r="L96" s="27">
        <v>0</v>
      </c>
      <c r="M96" s="28">
        <v>0</v>
      </c>
      <c r="N96" s="29">
        <v>0</v>
      </c>
      <c r="O96" s="27">
        <v>0</v>
      </c>
      <c r="P96" s="28">
        <v>0</v>
      </c>
      <c r="Q96" s="29">
        <v>0</v>
      </c>
      <c r="R96" s="27">
        <v>0</v>
      </c>
      <c r="S96" s="28">
        <v>62</v>
      </c>
      <c r="T96" s="29">
        <v>0</v>
      </c>
      <c r="U96" s="27">
        <v>1471992</v>
      </c>
      <c r="V96" s="28">
        <v>6880733</v>
      </c>
      <c r="W96" s="29">
        <v>4787685</v>
      </c>
      <c r="X96" s="27">
        <v>390559</v>
      </c>
      <c r="Y96" s="28">
        <v>7763303</v>
      </c>
      <c r="Z96" s="29">
        <v>5853931</v>
      </c>
      <c r="AA96" s="27">
        <v>1343286</v>
      </c>
      <c r="AB96" s="28">
        <v>-602534</v>
      </c>
      <c r="AC96" s="29">
        <v>-562675</v>
      </c>
      <c r="AD96" s="27">
        <v>261853</v>
      </c>
      <c r="AE96" s="28">
        <v>280098</v>
      </c>
      <c r="AF96" s="29">
        <v>503571</v>
      </c>
      <c r="AG96" s="27">
        <v>22099.250000000029</v>
      </c>
      <c r="AH96" s="28">
        <v>27337.910000000149</v>
      </c>
      <c r="AI96" s="29">
        <v>1491748.94</v>
      </c>
      <c r="AJ96" s="27">
        <v>0</v>
      </c>
      <c r="AK96" s="28">
        <v>0</v>
      </c>
      <c r="AL96" s="29">
        <v>0</v>
      </c>
      <c r="AM96" s="27">
        <v>6222740.8499999996</v>
      </c>
      <c r="AN96" s="28">
        <v>6142805.6800000006</v>
      </c>
      <c r="AO96" s="29">
        <v>28559364.450000003</v>
      </c>
      <c r="AP96" s="27">
        <v>0</v>
      </c>
      <c r="AQ96" s="28">
        <v>0</v>
      </c>
      <c r="AR96" s="29">
        <v>0</v>
      </c>
      <c r="AS96" s="24">
        <v>1.9430645702181757E-4</v>
      </c>
      <c r="AT96" s="25">
        <v>2.4901404441830328E-4</v>
      </c>
      <c r="AU96" s="26">
        <v>1.248580130908206E-2</v>
      </c>
      <c r="AV96" s="24">
        <v>0</v>
      </c>
      <c r="AW96" s="25">
        <v>0</v>
      </c>
      <c r="AX96" s="26">
        <v>0</v>
      </c>
    </row>
    <row r="97" spans="1:50" x14ac:dyDescent="0.2">
      <c r="A97" s="22">
        <v>6006</v>
      </c>
      <c r="B97" s="23" t="s">
        <v>114</v>
      </c>
      <c r="C97" s="27">
        <v>0</v>
      </c>
      <c r="D97" s="28">
        <v>0</v>
      </c>
      <c r="E97" s="29">
        <v>0</v>
      </c>
      <c r="F97" s="27">
        <v>0</v>
      </c>
      <c r="G97" s="28">
        <v>0</v>
      </c>
      <c r="H97" s="29">
        <v>0</v>
      </c>
      <c r="I97" s="27">
        <v>0</v>
      </c>
      <c r="J97" s="28">
        <v>0</v>
      </c>
      <c r="K97" s="29">
        <v>0</v>
      </c>
      <c r="L97" s="27">
        <v>0</v>
      </c>
      <c r="M97" s="28">
        <v>0</v>
      </c>
      <c r="N97" s="29">
        <v>0</v>
      </c>
      <c r="O97" s="27">
        <v>0</v>
      </c>
      <c r="P97" s="28">
        <v>0</v>
      </c>
      <c r="Q97" s="29">
        <v>0</v>
      </c>
      <c r="R97" s="27">
        <v>0</v>
      </c>
      <c r="S97" s="28">
        <v>0</v>
      </c>
      <c r="T97" s="29">
        <v>0</v>
      </c>
      <c r="U97" s="27">
        <v>0</v>
      </c>
      <c r="V97" s="28">
        <v>0</v>
      </c>
      <c r="W97" s="29">
        <v>52712</v>
      </c>
      <c r="X97" s="27">
        <v>0</v>
      </c>
      <c r="Y97" s="28">
        <v>103819</v>
      </c>
      <c r="Z97" s="29">
        <v>52712</v>
      </c>
      <c r="AA97" s="27">
        <v>0</v>
      </c>
      <c r="AB97" s="28">
        <v>0</v>
      </c>
      <c r="AC97" s="29">
        <v>0</v>
      </c>
      <c r="AD97" s="27">
        <v>0</v>
      </c>
      <c r="AE97" s="28">
        <v>103819</v>
      </c>
      <c r="AF97" s="29">
        <v>0</v>
      </c>
      <c r="AG97" s="27">
        <v>8.01</v>
      </c>
      <c r="AH97" s="28">
        <v>838.01000000000522</v>
      </c>
      <c r="AI97" s="29">
        <v>11991.380000000001</v>
      </c>
      <c r="AJ97" s="27">
        <v>0</v>
      </c>
      <c r="AK97" s="28">
        <v>0</v>
      </c>
      <c r="AL97" s="29">
        <v>0</v>
      </c>
      <c r="AM97" s="27">
        <v>0</v>
      </c>
      <c r="AN97" s="28">
        <v>92852.619999999981</v>
      </c>
      <c r="AO97" s="29">
        <v>56903.64</v>
      </c>
      <c r="AP97" s="27">
        <v>0</v>
      </c>
      <c r="AQ97" s="28">
        <v>0</v>
      </c>
      <c r="AR97" s="29">
        <v>0</v>
      </c>
      <c r="AS97" s="24">
        <v>1.0947173804629438E-6</v>
      </c>
      <c r="AT97" s="25">
        <v>1.1912620972786173E-4</v>
      </c>
      <c r="AU97" s="26">
        <v>1.4193155732960764E-3</v>
      </c>
      <c r="AV97" s="24">
        <v>0</v>
      </c>
      <c r="AW97" s="25">
        <v>0</v>
      </c>
      <c r="AX97" s="26">
        <v>0</v>
      </c>
    </row>
    <row r="98" spans="1:50" x14ac:dyDescent="0.2">
      <c r="A98" s="22">
        <v>6007</v>
      </c>
      <c r="B98" s="23" t="s">
        <v>115</v>
      </c>
      <c r="C98" s="27">
        <v>0</v>
      </c>
      <c r="D98" s="28">
        <v>0</v>
      </c>
      <c r="E98" s="29">
        <v>0</v>
      </c>
      <c r="F98" s="27">
        <v>0</v>
      </c>
      <c r="G98" s="28">
        <v>0</v>
      </c>
      <c r="H98" s="29">
        <v>0</v>
      </c>
      <c r="I98" s="27">
        <v>0</v>
      </c>
      <c r="J98" s="28">
        <v>0</v>
      </c>
      <c r="K98" s="29">
        <v>0</v>
      </c>
      <c r="L98" s="27">
        <v>0</v>
      </c>
      <c r="M98" s="28">
        <v>0</v>
      </c>
      <c r="N98" s="29">
        <v>0</v>
      </c>
      <c r="O98" s="27">
        <v>0</v>
      </c>
      <c r="P98" s="28">
        <v>0</v>
      </c>
      <c r="Q98" s="29">
        <v>0</v>
      </c>
      <c r="R98" s="27">
        <v>0</v>
      </c>
      <c r="S98" s="28">
        <v>0</v>
      </c>
      <c r="T98" s="29">
        <v>0</v>
      </c>
      <c r="U98" s="27">
        <v>139767</v>
      </c>
      <c r="V98" s="28">
        <v>276135</v>
      </c>
      <c r="W98" s="29">
        <v>126160</v>
      </c>
      <c r="X98" s="27">
        <v>141761</v>
      </c>
      <c r="Y98" s="28">
        <v>278232</v>
      </c>
      <c r="Z98" s="29">
        <v>118395</v>
      </c>
      <c r="AA98" s="27">
        <v>-123</v>
      </c>
      <c r="AB98" s="28">
        <v>-11123</v>
      </c>
      <c r="AC98" s="29">
        <v>25247</v>
      </c>
      <c r="AD98" s="27">
        <v>1871</v>
      </c>
      <c r="AE98" s="28">
        <v>-9026</v>
      </c>
      <c r="AF98" s="29">
        <v>17482</v>
      </c>
      <c r="AG98" s="27">
        <v>10160.209999999992</v>
      </c>
      <c r="AH98" s="28">
        <v>31686.399999999994</v>
      </c>
      <c r="AI98" s="29">
        <v>305875.88</v>
      </c>
      <c r="AJ98" s="27">
        <v>0</v>
      </c>
      <c r="AK98" s="28">
        <v>0</v>
      </c>
      <c r="AL98" s="29">
        <v>0</v>
      </c>
      <c r="AM98" s="27">
        <v>146909.81</v>
      </c>
      <c r="AN98" s="28">
        <v>113193.04</v>
      </c>
      <c r="AO98" s="29">
        <v>554989.57999999996</v>
      </c>
      <c r="AP98" s="27">
        <v>0</v>
      </c>
      <c r="AQ98" s="28">
        <v>0</v>
      </c>
      <c r="AR98" s="29">
        <v>0</v>
      </c>
      <c r="AS98" s="24">
        <v>1.6431538262617442E-3</v>
      </c>
      <c r="AT98" s="25">
        <v>4.994936712053399E-3</v>
      </c>
      <c r="AU98" s="26">
        <v>4.2790543984985337E-2</v>
      </c>
      <c r="AV98" s="24">
        <v>0</v>
      </c>
      <c r="AW98" s="25">
        <v>0</v>
      </c>
      <c r="AX98" s="26">
        <v>0</v>
      </c>
    </row>
    <row r="99" spans="1:50" x14ac:dyDescent="0.2">
      <c r="A99" s="22">
        <v>6008</v>
      </c>
      <c r="B99" s="23" t="s">
        <v>116</v>
      </c>
      <c r="C99" s="27">
        <v>0</v>
      </c>
      <c r="D99" s="28">
        <v>0</v>
      </c>
      <c r="E99" s="29">
        <v>0</v>
      </c>
      <c r="F99" s="27">
        <v>0</v>
      </c>
      <c r="G99" s="28">
        <v>0</v>
      </c>
      <c r="H99" s="29">
        <v>30600</v>
      </c>
      <c r="I99" s="27">
        <v>0</v>
      </c>
      <c r="J99" s="28">
        <v>0</v>
      </c>
      <c r="K99" s="29">
        <v>34800</v>
      </c>
      <c r="L99" s="27">
        <v>0</v>
      </c>
      <c r="M99" s="28">
        <v>0</v>
      </c>
      <c r="N99" s="29">
        <v>0</v>
      </c>
      <c r="O99" s="27">
        <v>0</v>
      </c>
      <c r="P99" s="28">
        <v>0</v>
      </c>
      <c r="Q99" s="29">
        <v>4200</v>
      </c>
      <c r="R99" s="27">
        <v>0</v>
      </c>
      <c r="S99" s="28">
        <v>0</v>
      </c>
      <c r="T99" s="29">
        <v>0</v>
      </c>
      <c r="U99" s="27">
        <v>177546</v>
      </c>
      <c r="V99" s="28">
        <v>359686</v>
      </c>
      <c r="W99" s="29">
        <v>342841</v>
      </c>
      <c r="X99" s="27">
        <v>175589</v>
      </c>
      <c r="Y99" s="28">
        <v>332927</v>
      </c>
      <c r="Z99" s="29">
        <v>394037</v>
      </c>
      <c r="AA99" s="27">
        <v>-2000</v>
      </c>
      <c r="AB99" s="28">
        <v>-19100</v>
      </c>
      <c r="AC99" s="29">
        <v>-6500</v>
      </c>
      <c r="AD99" s="27">
        <v>-3957</v>
      </c>
      <c r="AE99" s="28">
        <v>-45859</v>
      </c>
      <c r="AF99" s="29">
        <v>44696</v>
      </c>
      <c r="AG99" s="27">
        <v>7908.8399999999992</v>
      </c>
      <c r="AH99" s="28">
        <v>8921.09</v>
      </c>
      <c r="AI99" s="29">
        <v>8859.3900000000103</v>
      </c>
      <c r="AJ99" s="27">
        <v>0</v>
      </c>
      <c r="AK99" s="28">
        <v>0</v>
      </c>
      <c r="AL99" s="29">
        <v>0</v>
      </c>
      <c r="AM99" s="27">
        <v>659653.68000000005</v>
      </c>
      <c r="AN99" s="28">
        <v>659653.68000000005</v>
      </c>
      <c r="AO99" s="29">
        <v>2934187.62</v>
      </c>
      <c r="AP99" s="27">
        <v>2501</v>
      </c>
      <c r="AQ99" s="28">
        <v>2501</v>
      </c>
      <c r="AR99" s="29">
        <v>2501</v>
      </c>
      <c r="AS99" s="24">
        <v>5.6220730365353277E-4</v>
      </c>
      <c r="AT99" s="25">
        <v>5.3190478302844366E-4</v>
      </c>
      <c r="AU99" s="26">
        <v>5.8786994810927477E-4</v>
      </c>
      <c r="AV99" s="24">
        <v>1.7778592896524467E-4</v>
      </c>
      <c r="AW99" s="25">
        <v>1.4911786142210622E-4</v>
      </c>
      <c r="AX99" s="26">
        <v>1.6595530168795984E-4</v>
      </c>
    </row>
    <row r="100" spans="1:50" x14ac:dyDescent="0.2">
      <c r="A100" s="22">
        <v>6009</v>
      </c>
      <c r="B100" s="23" t="s">
        <v>117</v>
      </c>
      <c r="C100" s="27">
        <v>0</v>
      </c>
      <c r="D100" s="28">
        <v>0</v>
      </c>
      <c r="E100" s="29">
        <v>0</v>
      </c>
      <c r="F100" s="27">
        <v>0</v>
      </c>
      <c r="G100" s="28">
        <v>0</v>
      </c>
      <c r="H100" s="29">
        <v>0</v>
      </c>
      <c r="I100" s="27">
        <v>0</v>
      </c>
      <c r="J100" s="28">
        <v>0</v>
      </c>
      <c r="K100" s="29">
        <v>0</v>
      </c>
      <c r="L100" s="27">
        <v>0</v>
      </c>
      <c r="M100" s="28">
        <v>0</v>
      </c>
      <c r="N100" s="29">
        <v>0</v>
      </c>
      <c r="O100" s="27">
        <v>0</v>
      </c>
      <c r="P100" s="28">
        <v>0</v>
      </c>
      <c r="Q100" s="29">
        <v>0</v>
      </c>
      <c r="R100" s="27">
        <v>0</v>
      </c>
      <c r="S100" s="28">
        <v>0</v>
      </c>
      <c r="T100" s="29">
        <v>0</v>
      </c>
      <c r="U100" s="27">
        <v>0</v>
      </c>
      <c r="V100" s="28">
        <v>0</v>
      </c>
      <c r="W100" s="29">
        <v>14999</v>
      </c>
      <c r="X100" s="27">
        <v>0</v>
      </c>
      <c r="Y100" s="28">
        <v>10083</v>
      </c>
      <c r="Z100" s="29">
        <v>5041</v>
      </c>
      <c r="AA100" s="27">
        <v>0</v>
      </c>
      <c r="AB100" s="28">
        <v>0</v>
      </c>
      <c r="AC100" s="29">
        <v>0</v>
      </c>
      <c r="AD100" s="27">
        <v>0</v>
      </c>
      <c r="AE100" s="28">
        <v>10083</v>
      </c>
      <c r="AF100" s="29">
        <v>-9958</v>
      </c>
      <c r="AG100" s="27">
        <v>0</v>
      </c>
      <c r="AH100" s="28">
        <v>0</v>
      </c>
      <c r="AI100" s="29">
        <v>0</v>
      </c>
      <c r="AJ100" s="27">
        <v>0</v>
      </c>
      <c r="AK100" s="28">
        <v>0</v>
      </c>
      <c r="AL100" s="29">
        <v>0</v>
      </c>
      <c r="AM100" s="27">
        <v>0</v>
      </c>
      <c r="AN100" s="28">
        <v>0</v>
      </c>
      <c r="AO100" s="29">
        <v>0</v>
      </c>
      <c r="AP100" s="27">
        <v>0</v>
      </c>
      <c r="AQ100" s="28">
        <v>0</v>
      </c>
      <c r="AR100" s="29">
        <v>0</v>
      </c>
      <c r="AS100" s="24">
        <v>0</v>
      </c>
      <c r="AT100" s="25">
        <v>0</v>
      </c>
      <c r="AU100" s="26">
        <v>0</v>
      </c>
      <c r="AV100" s="24">
        <v>0</v>
      </c>
      <c r="AW100" s="25">
        <v>0</v>
      </c>
      <c r="AX100" s="26">
        <v>0</v>
      </c>
    </row>
    <row r="101" spans="1:50" x14ac:dyDescent="0.2">
      <c r="A101" s="22">
        <v>6101</v>
      </c>
      <c r="B101" s="23" t="s">
        <v>118</v>
      </c>
      <c r="C101" s="27">
        <v>0</v>
      </c>
      <c r="D101" s="28">
        <v>0</v>
      </c>
      <c r="E101" s="29">
        <v>0</v>
      </c>
      <c r="F101" s="27">
        <v>53388</v>
      </c>
      <c r="G101" s="28">
        <v>117991</v>
      </c>
      <c r="H101" s="29">
        <v>0</v>
      </c>
      <c r="I101" s="27">
        <v>26694</v>
      </c>
      <c r="J101" s="28">
        <v>80306</v>
      </c>
      <c r="K101" s="29">
        <v>37685</v>
      </c>
      <c r="L101" s="27">
        <v>6694</v>
      </c>
      <c r="M101" s="28">
        <v>71297</v>
      </c>
      <c r="N101" s="29">
        <v>0</v>
      </c>
      <c r="O101" s="27">
        <v>-20000</v>
      </c>
      <c r="P101" s="28">
        <v>33612</v>
      </c>
      <c r="Q101" s="29">
        <v>37685</v>
      </c>
      <c r="R101" s="27">
        <v>0</v>
      </c>
      <c r="S101" s="28">
        <v>0</v>
      </c>
      <c r="T101" s="29">
        <v>0</v>
      </c>
      <c r="U101" s="27">
        <v>120245</v>
      </c>
      <c r="V101" s="28">
        <v>1707671</v>
      </c>
      <c r="W101" s="29">
        <v>1468962</v>
      </c>
      <c r="X101" s="27">
        <v>200094</v>
      </c>
      <c r="Y101" s="28">
        <v>2239825</v>
      </c>
      <c r="Z101" s="29">
        <v>1428265</v>
      </c>
      <c r="AA101" s="27">
        <v>-11098</v>
      </c>
      <c r="AB101" s="28">
        <v>40752</v>
      </c>
      <c r="AC101" s="29">
        <v>41597</v>
      </c>
      <c r="AD101" s="27">
        <v>68751</v>
      </c>
      <c r="AE101" s="28">
        <v>572906</v>
      </c>
      <c r="AF101" s="29">
        <v>900</v>
      </c>
      <c r="AG101" s="27">
        <v>5087.5199999999968</v>
      </c>
      <c r="AH101" s="28">
        <v>7711.8600000001024</v>
      </c>
      <c r="AI101" s="29">
        <v>65410.680000000168</v>
      </c>
      <c r="AJ101" s="27">
        <v>0</v>
      </c>
      <c r="AK101" s="28">
        <v>0</v>
      </c>
      <c r="AL101" s="29">
        <v>0</v>
      </c>
      <c r="AM101" s="27">
        <v>3023685.1599999997</v>
      </c>
      <c r="AN101" s="28">
        <v>9206381.3099999987</v>
      </c>
      <c r="AO101" s="29">
        <v>8085112.1999999993</v>
      </c>
      <c r="AP101" s="27">
        <v>0</v>
      </c>
      <c r="AQ101" s="28">
        <v>0</v>
      </c>
      <c r="AR101" s="29">
        <v>0</v>
      </c>
      <c r="AS101" s="24">
        <v>2.1771524549774117E-4</v>
      </c>
      <c r="AT101" s="25">
        <v>4.7625343787797221E-4</v>
      </c>
      <c r="AU101" s="26">
        <v>4.3357999388182076E-3</v>
      </c>
      <c r="AV101" s="24">
        <v>0</v>
      </c>
      <c r="AW101" s="25">
        <v>0</v>
      </c>
      <c r="AX101" s="26">
        <v>0</v>
      </c>
    </row>
    <row r="102" spans="1:50" x14ac:dyDescent="0.2">
      <c r="A102" s="22">
        <v>6102</v>
      </c>
      <c r="B102" s="23" t="s">
        <v>119</v>
      </c>
      <c r="C102" s="27">
        <v>0</v>
      </c>
      <c r="D102" s="28">
        <v>0</v>
      </c>
      <c r="E102" s="29">
        <v>0</v>
      </c>
      <c r="F102" s="27">
        <v>0</v>
      </c>
      <c r="G102" s="28">
        <v>0</v>
      </c>
      <c r="H102" s="29">
        <v>0</v>
      </c>
      <c r="I102" s="27">
        <v>0</v>
      </c>
      <c r="J102" s="28">
        <v>0</v>
      </c>
      <c r="K102" s="29">
        <v>0</v>
      </c>
      <c r="L102" s="27">
        <v>0</v>
      </c>
      <c r="M102" s="28">
        <v>0</v>
      </c>
      <c r="N102" s="29">
        <v>0</v>
      </c>
      <c r="O102" s="27">
        <v>0</v>
      </c>
      <c r="P102" s="28">
        <v>0</v>
      </c>
      <c r="Q102" s="29">
        <v>0</v>
      </c>
      <c r="R102" s="27">
        <v>0</v>
      </c>
      <c r="S102" s="28">
        <v>0</v>
      </c>
      <c r="T102" s="29">
        <v>0</v>
      </c>
      <c r="U102" s="27">
        <v>110162</v>
      </c>
      <c r="V102" s="28">
        <v>243981</v>
      </c>
      <c r="W102" s="29">
        <v>52525</v>
      </c>
      <c r="X102" s="27">
        <v>116397</v>
      </c>
      <c r="Y102" s="28">
        <v>89105</v>
      </c>
      <c r="Z102" s="29">
        <v>192507</v>
      </c>
      <c r="AA102" s="27">
        <v>6416</v>
      </c>
      <c r="AB102" s="28">
        <v>94213</v>
      </c>
      <c r="AC102" s="29">
        <v>-107227</v>
      </c>
      <c r="AD102" s="27">
        <v>12651</v>
      </c>
      <c r="AE102" s="28">
        <v>-60663</v>
      </c>
      <c r="AF102" s="29">
        <v>32755</v>
      </c>
      <c r="AG102" s="27">
        <v>3090.25</v>
      </c>
      <c r="AH102" s="28">
        <v>0</v>
      </c>
      <c r="AI102" s="29">
        <v>3492.9400000000023</v>
      </c>
      <c r="AJ102" s="27">
        <v>0</v>
      </c>
      <c r="AK102" s="28">
        <v>0</v>
      </c>
      <c r="AL102" s="29">
        <v>0</v>
      </c>
      <c r="AM102" s="27">
        <v>-3.637978807091713E-12</v>
      </c>
      <c r="AN102" s="28">
        <v>0</v>
      </c>
      <c r="AO102" s="29">
        <v>184258.21</v>
      </c>
      <c r="AP102" s="27">
        <v>0</v>
      </c>
      <c r="AQ102" s="28">
        <v>0</v>
      </c>
      <c r="AR102" s="29">
        <v>0</v>
      </c>
      <c r="AS102" s="24">
        <v>3.188225114227753E-4</v>
      </c>
      <c r="AT102" s="25">
        <v>0</v>
      </c>
      <c r="AU102" s="26">
        <v>2.4050738634763549E-4</v>
      </c>
      <c r="AV102" s="24">
        <v>0</v>
      </c>
      <c r="AW102" s="25">
        <v>0</v>
      </c>
      <c r="AX102" s="26">
        <v>0</v>
      </c>
    </row>
    <row r="103" spans="1:50" x14ac:dyDescent="0.2">
      <c r="A103" s="22">
        <v>6103</v>
      </c>
      <c r="B103" s="23" t="s">
        <v>120</v>
      </c>
      <c r="C103" s="27">
        <v>0</v>
      </c>
      <c r="D103" s="28">
        <v>0</v>
      </c>
      <c r="E103" s="29">
        <v>0</v>
      </c>
      <c r="F103" s="27">
        <v>0</v>
      </c>
      <c r="G103" s="28">
        <v>0</v>
      </c>
      <c r="H103" s="29">
        <v>0</v>
      </c>
      <c r="I103" s="27">
        <v>0</v>
      </c>
      <c r="J103" s="28">
        <v>0</v>
      </c>
      <c r="K103" s="29">
        <v>0</v>
      </c>
      <c r="L103" s="27">
        <v>0</v>
      </c>
      <c r="M103" s="28">
        <v>0</v>
      </c>
      <c r="N103" s="29">
        <v>0</v>
      </c>
      <c r="O103" s="27">
        <v>0</v>
      </c>
      <c r="P103" s="28">
        <v>0</v>
      </c>
      <c r="Q103" s="29">
        <v>0</v>
      </c>
      <c r="R103" s="27">
        <v>-932</v>
      </c>
      <c r="S103" s="28">
        <v>-932</v>
      </c>
      <c r="T103" s="29">
        <v>0</v>
      </c>
      <c r="U103" s="27">
        <v>1565711</v>
      </c>
      <c r="V103" s="28">
        <v>3191323</v>
      </c>
      <c r="W103" s="29">
        <v>1329321</v>
      </c>
      <c r="X103" s="27">
        <v>958767</v>
      </c>
      <c r="Y103" s="28">
        <v>5035239</v>
      </c>
      <c r="Z103" s="29">
        <v>3024228</v>
      </c>
      <c r="AA103" s="27">
        <v>542772</v>
      </c>
      <c r="AB103" s="28">
        <v>-215947</v>
      </c>
      <c r="AC103" s="29">
        <v>-44128</v>
      </c>
      <c r="AD103" s="27">
        <v>-65104</v>
      </c>
      <c r="AE103" s="28">
        <v>1627037</v>
      </c>
      <c r="AF103" s="29">
        <v>1650779</v>
      </c>
      <c r="AG103" s="27">
        <v>355.87000000011176</v>
      </c>
      <c r="AH103" s="28">
        <v>2.3283064365386963E-10</v>
      </c>
      <c r="AI103" s="29">
        <v>0</v>
      </c>
      <c r="AJ103" s="27">
        <v>0</v>
      </c>
      <c r="AK103" s="28">
        <v>0</v>
      </c>
      <c r="AL103" s="29">
        <v>0</v>
      </c>
      <c r="AM103" s="27">
        <v>113203.19999999984</v>
      </c>
      <c r="AN103" s="28">
        <v>5635191.9900000002</v>
      </c>
      <c r="AO103" s="29">
        <v>31926983.009999998</v>
      </c>
      <c r="AP103" s="27">
        <v>0</v>
      </c>
      <c r="AQ103" s="28">
        <v>0</v>
      </c>
      <c r="AR103" s="29">
        <v>0</v>
      </c>
      <c r="AS103" s="24">
        <v>4.3621846652386626E-6</v>
      </c>
      <c r="AT103" s="25">
        <v>2.8927008692287963E-18</v>
      </c>
      <c r="AU103" s="26">
        <v>0</v>
      </c>
      <c r="AV103" s="24">
        <v>0</v>
      </c>
      <c r="AW103" s="25">
        <v>0</v>
      </c>
      <c r="AX103" s="26">
        <v>0</v>
      </c>
    </row>
    <row r="104" spans="1:50" x14ac:dyDescent="0.2">
      <c r="A104" s="22">
        <v>6104</v>
      </c>
      <c r="B104" s="23" t="s">
        <v>121</v>
      </c>
      <c r="C104" s="27">
        <v>0</v>
      </c>
      <c r="D104" s="28">
        <v>0</v>
      </c>
      <c r="E104" s="29">
        <v>0</v>
      </c>
      <c r="F104" s="27">
        <v>0</v>
      </c>
      <c r="G104" s="28">
        <v>1774198</v>
      </c>
      <c r="H104" s="29">
        <v>932525</v>
      </c>
      <c r="I104" s="27">
        <v>0</v>
      </c>
      <c r="J104" s="28">
        <v>2763228</v>
      </c>
      <c r="K104" s="29">
        <v>123731</v>
      </c>
      <c r="L104" s="27">
        <v>0</v>
      </c>
      <c r="M104" s="28">
        <v>174563</v>
      </c>
      <c r="N104" s="29">
        <v>368108</v>
      </c>
      <c r="O104" s="27">
        <v>0</v>
      </c>
      <c r="P104" s="28">
        <v>1163593</v>
      </c>
      <c r="Q104" s="29">
        <v>-440686</v>
      </c>
      <c r="R104" s="27">
        <v>0</v>
      </c>
      <c r="S104" s="28">
        <v>0</v>
      </c>
      <c r="T104" s="29">
        <v>0</v>
      </c>
      <c r="U104" s="27">
        <v>1651018</v>
      </c>
      <c r="V104" s="28">
        <v>3895836</v>
      </c>
      <c r="W104" s="29">
        <v>1648289</v>
      </c>
      <c r="X104" s="27">
        <v>1714505</v>
      </c>
      <c r="Y104" s="28">
        <v>3854973</v>
      </c>
      <c r="Z104" s="29">
        <v>1951202</v>
      </c>
      <c r="AA104" s="27">
        <v>50000</v>
      </c>
      <c r="AB104" s="28">
        <v>210753</v>
      </c>
      <c r="AC104" s="29">
        <v>-253274</v>
      </c>
      <c r="AD104" s="27">
        <v>113487</v>
      </c>
      <c r="AE104" s="28">
        <v>169890</v>
      </c>
      <c r="AF104" s="29">
        <v>49639</v>
      </c>
      <c r="AG104" s="27">
        <v>269266.90000000002</v>
      </c>
      <c r="AH104" s="28">
        <v>417479.68000000005</v>
      </c>
      <c r="AI104" s="29">
        <v>416644.00000000006</v>
      </c>
      <c r="AJ104" s="27">
        <v>0</v>
      </c>
      <c r="AK104" s="28">
        <v>0</v>
      </c>
      <c r="AL104" s="29">
        <v>0</v>
      </c>
      <c r="AM104" s="27">
        <v>1325240.67</v>
      </c>
      <c r="AN104" s="28">
        <v>4142139.19</v>
      </c>
      <c r="AO104" s="29">
        <v>2703033.2</v>
      </c>
      <c r="AP104" s="27">
        <v>0</v>
      </c>
      <c r="AQ104" s="28">
        <v>0</v>
      </c>
      <c r="AR104" s="29">
        <v>0</v>
      </c>
      <c r="AS104" s="24">
        <v>7.3843954604162019E-3</v>
      </c>
      <c r="AT104" s="25">
        <v>1.0868938846264956E-2</v>
      </c>
      <c r="AU104" s="26">
        <v>1.0862237625539322E-2</v>
      </c>
      <c r="AV104" s="24">
        <v>0</v>
      </c>
      <c r="AW104" s="25">
        <v>0</v>
      </c>
      <c r="AX104" s="26">
        <v>0</v>
      </c>
    </row>
    <row r="105" spans="1:50" x14ac:dyDescent="0.2">
      <c r="A105" s="22">
        <v>6105</v>
      </c>
      <c r="B105" s="23" t="s">
        <v>122</v>
      </c>
      <c r="C105" s="27">
        <v>0</v>
      </c>
      <c r="D105" s="28">
        <v>0</v>
      </c>
      <c r="E105" s="29">
        <v>0</v>
      </c>
      <c r="F105" s="27">
        <v>937213</v>
      </c>
      <c r="G105" s="28">
        <v>2431518</v>
      </c>
      <c r="H105" s="29">
        <v>167468</v>
      </c>
      <c r="I105" s="27">
        <v>158976</v>
      </c>
      <c r="J105" s="28">
        <v>1645163</v>
      </c>
      <c r="K105" s="29">
        <v>167395</v>
      </c>
      <c r="L105" s="27">
        <v>0</v>
      </c>
      <c r="M105" s="28">
        <v>0</v>
      </c>
      <c r="N105" s="29">
        <v>0</v>
      </c>
      <c r="O105" s="27">
        <v>-778237</v>
      </c>
      <c r="P105" s="28">
        <v>-786355</v>
      </c>
      <c r="Q105" s="29">
        <v>-73</v>
      </c>
      <c r="R105" s="27">
        <v>0</v>
      </c>
      <c r="S105" s="28">
        <v>0</v>
      </c>
      <c r="T105" s="29">
        <v>0</v>
      </c>
      <c r="U105" s="27">
        <v>248348</v>
      </c>
      <c r="V105" s="28">
        <v>1008751</v>
      </c>
      <c r="W105" s="29">
        <v>850787</v>
      </c>
      <c r="X105" s="27">
        <v>208220</v>
      </c>
      <c r="Y105" s="28">
        <v>1085816</v>
      </c>
      <c r="Z105" s="29">
        <v>775411</v>
      </c>
      <c r="AA105" s="27">
        <v>0</v>
      </c>
      <c r="AB105" s="28">
        <v>0</v>
      </c>
      <c r="AC105" s="29">
        <v>0</v>
      </c>
      <c r="AD105" s="27">
        <v>-40128</v>
      </c>
      <c r="AE105" s="28">
        <v>77065</v>
      </c>
      <c r="AF105" s="29">
        <v>-75376</v>
      </c>
      <c r="AG105" s="27">
        <v>0</v>
      </c>
      <c r="AH105" s="28">
        <v>203394.41000000021</v>
      </c>
      <c r="AI105" s="29">
        <v>552854.87000000011</v>
      </c>
      <c r="AJ105" s="27">
        <v>0</v>
      </c>
      <c r="AK105" s="28">
        <v>0</v>
      </c>
      <c r="AL105" s="29">
        <v>0</v>
      </c>
      <c r="AM105" s="27">
        <v>1214540.1800000002</v>
      </c>
      <c r="AN105" s="28">
        <v>1034323.6900000002</v>
      </c>
      <c r="AO105" s="29">
        <v>268912.68</v>
      </c>
      <c r="AP105" s="27">
        <v>0</v>
      </c>
      <c r="AQ105" s="28">
        <v>0</v>
      </c>
      <c r="AR105" s="29">
        <v>0</v>
      </c>
      <c r="AS105" s="24">
        <v>0</v>
      </c>
      <c r="AT105" s="25">
        <v>5.0637536386771119E-3</v>
      </c>
      <c r="AU105" s="26">
        <v>1.3150666394069565E-2</v>
      </c>
      <c r="AV105" s="24">
        <v>0</v>
      </c>
      <c r="AW105" s="25">
        <v>0</v>
      </c>
      <c r="AX105" s="26">
        <v>0</v>
      </c>
    </row>
    <row r="106" spans="1:50" x14ac:dyDescent="0.2">
      <c r="A106" s="22">
        <v>6106</v>
      </c>
      <c r="B106" s="23" t="s">
        <v>123</v>
      </c>
      <c r="C106" s="27">
        <v>1</v>
      </c>
      <c r="D106" s="28">
        <v>17543</v>
      </c>
      <c r="E106" s="29">
        <v>0</v>
      </c>
      <c r="F106" s="27">
        <v>311429</v>
      </c>
      <c r="G106" s="28">
        <v>696796</v>
      </c>
      <c r="H106" s="29">
        <v>156659</v>
      </c>
      <c r="I106" s="27">
        <v>183693</v>
      </c>
      <c r="J106" s="28">
        <v>571444</v>
      </c>
      <c r="K106" s="29">
        <v>120586</v>
      </c>
      <c r="L106" s="27">
        <v>127735</v>
      </c>
      <c r="M106" s="28">
        <v>113470</v>
      </c>
      <c r="N106" s="29">
        <v>30412</v>
      </c>
      <c r="O106" s="27">
        <v>0</v>
      </c>
      <c r="P106" s="28">
        <v>5661</v>
      </c>
      <c r="Q106" s="29">
        <v>-5661</v>
      </c>
      <c r="R106" s="27">
        <v>4189</v>
      </c>
      <c r="S106" s="28">
        <v>4201</v>
      </c>
      <c r="T106" s="29">
        <v>37</v>
      </c>
      <c r="U106" s="27">
        <v>737543</v>
      </c>
      <c r="V106" s="28">
        <v>2175262</v>
      </c>
      <c r="W106" s="29">
        <v>1751539</v>
      </c>
      <c r="X106" s="27">
        <v>1421354</v>
      </c>
      <c r="Y106" s="28">
        <v>3066112</v>
      </c>
      <c r="Z106" s="29">
        <v>1513937</v>
      </c>
      <c r="AA106" s="27">
        <v>-691073</v>
      </c>
      <c r="AB106" s="28">
        <v>-606568</v>
      </c>
      <c r="AC106" s="29">
        <v>378734</v>
      </c>
      <c r="AD106" s="27">
        <v>-3073</v>
      </c>
      <c r="AE106" s="28">
        <v>288483</v>
      </c>
      <c r="AF106" s="29">
        <v>141169</v>
      </c>
      <c r="AG106" s="27">
        <v>10080</v>
      </c>
      <c r="AH106" s="28">
        <v>55012.239999999991</v>
      </c>
      <c r="AI106" s="29">
        <v>13599.300000000047</v>
      </c>
      <c r="AJ106" s="27">
        <v>0</v>
      </c>
      <c r="AK106" s="28">
        <v>0</v>
      </c>
      <c r="AL106" s="29">
        <v>0</v>
      </c>
      <c r="AM106" s="27">
        <v>758130.28</v>
      </c>
      <c r="AN106" s="28">
        <v>2992591.93</v>
      </c>
      <c r="AO106" s="29">
        <v>8012846.120000001</v>
      </c>
      <c r="AP106" s="27">
        <v>0</v>
      </c>
      <c r="AQ106" s="28">
        <v>0</v>
      </c>
      <c r="AR106" s="29">
        <v>0</v>
      </c>
      <c r="AS106" s="24">
        <v>1.7625973382576944E-4</v>
      </c>
      <c r="AT106" s="25">
        <v>1.0372246288754556E-3</v>
      </c>
      <c r="AU106" s="26">
        <v>2.1666291098290311E-4</v>
      </c>
      <c r="AV106" s="24">
        <v>0</v>
      </c>
      <c r="AW106" s="25">
        <v>0</v>
      </c>
      <c r="AX106" s="26">
        <v>0</v>
      </c>
    </row>
    <row r="107" spans="1:50" x14ac:dyDescent="0.2">
      <c r="A107" s="22">
        <v>6107</v>
      </c>
      <c r="B107" s="23" t="s">
        <v>124</v>
      </c>
      <c r="C107" s="27">
        <v>0</v>
      </c>
      <c r="D107" s="28">
        <v>0</v>
      </c>
      <c r="E107" s="29">
        <v>0</v>
      </c>
      <c r="F107" s="27">
        <v>1190423</v>
      </c>
      <c r="G107" s="28">
        <v>1417708</v>
      </c>
      <c r="H107" s="29">
        <v>31060</v>
      </c>
      <c r="I107" s="27">
        <v>1292542</v>
      </c>
      <c r="J107" s="28">
        <v>1441880</v>
      </c>
      <c r="K107" s="29">
        <v>29868</v>
      </c>
      <c r="L107" s="27">
        <v>12300</v>
      </c>
      <c r="M107" s="28">
        <v>9368</v>
      </c>
      <c r="N107" s="29">
        <v>-9368</v>
      </c>
      <c r="O107" s="27">
        <v>114419</v>
      </c>
      <c r="P107" s="28">
        <v>33540</v>
      </c>
      <c r="Q107" s="29">
        <v>-10560</v>
      </c>
      <c r="R107" s="27">
        <v>0</v>
      </c>
      <c r="S107" s="28">
        <v>0</v>
      </c>
      <c r="T107" s="29">
        <v>0</v>
      </c>
      <c r="U107" s="27">
        <v>325565</v>
      </c>
      <c r="V107" s="28">
        <v>914653</v>
      </c>
      <c r="W107" s="29">
        <v>342187</v>
      </c>
      <c r="X107" s="27">
        <v>288651</v>
      </c>
      <c r="Y107" s="28">
        <v>1550135</v>
      </c>
      <c r="Z107" s="29">
        <v>457479</v>
      </c>
      <c r="AA107" s="27">
        <v>26091</v>
      </c>
      <c r="AB107" s="28">
        <v>133032</v>
      </c>
      <c r="AC107" s="29">
        <v>-119923</v>
      </c>
      <c r="AD107" s="27">
        <v>-10823</v>
      </c>
      <c r="AE107" s="28">
        <v>768514</v>
      </c>
      <c r="AF107" s="29">
        <v>-4631</v>
      </c>
      <c r="AG107" s="27">
        <v>204.58999999999651</v>
      </c>
      <c r="AH107" s="28">
        <v>20500</v>
      </c>
      <c r="AI107" s="29">
        <v>1153500.8099999998</v>
      </c>
      <c r="AJ107" s="27">
        <v>0</v>
      </c>
      <c r="AK107" s="28">
        <v>0</v>
      </c>
      <c r="AL107" s="29">
        <v>0</v>
      </c>
      <c r="AM107" s="27">
        <v>278039.99999999977</v>
      </c>
      <c r="AN107" s="28">
        <v>1283295.9500000002</v>
      </c>
      <c r="AO107" s="29">
        <v>4853979.1099999994</v>
      </c>
      <c r="AP107" s="27">
        <v>0</v>
      </c>
      <c r="AQ107" s="28">
        <v>0</v>
      </c>
      <c r="AR107" s="29">
        <v>0</v>
      </c>
      <c r="AS107" s="24">
        <v>9.7021029031806813E-6</v>
      </c>
      <c r="AT107" s="25">
        <v>8.2031509943599531E-4</v>
      </c>
      <c r="AU107" s="26">
        <v>4.8056626789623767E-2</v>
      </c>
      <c r="AV107" s="24">
        <v>0</v>
      </c>
      <c r="AW107" s="25">
        <v>0</v>
      </c>
      <c r="AX107" s="26">
        <v>0</v>
      </c>
    </row>
    <row r="108" spans="1:50" x14ac:dyDescent="0.2">
      <c r="A108" s="22">
        <v>6108</v>
      </c>
      <c r="B108" s="23" t="s">
        <v>125</v>
      </c>
      <c r="C108" s="27">
        <v>0</v>
      </c>
      <c r="D108" s="28">
        <v>0</v>
      </c>
      <c r="E108" s="29">
        <v>0</v>
      </c>
      <c r="F108" s="27">
        <v>0</v>
      </c>
      <c r="G108" s="28">
        <v>119118</v>
      </c>
      <c r="H108" s="29">
        <v>0</v>
      </c>
      <c r="I108" s="27">
        <v>0</v>
      </c>
      <c r="J108" s="28">
        <v>106740</v>
      </c>
      <c r="K108" s="29">
        <v>21348</v>
      </c>
      <c r="L108" s="27">
        <v>0</v>
      </c>
      <c r="M108" s="28">
        <v>0</v>
      </c>
      <c r="N108" s="29">
        <v>0</v>
      </c>
      <c r="O108" s="27">
        <v>0</v>
      </c>
      <c r="P108" s="28">
        <v>-12378</v>
      </c>
      <c r="Q108" s="29">
        <v>21348</v>
      </c>
      <c r="R108" s="27">
        <v>0</v>
      </c>
      <c r="S108" s="28">
        <v>0</v>
      </c>
      <c r="T108" s="29">
        <v>0</v>
      </c>
      <c r="U108" s="27">
        <v>235225</v>
      </c>
      <c r="V108" s="28">
        <v>687418</v>
      </c>
      <c r="W108" s="29">
        <v>4125280</v>
      </c>
      <c r="X108" s="27">
        <v>259496</v>
      </c>
      <c r="Y108" s="28">
        <v>570505</v>
      </c>
      <c r="Z108" s="29">
        <v>4271446</v>
      </c>
      <c r="AA108" s="27">
        <v>-49552</v>
      </c>
      <c r="AB108" s="28">
        <v>-43385</v>
      </c>
      <c r="AC108" s="29">
        <v>-67440</v>
      </c>
      <c r="AD108" s="27">
        <v>-25281</v>
      </c>
      <c r="AE108" s="28">
        <v>-160298</v>
      </c>
      <c r="AF108" s="29">
        <v>78726</v>
      </c>
      <c r="AG108" s="27">
        <v>1582.6600000000035</v>
      </c>
      <c r="AH108" s="28">
        <v>21348.100000000006</v>
      </c>
      <c r="AI108" s="29">
        <v>98772.1</v>
      </c>
      <c r="AJ108" s="27">
        <v>0</v>
      </c>
      <c r="AK108" s="28">
        <v>0</v>
      </c>
      <c r="AL108" s="29">
        <v>0</v>
      </c>
      <c r="AM108" s="27">
        <v>416656.29000000004</v>
      </c>
      <c r="AN108" s="28">
        <v>4677061.22</v>
      </c>
      <c r="AO108" s="29">
        <v>4216235.37</v>
      </c>
      <c r="AP108" s="27">
        <v>0</v>
      </c>
      <c r="AQ108" s="28">
        <v>0</v>
      </c>
      <c r="AR108" s="29">
        <v>0</v>
      </c>
      <c r="AS108" s="24">
        <v>7.6868011030379569E-5</v>
      </c>
      <c r="AT108" s="25">
        <v>1.2652780362559612E-3</v>
      </c>
      <c r="AU108" s="26">
        <v>4.3155474109843883E-3</v>
      </c>
      <c r="AV108" s="24">
        <v>0</v>
      </c>
      <c r="AW108" s="25">
        <v>0</v>
      </c>
      <c r="AX108" s="26">
        <v>0</v>
      </c>
    </row>
    <row r="109" spans="1:50" x14ac:dyDescent="0.2">
      <c r="A109" s="22">
        <v>6201</v>
      </c>
      <c r="B109" s="23" t="s">
        <v>126</v>
      </c>
      <c r="C109" s="27">
        <v>0</v>
      </c>
      <c r="D109" s="28">
        <v>0</v>
      </c>
      <c r="E109" s="29">
        <v>0</v>
      </c>
      <c r="F109" s="27">
        <v>51512</v>
      </c>
      <c r="G109" s="28">
        <v>1809896</v>
      </c>
      <c r="H109" s="29">
        <v>1685310</v>
      </c>
      <c r="I109" s="27">
        <v>113651</v>
      </c>
      <c r="J109" s="28">
        <v>1943672</v>
      </c>
      <c r="K109" s="29">
        <v>34143</v>
      </c>
      <c r="L109" s="27">
        <v>-62933</v>
      </c>
      <c r="M109" s="28">
        <v>-75996</v>
      </c>
      <c r="N109" s="29">
        <v>1602350</v>
      </c>
      <c r="O109" s="27">
        <v>-794</v>
      </c>
      <c r="P109" s="28">
        <v>57780</v>
      </c>
      <c r="Q109" s="29">
        <v>-48817</v>
      </c>
      <c r="R109" s="27">
        <v>0</v>
      </c>
      <c r="S109" s="28">
        <v>0</v>
      </c>
      <c r="T109" s="29">
        <v>0</v>
      </c>
      <c r="U109" s="27">
        <v>418375</v>
      </c>
      <c r="V109" s="28">
        <v>1339958</v>
      </c>
      <c r="W109" s="29">
        <v>2644394</v>
      </c>
      <c r="X109" s="27">
        <v>4781912</v>
      </c>
      <c r="Y109" s="28">
        <v>6859587</v>
      </c>
      <c r="Z109" s="29">
        <v>2843087</v>
      </c>
      <c r="AA109" s="27">
        <v>-4140791</v>
      </c>
      <c r="AB109" s="28">
        <v>-4019658</v>
      </c>
      <c r="AC109" s="29">
        <v>-119063</v>
      </c>
      <c r="AD109" s="27">
        <v>222746</v>
      </c>
      <c r="AE109" s="28">
        <v>1499971</v>
      </c>
      <c r="AF109" s="29">
        <v>79630</v>
      </c>
      <c r="AG109" s="27">
        <v>7340.6600000000035</v>
      </c>
      <c r="AH109" s="28">
        <v>872164.12000000011</v>
      </c>
      <c r="AI109" s="29">
        <v>218527.27999999974</v>
      </c>
      <c r="AJ109" s="27">
        <v>0</v>
      </c>
      <c r="AK109" s="28">
        <v>0</v>
      </c>
      <c r="AL109" s="29">
        <v>0</v>
      </c>
      <c r="AM109" s="27">
        <v>3489875.11</v>
      </c>
      <c r="AN109" s="28">
        <v>3942694.63</v>
      </c>
      <c r="AO109" s="29">
        <v>7135426.3399999999</v>
      </c>
      <c r="AP109" s="27">
        <v>0</v>
      </c>
      <c r="AQ109" s="28">
        <v>0</v>
      </c>
      <c r="AR109" s="29">
        <v>0</v>
      </c>
      <c r="AS109" s="24">
        <v>1.8351299490179746E-4</v>
      </c>
      <c r="AT109" s="25">
        <v>2.3099156027737294E-2</v>
      </c>
      <c r="AU109" s="26">
        <v>5.1879027986725312E-3</v>
      </c>
      <c r="AV109" s="24">
        <v>0</v>
      </c>
      <c r="AW109" s="25">
        <v>0</v>
      </c>
      <c r="AX109" s="26">
        <v>0</v>
      </c>
    </row>
    <row r="110" spans="1:50" x14ac:dyDescent="0.2">
      <c r="A110" s="22">
        <v>6202</v>
      </c>
      <c r="B110" s="23" t="s">
        <v>127</v>
      </c>
      <c r="C110" s="27">
        <v>0</v>
      </c>
      <c r="D110" s="28">
        <v>0</v>
      </c>
      <c r="E110" s="29">
        <v>0</v>
      </c>
      <c r="F110" s="27">
        <v>0</v>
      </c>
      <c r="G110" s="28">
        <v>73940</v>
      </c>
      <c r="H110" s="29">
        <v>14623</v>
      </c>
      <c r="I110" s="27">
        <v>0</v>
      </c>
      <c r="J110" s="28">
        <v>88563</v>
      </c>
      <c r="K110" s="29">
        <v>0</v>
      </c>
      <c r="L110" s="27">
        <v>0</v>
      </c>
      <c r="M110" s="28">
        <v>0</v>
      </c>
      <c r="N110" s="29">
        <v>0</v>
      </c>
      <c r="O110" s="27">
        <v>0</v>
      </c>
      <c r="P110" s="28">
        <v>14623</v>
      </c>
      <c r="Q110" s="29">
        <v>-14623</v>
      </c>
      <c r="R110" s="27">
        <v>0</v>
      </c>
      <c r="S110" s="28">
        <v>0</v>
      </c>
      <c r="T110" s="29">
        <v>0</v>
      </c>
      <c r="U110" s="27">
        <v>272850</v>
      </c>
      <c r="V110" s="28">
        <v>1027483</v>
      </c>
      <c r="W110" s="29">
        <v>574642</v>
      </c>
      <c r="X110" s="27">
        <v>200957</v>
      </c>
      <c r="Y110" s="28">
        <v>1706076</v>
      </c>
      <c r="Z110" s="29">
        <v>707997</v>
      </c>
      <c r="AA110" s="27">
        <v>0</v>
      </c>
      <c r="AB110" s="28">
        <v>0</v>
      </c>
      <c r="AC110" s="29">
        <v>0</v>
      </c>
      <c r="AD110" s="27">
        <v>-71893</v>
      </c>
      <c r="AE110" s="28">
        <v>678593</v>
      </c>
      <c r="AF110" s="29">
        <v>133355</v>
      </c>
      <c r="AG110" s="27">
        <v>137888.35</v>
      </c>
      <c r="AH110" s="28">
        <v>210130.91000000006</v>
      </c>
      <c r="AI110" s="29">
        <v>3444.5899999999983</v>
      </c>
      <c r="AJ110" s="27">
        <v>0</v>
      </c>
      <c r="AK110" s="28">
        <v>0</v>
      </c>
      <c r="AL110" s="29">
        <v>0</v>
      </c>
      <c r="AM110" s="27">
        <v>3279238.41</v>
      </c>
      <c r="AN110" s="28">
        <v>3626162.18</v>
      </c>
      <c r="AO110" s="29">
        <v>3379383.0100000002</v>
      </c>
      <c r="AP110" s="27">
        <v>0</v>
      </c>
      <c r="AQ110" s="28">
        <v>0</v>
      </c>
      <c r="AR110" s="29">
        <v>0</v>
      </c>
      <c r="AS110" s="24">
        <v>8.2300039368885022E-3</v>
      </c>
      <c r="AT110" s="25">
        <v>1.3497561193378886E-2</v>
      </c>
      <c r="AU110" s="26">
        <v>1.932999265316731E-4</v>
      </c>
      <c r="AV110" s="24">
        <v>0</v>
      </c>
      <c r="AW110" s="25">
        <v>0</v>
      </c>
      <c r="AX110" s="26">
        <v>0</v>
      </c>
    </row>
    <row r="111" spans="1:50" x14ac:dyDescent="0.2">
      <c r="A111" s="22">
        <v>6203</v>
      </c>
      <c r="B111" s="23" t="s">
        <v>128</v>
      </c>
      <c r="C111" s="27">
        <v>0</v>
      </c>
      <c r="D111" s="28">
        <v>0</v>
      </c>
      <c r="E111" s="29">
        <v>0</v>
      </c>
      <c r="F111" s="27">
        <v>1160919</v>
      </c>
      <c r="G111" s="28">
        <v>2734996</v>
      </c>
      <c r="H111" s="29">
        <v>196427</v>
      </c>
      <c r="I111" s="27">
        <v>1169916</v>
      </c>
      <c r="J111" s="28">
        <v>2717891</v>
      </c>
      <c r="K111" s="29">
        <v>191992</v>
      </c>
      <c r="L111" s="27">
        <v>0</v>
      </c>
      <c r="M111" s="28">
        <v>0</v>
      </c>
      <c r="N111" s="29">
        <v>0</v>
      </c>
      <c r="O111" s="27">
        <v>8997</v>
      </c>
      <c r="P111" s="28">
        <v>-17105</v>
      </c>
      <c r="Q111" s="29">
        <v>-4435</v>
      </c>
      <c r="R111" s="27">
        <v>0</v>
      </c>
      <c r="S111" s="28">
        <v>0</v>
      </c>
      <c r="T111" s="29">
        <v>0</v>
      </c>
      <c r="U111" s="27">
        <v>217427</v>
      </c>
      <c r="V111" s="28">
        <v>514780</v>
      </c>
      <c r="W111" s="29">
        <v>1460142</v>
      </c>
      <c r="X111" s="27">
        <v>236835</v>
      </c>
      <c r="Y111" s="28">
        <v>488103</v>
      </c>
      <c r="Z111" s="29">
        <v>880212</v>
      </c>
      <c r="AA111" s="27">
        <v>-3616</v>
      </c>
      <c r="AB111" s="28">
        <v>3950</v>
      </c>
      <c r="AC111" s="29">
        <v>608621</v>
      </c>
      <c r="AD111" s="27">
        <v>15792</v>
      </c>
      <c r="AE111" s="28">
        <v>-22727</v>
      </c>
      <c r="AF111" s="29">
        <v>28691</v>
      </c>
      <c r="AG111" s="27">
        <v>591940.54</v>
      </c>
      <c r="AH111" s="28">
        <v>202422.98000000036</v>
      </c>
      <c r="AI111" s="29">
        <v>62174.339999999967</v>
      </c>
      <c r="AJ111" s="27">
        <v>0</v>
      </c>
      <c r="AK111" s="28">
        <v>0</v>
      </c>
      <c r="AL111" s="29">
        <v>0</v>
      </c>
      <c r="AM111" s="27">
        <v>1420220.5</v>
      </c>
      <c r="AN111" s="28">
        <v>170953.46999999997</v>
      </c>
      <c r="AO111" s="29">
        <v>2457237.54</v>
      </c>
      <c r="AP111" s="27">
        <v>0</v>
      </c>
      <c r="AQ111" s="28">
        <v>0</v>
      </c>
      <c r="AR111" s="29">
        <v>0</v>
      </c>
      <c r="AS111" s="24">
        <v>6.1079353765053655E-2</v>
      </c>
      <c r="AT111" s="25">
        <v>1.456588515844361E-2</v>
      </c>
      <c r="AU111" s="26">
        <v>6.0234972655890074E-3</v>
      </c>
      <c r="AV111" s="24">
        <v>0</v>
      </c>
      <c r="AW111" s="25">
        <v>0</v>
      </c>
      <c r="AX111" s="26">
        <v>0</v>
      </c>
    </row>
    <row r="112" spans="1:50" x14ac:dyDescent="0.2">
      <c r="A112" s="22">
        <v>6204</v>
      </c>
      <c r="B112" s="23" t="s">
        <v>129</v>
      </c>
      <c r="C112" s="27">
        <v>0</v>
      </c>
      <c r="D112" s="28">
        <v>0</v>
      </c>
      <c r="E112" s="29">
        <v>0</v>
      </c>
      <c r="F112" s="27">
        <v>8940</v>
      </c>
      <c r="G112" s="28">
        <v>1095853</v>
      </c>
      <c r="H112" s="29">
        <v>1102563</v>
      </c>
      <c r="I112" s="27">
        <v>8940</v>
      </c>
      <c r="J112" s="28">
        <v>1131133</v>
      </c>
      <c r="K112" s="29">
        <v>1080735</v>
      </c>
      <c r="L112" s="27">
        <v>0</v>
      </c>
      <c r="M112" s="28">
        <v>0</v>
      </c>
      <c r="N112" s="29">
        <v>0</v>
      </c>
      <c r="O112" s="27">
        <v>0</v>
      </c>
      <c r="P112" s="28">
        <v>35280</v>
      </c>
      <c r="Q112" s="29">
        <v>-21828</v>
      </c>
      <c r="R112" s="27">
        <v>0</v>
      </c>
      <c r="S112" s="28">
        <v>0</v>
      </c>
      <c r="T112" s="29">
        <v>0</v>
      </c>
      <c r="U112" s="27">
        <v>219598</v>
      </c>
      <c r="V112" s="28">
        <v>1194592</v>
      </c>
      <c r="W112" s="29">
        <v>1127289</v>
      </c>
      <c r="X112" s="27">
        <v>128135</v>
      </c>
      <c r="Y112" s="28">
        <v>1002220</v>
      </c>
      <c r="Z112" s="29">
        <v>1155454</v>
      </c>
      <c r="AA112" s="27">
        <v>87339</v>
      </c>
      <c r="AB112" s="28">
        <v>223453</v>
      </c>
      <c r="AC112" s="29">
        <v>-105911</v>
      </c>
      <c r="AD112" s="27">
        <v>-4124</v>
      </c>
      <c r="AE112" s="28">
        <v>31081</v>
      </c>
      <c r="AF112" s="29">
        <v>-77746</v>
      </c>
      <c r="AG112" s="27">
        <v>0</v>
      </c>
      <c r="AH112" s="28">
        <v>15179.929999999993</v>
      </c>
      <c r="AI112" s="29">
        <v>0</v>
      </c>
      <c r="AJ112" s="27">
        <v>0</v>
      </c>
      <c r="AK112" s="28">
        <v>0</v>
      </c>
      <c r="AL112" s="29">
        <v>0</v>
      </c>
      <c r="AM112" s="27">
        <v>925102.56</v>
      </c>
      <c r="AN112" s="28">
        <v>1221274.7999999998</v>
      </c>
      <c r="AO112" s="29">
        <v>209085.3</v>
      </c>
      <c r="AP112" s="27">
        <v>0</v>
      </c>
      <c r="AQ112" s="28">
        <v>0</v>
      </c>
      <c r="AR112" s="29">
        <v>0</v>
      </c>
      <c r="AS112" s="24">
        <v>0</v>
      </c>
      <c r="AT112" s="25">
        <v>8.6026534491217253E-4</v>
      </c>
      <c r="AU112" s="26">
        <v>0</v>
      </c>
      <c r="AV112" s="24">
        <v>0</v>
      </c>
      <c r="AW112" s="25">
        <v>0</v>
      </c>
      <c r="AX112" s="26">
        <v>0</v>
      </c>
    </row>
    <row r="113" spans="1:50" x14ac:dyDescent="0.2">
      <c r="A113" s="22">
        <v>6205</v>
      </c>
      <c r="B113" s="23" t="s">
        <v>130</v>
      </c>
      <c r="C113" s="27">
        <v>0</v>
      </c>
      <c r="D113" s="28">
        <v>0</v>
      </c>
      <c r="E113" s="29">
        <v>0</v>
      </c>
      <c r="F113" s="27">
        <v>452494</v>
      </c>
      <c r="G113" s="28">
        <v>1673565</v>
      </c>
      <c r="H113" s="29">
        <v>0</v>
      </c>
      <c r="I113" s="27">
        <v>0</v>
      </c>
      <c r="J113" s="28">
        <v>758051</v>
      </c>
      <c r="K113" s="29">
        <v>0</v>
      </c>
      <c r="L113" s="27">
        <v>0</v>
      </c>
      <c r="M113" s="28">
        <v>0</v>
      </c>
      <c r="N113" s="29">
        <v>0</v>
      </c>
      <c r="O113" s="27">
        <v>-452494</v>
      </c>
      <c r="P113" s="28">
        <v>-915514</v>
      </c>
      <c r="Q113" s="29">
        <v>0</v>
      </c>
      <c r="R113" s="27">
        <v>3990</v>
      </c>
      <c r="S113" s="28">
        <v>3990</v>
      </c>
      <c r="T113" s="29">
        <v>0</v>
      </c>
      <c r="U113" s="27">
        <v>282408</v>
      </c>
      <c r="V113" s="28">
        <v>623254</v>
      </c>
      <c r="W113" s="29">
        <v>329651</v>
      </c>
      <c r="X113" s="27">
        <v>290183</v>
      </c>
      <c r="Y113" s="28">
        <v>599921</v>
      </c>
      <c r="Z113" s="29">
        <v>311061</v>
      </c>
      <c r="AA113" s="27">
        <v>90000</v>
      </c>
      <c r="AB113" s="28">
        <v>110000</v>
      </c>
      <c r="AC113" s="29">
        <v>-28700</v>
      </c>
      <c r="AD113" s="27">
        <v>101765</v>
      </c>
      <c r="AE113" s="28">
        <v>90657</v>
      </c>
      <c r="AF113" s="29">
        <v>-47290</v>
      </c>
      <c r="AG113" s="27">
        <v>0</v>
      </c>
      <c r="AH113" s="28">
        <v>10359.869999999995</v>
      </c>
      <c r="AI113" s="29">
        <v>7143.6999999999971</v>
      </c>
      <c r="AJ113" s="27">
        <v>0</v>
      </c>
      <c r="AK113" s="28">
        <v>0</v>
      </c>
      <c r="AL113" s="29">
        <v>0</v>
      </c>
      <c r="AM113" s="27">
        <v>1346142</v>
      </c>
      <c r="AN113" s="28">
        <v>0</v>
      </c>
      <c r="AO113" s="29">
        <v>26211.72</v>
      </c>
      <c r="AP113" s="27">
        <v>0</v>
      </c>
      <c r="AQ113" s="28">
        <v>0</v>
      </c>
      <c r="AR113" s="29">
        <v>0</v>
      </c>
      <c r="AS113" s="24">
        <v>0</v>
      </c>
      <c r="AT113" s="25">
        <v>6.039775921501514E-4</v>
      </c>
      <c r="AU113" s="26">
        <v>4.0655771441228502E-4</v>
      </c>
      <c r="AV113" s="24">
        <v>0</v>
      </c>
      <c r="AW113" s="25">
        <v>0</v>
      </c>
      <c r="AX113" s="26">
        <v>0</v>
      </c>
    </row>
    <row r="114" spans="1:50" x14ac:dyDescent="0.2">
      <c r="A114" s="22">
        <v>6206</v>
      </c>
      <c r="B114" s="23" t="s">
        <v>131</v>
      </c>
      <c r="C114" s="27">
        <v>0</v>
      </c>
      <c r="D114" s="28">
        <v>0</v>
      </c>
      <c r="E114" s="29">
        <v>0</v>
      </c>
      <c r="F114" s="27">
        <v>0</v>
      </c>
      <c r="G114" s="28">
        <v>1367055</v>
      </c>
      <c r="H114" s="29">
        <v>273411</v>
      </c>
      <c r="I114" s="27">
        <v>0</v>
      </c>
      <c r="J114" s="28">
        <v>1664474</v>
      </c>
      <c r="K114" s="29">
        <v>0</v>
      </c>
      <c r="L114" s="27">
        <v>0</v>
      </c>
      <c r="M114" s="28">
        <v>0</v>
      </c>
      <c r="N114" s="29">
        <v>0</v>
      </c>
      <c r="O114" s="27">
        <v>0</v>
      </c>
      <c r="P114" s="28">
        <v>297419</v>
      </c>
      <c r="Q114" s="29">
        <v>-273411</v>
      </c>
      <c r="R114" s="27">
        <v>0</v>
      </c>
      <c r="S114" s="28">
        <v>0</v>
      </c>
      <c r="T114" s="29">
        <v>0</v>
      </c>
      <c r="U114" s="27">
        <v>217044</v>
      </c>
      <c r="V114" s="28">
        <v>605939</v>
      </c>
      <c r="W114" s="29">
        <v>307751</v>
      </c>
      <c r="X114" s="27">
        <v>147253</v>
      </c>
      <c r="Y114" s="28">
        <v>705760</v>
      </c>
      <c r="Z114" s="29">
        <v>172878</v>
      </c>
      <c r="AA114" s="27">
        <v>106834</v>
      </c>
      <c r="AB114" s="28">
        <v>-73090</v>
      </c>
      <c r="AC114" s="29">
        <v>229720</v>
      </c>
      <c r="AD114" s="27">
        <v>37043</v>
      </c>
      <c r="AE114" s="28">
        <v>26731</v>
      </c>
      <c r="AF114" s="29">
        <v>94847</v>
      </c>
      <c r="AG114" s="27">
        <v>11932.440000000002</v>
      </c>
      <c r="AH114" s="28">
        <v>39848.47000000003</v>
      </c>
      <c r="AI114" s="29">
        <v>52123.210000000021</v>
      </c>
      <c r="AJ114" s="27">
        <v>0</v>
      </c>
      <c r="AK114" s="28">
        <v>0</v>
      </c>
      <c r="AL114" s="29">
        <v>0</v>
      </c>
      <c r="AM114" s="27">
        <v>0</v>
      </c>
      <c r="AN114" s="28">
        <v>1674786.06</v>
      </c>
      <c r="AO114" s="29">
        <v>1674786.06</v>
      </c>
      <c r="AP114" s="27">
        <v>0</v>
      </c>
      <c r="AQ114" s="28">
        <v>0</v>
      </c>
      <c r="AR114" s="29">
        <v>0</v>
      </c>
      <c r="AS114" s="24">
        <v>1.129513461937122E-3</v>
      </c>
      <c r="AT114" s="25">
        <v>3.2126862200057846E-3</v>
      </c>
      <c r="AU114" s="26">
        <v>6.2276190800490128E-3</v>
      </c>
      <c r="AV114" s="24">
        <v>0</v>
      </c>
      <c r="AW114" s="25">
        <v>0</v>
      </c>
      <c r="AX114" s="26">
        <v>0</v>
      </c>
    </row>
    <row r="115" spans="1:50" x14ac:dyDescent="0.2">
      <c r="A115" s="22">
        <v>6207</v>
      </c>
      <c r="B115" s="23" t="s">
        <v>132</v>
      </c>
      <c r="C115" s="27">
        <v>0</v>
      </c>
      <c r="D115" s="28">
        <v>0</v>
      </c>
      <c r="E115" s="29">
        <v>0</v>
      </c>
      <c r="F115" s="27">
        <v>10406</v>
      </c>
      <c r="G115" s="28">
        <v>38326</v>
      </c>
      <c r="H115" s="29">
        <v>22805</v>
      </c>
      <c r="I115" s="27">
        <v>64423</v>
      </c>
      <c r="J115" s="28">
        <v>77308</v>
      </c>
      <c r="K115" s="29">
        <v>25215</v>
      </c>
      <c r="L115" s="27">
        <v>10406</v>
      </c>
      <c r="M115" s="28">
        <v>-38981</v>
      </c>
      <c r="N115" s="29">
        <v>-2410</v>
      </c>
      <c r="O115" s="27">
        <v>64423</v>
      </c>
      <c r="P115" s="28">
        <v>1</v>
      </c>
      <c r="Q115" s="29">
        <v>0</v>
      </c>
      <c r="R115" s="27">
        <v>0</v>
      </c>
      <c r="S115" s="28">
        <v>0</v>
      </c>
      <c r="T115" s="29">
        <v>0</v>
      </c>
      <c r="U115" s="27">
        <v>690710</v>
      </c>
      <c r="V115" s="28">
        <v>2461897</v>
      </c>
      <c r="W115" s="29">
        <v>5112302</v>
      </c>
      <c r="X115" s="27">
        <v>1956101</v>
      </c>
      <c r="Y115" s="28">
        <v>4398635</v>
      </c>
      <c r="Z115" s="29">
        <v>5365579</v>
      </c>
      <c r="AA115" s="27">
        <v>-1339804</v>
      </c>
      <c r="AB115" s="28">
        <v>-2025399</v>
      </c>
      <c r="AC115" s="29">
        <v>286022</v>
      </c>
      <c r="AD115" s="27">
        <v>-74413</v>
      </c>
      <c r="AE115" s="28">
        <v>-88661</v>
      </c>
      <c r="AF115" s="29">
        <v>539299</v>
      </c>
      <c r="AG115" s="27">
        <v>16019.330000000016</v>
      </c>
      <c r="AH115" s="28">
        <v>20609.030000000144</v>
      </c>
      <c r="AI115" s="29">
        <v>192080.08000000007</v>
      </c>
      <c r="AJ115" s="27">
        <v>0</v>
      </c>
      <c r="AK115" s="28">
        <v>0</v>
      </c>
      <c r="AL115" s="29">
        <v>0</v>
      </c>
      <c r="AM115" s="27">
        <v>4676604.2600000007</v>
      </c>
      <c r="AN115" s="28">
        <v>7083621.4000000004</v>
      </c>
      <c r="AO115" s="29">
        <v>4431986.78</v>
      </c>
      <c r="AP115" s="27">
        <v>0</v>
      </c>
      <c r="AQ115" s="28">
        <v>0</v>
      </c>
      <c r="AR115" s="29">
        <v>0</v>
      </c>
      <c r="AS115" s="24">
        <v>2.9944563602539269E-4</v>
      </c>
      <c r="AT115" s="25">
        <v>3.1202548621794027E-4</v>
      </c>
      <c r="AU115" s="26">
        <v>3.4377820501854772E-3</v>
      </c>
      <c r="AV115" s="24">
        <v>0</v>
      </c>
      <c r="AW115" s="25">
        <v>0</v>
      </c>
      <c r="AX115" s="26">
        <v>0</v>
      </c>
    </row>
    <row r="116" spans="1:50" x14ac:dyDescent="0.2">
      <c r="A116" s="22">
        <v>6208</v>
      </c>
      <c r="B116" s="23" t="s">
        <v>133</v>
      </c>
      <c r="C116" s="27">
        <v>0</v>
      </c>
      <c r="D116" s="28">
        <v>0</v>
      </c>
      <c r="E116" s="29">
        <v>0</v>
      </c>
      <c r="F116" s="27">
        <v>0</v>
      </c>
      <c r="G116" s="28">
        <v>0</v>
      </c>
      <c r="H116" s="29">
        <v>741111</v>
      </c>
      <c r="I116" s="27">
        <v>54316</v>
      </c>
      <c r="J116" s="28">
        <v>54849</v>
      </c>
      <c r="K116" s="29">
        <v>961203</v>
      </c>
      <c r="L116" s="27">
        <v>-54316</v>
      </c>
      <c r="M116" s="28">
        <v>-54849</v>
      </c>
      <c r="N116" s="29">
        <v>0</v>
      </c>
      <c r="O116" s="27">
        <v>0</v>
      </c>
      <c r="P116" s="28">
        <v>0</v>
      </c>
      <c r="Q116" s="29">
        <v>220092</v>
      </c>
      <c r="R116" s="27">
        <v>0</v>
      </c>
      <c r="S116" s="28">
        <v>0</v>
      </c>
      <c r="T116" s="29">
        <v>0</v>
      </c>
      <c r="U116" s="27">
        <v>181427</v>
      </c>
      <c r="V116" s="28">
        <v>565938</v>
      </c>
      <c r="W116" s="29">
        <v>427058</v>
      </c>
      <c r="X116" s="27">
        <v>177728</v>
      </c>
      <c r="Y116" s="28">
        <v>560892</v>
      </c>
      <c r="Z116" s="29">
        <v>388116</v>
      </c>
      <c r="AA116" s="27">
        <v>-14988</v>
      </c>
      <c r="AB116" s="28">
        <v>19245</v>
      </c>
      <c r="AC116" s="29">
        <v>-17077</v>
      </c>
      <c r="AD116" s="27">
        <v>-18687</v>
      </c>
      <c r="AE116" s="28">
        <v>14199</v>
      </c>
      <c r="AF116" s="29">
        <v>-56019</v>
      </c>
      <c r="AG116" s="27">
        <v>3.0000000013387762E-2</v>
      </c>
      <c r="AH116" s="28">
        <v>319.45000000001164</v>
      </c>
      <c r="AI116" s="29">
        <v>155705.03000000003</v>
      </c>
      <c r="AJ116" s="27">
        <v>0</v>
      </c>
      <c r="AK116" s="28">
        <v>0</v>
      </c>
      <c r="AL116" s="29">
        <v>0</v>
      </c>
      <c r="AM116" s="27">
        <v>1.4551915228366852E-11</v>
      </c>
      <c r="AN116" s="28">
        <v>402.10000000000582</v>
      </c>
      <c r="AO116" s="29">
        <v>1208890.6499999999</v>
      </c>
      <c r="AP116" s="27">
        <v>0</v>
      </c>
      <c r="AQ116" s="28">
        <v>0</v>
      </c>
      <c r="AR116" s="29">
        <v>0</v>
      </c>
      <c r="AS116" s="24">
        <v>3.4691910983548937E-9</v>
      </c>
      <c r="AT116" s="25">
        <v>3.1279981340701581E-5</v>
      </c>
      <c r="AU116" s="26">
        <v>1.7185371075029991E-2</v>
      </c>
      <c r="AV116" s="24">
        <v>0</v>
      </c>
      <c r="AW116" s="25">
        <v>0</v>
      </c>
      <c r="AX116" s="26">
        <v>0</v>
      </c>
    </row>
    <row r="117" spans="1:50" x14ac:dyDescent="0.2">
      <c r="A117" s="22">
        <v>6209</v>
      </c>
      <c r="B117" s="23" t="s">
        <v>134</v>
      </c>
      <c r="C117" s="27">
        <v>0</v>
      </c>
      <c r="D117" s="28">
        <v>0</v>
      </c>
      <c r="E117" s="29">
        <v>0</v>
      </c>
      <c r="F117" s="27">
        <v>0</v>
      </c>
      <c r="G117" s="28">
        <v>27572</v>
      </c>
      <c r="H117" s="29">
        <v>0</v>
      </c>
      <c r="I117" s="27">
        <v>0</v>
      </c>
      <c r="J117" s="28">
        <v>0</v>
      </c>
      <c r="K117" s="29">
        <v>24243</v>
      </c>
      <c r="L117" s="27">
        <v>0</v>
      </c>
      <c r="M117" s="28">
        <v>30000</v>
      </c>
      <c r="N117" s="29">
        <v>-26671</v>
      </c>
      <c r="O117" s="27">
        <v>0</v>
      </c>
      <c r="P117" s="28">
        <v>2428</v>
      </c>
      <c r="Q117" s="29">
        <v>-2428</v>
      </c>
      <c r="R117" s="27">
        <v>0</v>
      </c>
      <c r="S117" s="28">
        <v>0</v>
      </c>
      <c r="T117" s="29">
        <v>0</v>
      </c>
      <c r="U117" s="27">
        <v>1549503</v>
      </c>
      <c r="V117" s="28">
        <v>4082026</v>
      </c>
      <c r="W117" s="29">
        <v>2864766</v>
      </c>
      <c r="X117" s="27">
        <v>3818714</v>
      </c>
      <c r="Y117" s="28">
        <v>5853238</v>
      </c>
      <c r="Z117" s="29">
        <v>4683248</v>
      </c>
      <c r="AA117" s="27">
        <v>-1780193</v>
      </c>
      <c r="AB117" s="28">
        <v>-1043593</v>
      </c>
      <c r="AC117" s="29">
        <v>-1318643</v>
      </c>
      <c r="AD117" s="27">
        <v>489018</v>
      </c>
      <c r="AE117" s="28">
        <v>727619</v>
      </c>
      <c r="AF117" s="29">
        <v>499839</v>
      </c>
      <c r="AG117" s="27">
        <v>215281.74</v>
      </c>
      <c r="AH117" s="28">
        <v>2872.0499999998137</v>
      </c>
      <c r="AI117" s="29">
        <v>252995.70999999996</v>
      </c>
      <c r="AJ117" s="27">
        <v>1203803.49</v>
      </c>
      <c r="AK117" s="28">
        <v>1180690.0799999998</v>
      </c>
      <c r="AL117" s="29">
        <v>18622.449999999924</v>
      </c>
      <c r="AM117" s="27">
        <v>5944835.3500000006</v>
      </c>
      <c r="AN117" s="28">
        <v>4487034.3600000013</v>
      </c>
      <c r="AO117" s="29">
        <v>7846490.5500000007</v>
      </c>
      <c r="AP117" s="27">
        <v>0</v>
      </c>
      <c r="AQ117" s="28">
        <v>0</v>
      </c>
      <c r="AR117" s="29">
        <v>0</v>
      </c>
      <c r="AS117" s="24">
        <v>2.3694491976554923E-3</v>
      </c>
      <c r="AT117" s="25">
        <v>2.6888865441638778E-5</v>
      </c>
      <c r="AU117" s="26">
        <v>2.5167003557092973E-3</v>
      </c>
      <c r="AV117" s="24">
        <v>0</v>
      </c>
      <c r="AW117" s="25">
        <v>0</v>
      </c>
      <c r="AX117" s="26">
        <v>0</v>
      </c>
    </row>
    <row r="118" spans="1:50" x14ac:dyDescent="0.2">
      <c r="A118" s="22">
        <v>6210</v>
      </c>
      <c r="B118" s="23" t="s">
        <v>135</v>
      </c>
      <c r="C118" s="27">
        <v>0</v>
      </c>
      <c r="D118" s="28">
        <v>0</v>
      </c>
      <c r="E118" s="29">
        <v>0</v>
      </c>
      <c r="F118" s="27">
        <v>489594</v>
      </c>
      <c r="G118" s="28">
        <v>1560826</v>
      </c>
      <c r="H118" s="29">
        <v>139543</v>
      </c>
      <c r="I118" s="27">
        <v>858848</v>
      </c>
      <c r="J118" s="28">
        <v>1561586</v>
      </c>
      <c r="K118" s="29">
        <v>140548</v>
      </c>
      <c r="L118" s="27">
        <v>-92095</v>
      </c>
      <c r="M118" s="28">
        <v>-762</v>
      </c>
      <c r="N118" s="29">
        <v>0</v>
      </c>
      <c r="O118" s="27">
        <v>277159</v>
      </c>
      <c r="P118" s="28">
        <v>-2</v>
      </c>
      <c r="Q118" s="29">
        <v>1005</v>
      </c>
      <c r="R118" s="27">
        <v>0</v>
      </c>
      <c r="S118" s="28">
        <v>0</v>
      </c>
      <c r="T118" s="29">
        <v>0</v>
      </c>
      <c r="U118" s="27">
        <v>157477</v>
      </c>
      <c r="V118" s="28">
        <v>384515</v>
      </c>
      <c r="W118" s="29">
        <v>205273</v>
      </c>
      <c r="X118" s="27">
        <v>319906</v>
      </c>
      <c r="Y118" s="28">
        <v>551287</v>
      </c>
      <c r="Z118" s="29">
        <v>195049</v>
      </c>
      <c r="AA118" s="27">
        <v>-158613</v>
      </c>
      <c r="AB118" s="28">
        <v>-193635</v>
      </c>
      <c r="AC118" s="29">
        <v>33397</v>
      </c>
      <c r="AD118" s="27">
        <v>3816</v>
      </c>
      <c r="AE118" s="28">
        <v>-26863</v>
      </c>
      <c r="AF118" s="29">
        <v>23173</v>
      </c>
      <c r="AG118" s="27">
        <v>4767.7599999999948</v>
      </c>
      <c r="AH118" s="28">
        <v>140934.10000000009</v>
      </c>
      <c r="AI118" s="29">
        <v>1764</v>
      </c>
      <c r="AJ118" s="27">
        <v>0</v>
      </c>
      <c r="AK118" s="28">
        <v>0</v>
      </c>
      <c r="AL118" s="29">
        <v>0</v>
      </c>
      <c r="AM118" s="27">
        <v>1351969</v>
      </c>
      <c r="AN118" s="28">
        <v>3284256.6499999994</v>
      </c>
      <c r="AO118" s="29">
        <v>3138144.2</v>
      </c>
      <c r="AP118" s="27">
        <v>0</v>
      </c>
      <c r="AQ118" s="28">
        <v>0</v>
      </c>
      <c r="AR118" s="29">
        <v>0</v>
      </c>
      <c r="AS118" s="24">
        <v>6.2255431433054216E-4</v>
      </c>
      <c r="AT118" s="25">
        <v>1.6551851544322812E-2</v>
      </c>
      <c r="AU118" s="26">
        <v>2.2527521505226667E-4</v>
      </c>
      <c r="AV118" s="24">
        <v>0</v>
      </c>
      <c r="AW118" s="25">
        <v>0</v>
      </c>
      <c r="AX118" s="26">
        <v>0</v>
      </c>
    </row>
    <row r="119" spans="1:50" x14ac:dyDescent="0.2">
      <c r="A119" s="22">
        <v>6211</v>
      </c>
      <c r="B119" s="23" t="s">
        <v>136</v>
      </c>
      <c r="C119" s="27">
        <v>0</v>
      </c>
      <c r="D119" s="28">
        <v>0</v>
      </c>
      <c r="E119" s="29">
        <v>0</v>
      </c>
      <c r="F119" s="27">
        <v>0</v>
      </c>
      <c r="G119" s="28">
        <v>0</v>
      </c>
      <c r="H119" s="29">
        <v>0</v>
      </c>
      <c r="I119" s="27">
        <v>0</v>
      </c>
      <c r="J119" s="28">
        <v>0</v>
      </c>
      <c r="K119" s="29">
        <v>0</v>
      </c>
      <c r="L119" s="27">
        <v>0</v>
      </c>
      <c r="M119" s="28">
        <v>0</v>
      </c>
      <c r="N119" s="29">
        <v>0</v>
      </c>
      <c r="O119" s="27">
        <v>0</v>
      </c>
      <c r="P119" s="28">
        <v>0</v>
      </c>
      <c r="Q119" s="29">
        <v>0</v>
      </c>
      <c r="R119" s="27">
        <v>0</v>
      </c>
      <c r="S119" s="28">
        <v>0</v>
      </c>
      <c r="T119" s="29">
        <v>0</v>
      </c>
      <c r="U119" s="27">
        <v>123812</v>
      </c>
      <c r="V119" s="28">
        <v>445494</v>
      </c>
      <c r="W119" s="29">
        <v>259297</v>
      </c>
      <c r="X119" s="27">
        <v>164027</v>
      </c>
      <c r="Y119" s="28">
        <v>365655</v>
      </c>
      <c r="Z119" s="29">
        <v>281256</v>
      </c>
      <c r="AA119" s="27">
        <v>0</v>
      </c>
      <c r="AB119" s="28">
        <v>0</v>
      </c>
      <c r="AC119" s="29">
        <v>59330</v>
      </c>
      <c r="AD119" s="27">
        <v>40215</v>
      </c>
      <c r="AE119" s="28">
        <v>-79839</v>
      </c>
      <c r="AF119" s="29">
        <v>81289</v>
      </c>
      <c r="AG119" s="27">
        <v>0</v>
      </c>
      <c r="AH119" s="28">
        <v>0</v>
      </c>
      <c r="AI119" s="29">
        <v>0</v>
      </c>
      <c r="AJ119" s="27">
        <v>0</v>
      </c>
      <c r="AK119" s="28">
        <v>0</v>
      </c>
      <c r="AL119" s="29">
        <v>0</v>
      </c>
      <c r="AM119" s="27">
        <v>48845.380000000005</v>
      </c>
      <c r="AN119" s="28">
        <v>71595.360000000015</v>
      </c>
      <c r="AO119" s="29">
        <v>44232.150000000009</v>
      </c>
      <c r="AP119" s="27">
        <v>0</v>
      </c>
      <c r="AQ119" s="28">
        <v>0</v>
      </c>
      <c r="AR119" s="29">
        <v>0</v>
      </c>
      <c r="AS119" s="24">
        <v>0</v>
      </c>
      <c r="AT119" s="25">
        <v>0</v>
      </c>
      <c r="AU119" s="26">
        <v>0</v>
      </c>
      <c r="AV119" s="24">
        <v>0</v>
      </c>
      <c r="AW119" s="25">
        <v>0</v>
      </c>
      <c r="AX119" s="26">
        <v>0</v>
      </c>
    </row>
    <row r="120" spans="1:50" x14ac:dyDescent="0.2">
      <c r="A120" s="22">
        <v>6301</v>
      </c>
      <c r="B120" s="23" t="s">
        <v>137</v>
      </c>
      <c r="C120" s="27">
        <v>0</v>
      </c>
      <c r="D120" s="28">
        <v>0</v>
      </c>
      <c r="E120" s="29">
        <v>0</v>
      </c>
      <c r="F120" s="27">
        <v>0</v>
      </c>
      <c r="G120" s="28">
        <v>0</v>
      </c>
      <c r="H120" s="29">
        <v>0</v>
      </c>
      <c r="I120" s="27">
        <v>0</v>
      </c>
      <c r="J120" s="28">
        <v>0</v>
      </c>
      <c r="K120" s="29">
        <v>0</v>
      </c>
      <c r="L120" s="27">
        <v>0</v>
      </c>
      <c r="M120" s="28">
        <v>0</v>
      </c>
      <c r="N120" s="29">
        <v>0</v>
      </c>
      <c r="O120" s="27">
        <v>0</v>
      </c>
      <c r="P120" s="28">
        <v>0</v>
      </c>
      <c r="Q120" s="29">
        <v>0</v>
      </c>
      <c r="R120" s="27">
        <v>0</v>
      </c>
      <c r="S120" s="28">
        <v>0</v>
      </c>
      <c r="T120" s="29">
        <v>0</v>
      </c>
      <c r="U120" s="27">
        <v>109199</v>
      </c>
      <c r="V120" s="28">
        <v>380946</v>
      </c>
      <c r="W120" s="29">
        <v>216682</v>
      </c>
      <c r="X120" s="27">
        <v>105079</v>
      </c>
      <c r="Y120" s="28">
        <v>347871</v>
      </c>
      <c r="Z120" s="29">
        <v>183981</v>
      </c>
      <c r="AA120" s="27">
        <v>1498</v>
      </c>
      <c r="AB120" s="28">
        <v>-63</v>
      </c>
      <c r="AC120" s="29">
        <v>28101</v>
      </c>
      <c r="AD120" s="27">
        <v>-2622</v>
      </c>
      <c r="AE120" s="28">
        <v>-33138</v>
      </c>
      <c r="AF120" s="29">
        <v>-4600</v>
      </c>
      <c r="AG120" s="27">
        <v>8128.6699999999983</v>
      </c>
      <c r="AH120" s="28">
        <v>8372.890000000014</v>
      </c>
      <c r="AI120" s="29">
        <v>8710.0200000000041</v>
      </c>
      <c r="AJ120" s="27">
        <v>0</v>
      </c>
      <c r="AK120" s="28">
        <v>0</v>
      </c>
      <c r="AL120" s="29">
        <v>0</v>
      </c>
      <c r="AM120" s="27">
        <v>0</v>
      </c>
      <c r="AN120" s="28">
        <v>85355.4</v>
      </c>
      <c r="AO120" s="29">
        <v>85355.4</v>
      </c>
      <c r="AP120" s="27">
        <v>0</v>
      </c>
      <c r="AQ120" s="28">
        <v>0</v>
      </c>
      <c r="AR120" s="29">
        <v>0</v>
      </c>
      <c r="AS120" s="24">
        <v>4.3454060767483636E-4</v>
      </c>
      <c r="AT120" s="25">
        <v>4.9863242023980014E-4</v>
      </c>
      <c r="AU120" s="26">
        <v>4.9748607327775995E-4</v>
      </c>
      <c r="AV120" s="24">
        <v>0</v>
      </c>
      <c r="AW120" s="25">
        <v>0</v>
      </c>
      <c r="AX120" s="26">
        <v>0</v>
      </c>
    </row>
    <row r="121" spans="1:50" x14ac:dyDescent="0.2">
      <c r="A121" s="22">
        <v>6302</v>
      </c>
      <c r="B121" s="23" t="s">
        <v>138</v>
      </c>
      <c r="C121" s="27">
        <v>0</v>
      </c>
      <c r="D121" s="28">
        <v>0</v>
      </c>
      <c r="E121" s="29">
        <v>0</v>
      </c>
      <c r="F121" s="27">
        <v>611937</v>
      </c>
      <c r="G121" s="28">
        <v>4206282</v>
      </c>
      <c r="H121" s="29">
        <v>824861</v>
      </c>
      <c r="I121" s="27">
        <v>601937</v>
      </c>
      <c r="J121" s="28">
        <v>4259969</v>
      </c>
      <c r="K121" s="29">
        <v>734028</v>
      </c>
      <c r="L121" s="27">
        <v>10000</v>
      </c>
      <c r="M121" s="28">
        <v>69480</v>
      </c>
      <c r="N121" s="29">
        <v>5355</v>
      </c>
      <c r="O121" s="27">
        <v>0</v>
      </c>
      <c r="P121" s="28">
        <v>123167</v>
      </c>
      <c r="Q121" s="29">
        <v>-85478</v>
      </c>
      <c r="R121" s="27">
        <v>0</v>
      </c>
      <c r="S121" s="28">
        <v>-67</v>
      </c>
      <c r="T121" s="29">
        <v>453</v>
      </c>
      <c r="U121" s="27">
        <v>284286</v>
      </c>
      <c r="V121" s="28">
        <v>601926</v>
      </c>
      <c r="W121" s="29">
        <v>1434591</v>
      </c>
      <c r="X121" s="27">
        <v>203915</v>
      </c>
      <c r="Y121" s="28">
        <v>531661</v>
      </c>
      <c r="Z121" s="29">
        <v>1484000</v>
      </c>
      <c r="AA121" s="27">
        <v>641623</v>
      </c>
      <c r="AB121" s="28">
        <v>31512</v>
      </c>
      <c r="AC121" s="29">
        <v>-145100</v>
      </c>
      <c r="AD121" s="27">
        <v>561252</v>
      </c>
      <c r="AE121" s="28">
        <v>-38820</v>
      </c>
      <c r="AF121" s="29">
        <v>-95238</v>
      </c>
      <c r="AG121" s="27">
        <v>681348.64999999991</v>
      </c>
      <c r="AH121" s="28">
        <v>931848.79000000027</v>
      </c>
      <c r="AI121" s="29">
        <v>257373.3100000002</v>
      </c>
      <c r="AJ121" s="27">
        <v>0</v>
      </c>
      <c r="AK121" s="28">
        <v>0</v>
      </c>
      <c r="AL121" s="29">
        <v>0</v>
      </c>
      <c r="AM121" s="27">
        <v>4055228.8200000003</v>
      </c>
      <c r="AN121" s="28">
        <v>1406389.5600000003</v>
      </c>
      <c r="AO121" s="29">
        <v>406073.56000000011</v>
      </c>
      <c r="AP121" s="27">
        <v>0</v>
      </c>
      <c r="AQ121" s="28">
        <v>0</v>
      </c>
      <c r="AR121" s="29">
        <v>0</v>
      </c>
      <c r="AS121" s="24">
        <v>4.2305187439019495E-2</v>
      </c>
      <c r="AT121" s="25">
        <v>5.8222002028478818E-2</v>
      </c>
      <c r="AU121" s="26">
        <v>1.6424543953070213E-2</v>
      </c>
      <c r="AV121" s="24">
        <v>0</v>
      </c>
      <c r="AW121" s="25">
        <v>0</v>
      </c>
      <c r="AX121" s="26">
        <v>0</v>
      </c>
    </row>
    <row r="122" spans="1:50" x14ac:dyDescent="0.2">
      <c r="A122" s="22">
        <v>6303</v>
      </c>
      <c r="B122" s="23" t="s">
        <v>139</v>
      </c>
      <c r="C122" s="27">
        <v>0</v>
      </c>
      <c r="D122" s="28">
        <v>2</v>
      </c>
      <c r="E122" s="29">
        <v>0</v>
      </c>
      <c r="F122" s="27">
        <v>0</v>
      </c>
      <c r="G122" s="28">
        <v>409535</v>
      </c>
      <c r="H122" s="29">
        <v>10260</v>
      </c>
      <c r="I122" s="27">
        <v>19531</v>
      </c>
      <c r="J122" s="28">
        <v>422286</v>
      </c>
      <c r="K122" s="29">
        <v>0</v>
      </c>
      <c r="L122" s="27">
        <v>0</v>
      </c>
      <c r="M122" s="28">
        <v>0</v>
      </c>
      <c r="N122" s="29">
        <v>0</v>
      </c>
      <c r="O122" s="27">
        <v>19531</v>
      </c>
      <c r="P122" s="28">
        <v>12753</v>
      </c>
      <c r="Q122" s="29">
        <v>-10260</v>
      </c>
      <c r="R122" s="27">
        <v>0</v>
      </c>
      <c r="S122" s="28">
        <v>1</v>
      </c>
      <c r="T122" s="29">
        <v>0</v>
      </c>
      <c r="U122" s="27">
        <v>205539</v>
      </c>
      <c r="V122" s="28">
        <v>558883</v>
      </c>
      <c r="W122" s="29">
        <v>529167</v>
      </c>
      <c r="X122" s="27">
        <v>131319</v>
      </c>
      <c r="Y122" s="28">
        <v>530016</v>
      </c>
      <c r="Z122" s="29">
        <v>593029</v>
      </c>
      <c r="AA122" s="27">
        <v>60000</v>
      </c>
      <c r="AB122" s="28">
        <v>30000</v>
      </c>
      <c r="AC122" s="29">
        <v>-20000</v>
      </c>
      <c r="AD122" s="27">
        <v>-14220</v>
      </c>
      <c r="AE122" s="28">
        <v>1134</v>
      </c>
      <c r="AF122" s="29">
        <v>43862</v>
      </c>
      <c r="AG122" s="27">
        <v>11816.779999999999</v>
      </c>
      <c r="AH122" s="28">
        <v>45809.580000000016</v>
      </c>
      <c r="AI122" s="29">
        <v>4166.4700000000303</v>
      </c>
      <c r="AJ122" s="27">
        <v>0</v>
      </c>
      <c r="AK122" s="28">
        <v>0</v>
      </c>
      <c r="AL122" s="29">
        <v>0</v>
      </c>
      <c r="AM122" s="27">
        <v>149706.90000000002</v>
      </c>
      <c r="AN122" s="28">
        <v>464696.98</v>
      </c>
      <c r="AO122" s="29">
        <v>41233.129999999976</v>
      </c>
      <c r="AP122" s="27">
        <v>0</v>
      </c>
      <c r="AQ122" s="28">
        <v>0</v>
      </c>
      <c r="AR122" s="29">
        <v>0</v>
      </c>
      <c r="AS122" s="24">
        <v>8.0133451093339803E-4</v>
      </c>
      <c r="AT122" s="25">
        <v>3.1933825201937473E-3</v>
      </c>
      <c r="AU122" s="26">
        <v>2.4832096805406747E-4</v>
      </c>
      <c r="AV122" s="24">
        <v>0</v>
      </c>
      <c r="AW122" s="25">
        <v>0</v>
      </c>
      <c r="AX122" s="26">
        <v>0</v>
      </c>
    </row>
    <row r="123" spans="1:50" x14ac:dyDescent="0.2">
      <c r="A123" s="22">
        <v>6304</v>
      </c>
      <c r="B123" s="23" t="s">
        <v>140</v>
      </c>
      <c r="C123" s="27">
        <v>0</v>
      </c>
      <c r="D123" s="28">
        <v>0</v>
      </c>
      <c r="E123" s="29">
        <v>0</v>
      </c>
      <c r="F123" s="27">
        <v>0</v>
      </c>
      <c r="G123" s="28">
        <v>82552</v>
      </c>
      <c r="H123" s="29">
        <v>16468</v>
      </c>
      <c r="I123" s="27">
        <v>0</v>
      </c>
      <c r="J123" s="28">
        <v>82552</v>
      </c>
      <c r="K123" s="29">
        <v>16468</v>
      </c>
      <c r="L123" s="27">
        <v>0</v>
      </c>
      <c r="M123" s="28">
        <v>0</v>
      </c>
      <c r="N123" s="29">
        <v>0</v>
      </c>
      <c r="O123" s="27">
        <v>0</v>
      </c>
      <c r="P123" s="28">
        <v>0</v>
      </c>
      <c r="Q123" s="29">
        <v>0</v>
      </c>
      <c r="R123" s="27">
        <v>0</v>
      </c>
      <c r="S123" s="28">
        <v>31</v>
      </c>
      <c r="T123" s="29">
        <v>0</v>
      </c>
      <c r="U123" s="27">
        <v>2194884</v>
      </c>
      <c r="V123" s="28">
        <v>4607587</v>
      </c>
      <c r="W123" s="29">
        <v>3990857</v>
      </c>
      <c r="X123" s="27">
        <v>2977911</v>
      </c>
      <c r="Y123" s="28">
        <v>5938133</v>
      </c>
      <c r="Z123" s="29">
        <v>3875954</v>
      </c>
      <c r="AA123" s="27">
        <v>-695480</v>
      </c>
      <c r="AB123" s="28">
        <v>-632211</v>
      </c>
      <c r="AC123" s="29">
        <v>133595</v>
      </c>
      <c r="AD123" s="27">
        <v>87547</v>
      </c>
      <c r="AE123" s="28">
        <v>698366</v>
      </c>
      <c r="AF123" s="29">
        <v>18692</v>
      </c>
      <c r="AG123" s="27">
        <v>248876.57000000007</v>
      </c>
      <c r="AH123" s="28">
        <v>86778.169999999533</v>
      </c>
      <c r="AI123" s="29">
        <v>1784480.1800000002</v>
      </c>
      <c r="AJ123" s="27">
        <v>0</v>
      </c>
      <c r="AK123" s="28">
        <v>0</v>
      </c>
      <c r="AL123" s="29">
        <v>0</v>
      </c>
      <c r="AM123" s="27">
        <v>1810937.4399999997</v>
      </c>
      <c r="AN123" s="28">
        <v>7196958.0599999996</v>
      </c>
      <c r="AO123" s="29">
        <v>12056187.719999999</v>
      </c>
      <c r="AP123" s="27">
        <v>0</v>
      </c>
      <c r="AQ123" s="28">
        <v>0</v>
      </c>
      <c r="AR123" s="29">
        <v>0</v>
      </c>
      <c r="AS123" s="24">
        <v>3.0022215394510843E-3</v>
      </c>
      <c r="AT123" s="25">
        <v>1.175170382308396E-3</v>
      </c>
      <c r="AU123" s="26">
        <v>1.8011268972236309E-2</v>
      </c>
      <c r="AV123" s="24">
        <v>0</v>
      </c>
      <c r="AW123" s="25">
        <v>0</v>
      </c>
      <c r="AX123" s="26">
        <v>0</v>
      </c>
    </row>
    <row r="124" spans="1:50" x14ac:dyDescent="0.2">
      <c r="A124" s="22">
        <v>6305</v>
      </c>
      <c r="B124" s="23" t="s">
        <v>141</v>
      </c>
      <c r="C124" s="27">
        <v>0</v>
      </c>
      <c r="D124" s="28">
        <v>0</v>
      </c>
      <c r="E124" s="29">
        <v>0</v>
      </c>
      <c r="F124" s="27">
        <v>38782</v>
      </c>
      <c r="G124" s="28">
        <v>350683</v>
      </c>
      <c r="H124" s="29">
        <v>32328</v>
      </c>
      <c r="I124" s="27">
        <v>124215</v>
      </c>
      <c r="J124" s="28">
        <v>354403</v>
      </c>
      <c r="K124" s="29">
        <v>2288</v>
      </c>
      <c r="L124" s="27">
        <v>39000</v>
      </c>
      <c r="M124" s="28">
        <v>3990</v>
      </c>
      <c r="N124" s="29">
        <v>22268</v>
      </c>
      <c r="O124" s="27">
        <v>124433</v>
      </c>
      <c r="P124" s="28">
        <v>7710</v>
      </c>
      <c r="Q124" s="29">
        <v>-7772</v>
      </c>
      <c r="R124" s="27">
        <v>0</v>
      </c>
      <c r="S124" s="28">
        <v>0</v>
      </c>
      <c r="T124" s="29">
        <v>0</v>
      </c>
      <c r="U124" s="27">
        <v>186578</v>
      </c>
      <c r="V124" s="28">
        <v>359981</v>
      </c>
      <c r="W124" s="29">
        <v>791784</v>
      </c>
      <c r="X124" s="27">
        <v>195369</v>
      </c>
      <c r="Y124" s="28">
        <v>343690</v>
      </c>
      <c r="Z124" s="29">
        <v>337931</v>
      </c>
      <c r="AA124" s="27">
        <v>35359</v>
      </c>
      <c r="AB124" s="28">
        <v>36480</v>
      </c>
      <c r="AC124" s="29">
        <v>454805</v>
      </c>
      <c r="AD124" s="27">
        <v>44150</v>
      </c>
      <c r="AE124" s="28">
        <v>20189</v>
      </c>
      <c r="AF124" s="29">
        <v>952</v>
      </c>
      <c r="AG124" s="27">
        <v>0</v>
      </c>
      <c r="AH124" s="28">
        <v>0</v>
      </c>
      <c r="AI124" s="29">
        <v>0</v>
      </c>
      <c r="AJ124" s="27">
        <v>0</v>
      </c>
      <c r="AK124" s="28">
        <v>0</v>
      </c>
      <c r="AL124" s="29">
        <v>0</v>
      </c>
      <c r="AM124" s="27">
        <v>53843.000000000007</v>
      </c>
      <c r="AN124" s="28">
        <v>668492.66999999993</v>
      </c>
      <c r="AO124" s="29">
        <v>361787.28</v>
      </c>
      <c r="AP124" s="27">
        <v>0</v>
      </c>
      <c r="AQ124" s="28">
        <v>0</v>
      </c>
      <c r="AR124" s="29">
        <v>0</v>
      </c>
      <c r="AS124" s="24">
        <v>0</v>
      </c>
      <c r="AT124" s="25">
        <v>0</v>
      </c>
      <c r="AU124" s="26">
        <v>0</v>
      </c>
      <c r="AV124" s="24">
        <v>0</v>
      </c>
      <c r="AW124" s="25">
        <v>0</v>
      </c>
      <c r="AX124" s="26">
        <v>0</v>
      </c>
    </row>
    <row r="125" spans="1:50" x14ac:dyDescent="0.2">
      <c r="A125" s="22">
        <v>6306</v>
      </c>
      <c r="B125" s="23" t="s">
        <v>142</v>
      </c>
      <c r="C125" s="27">
        <v>8039</v>
      </c>
      <c r="D125" s="28">
        <v>18895</v>
      </c>
      <c r="E125" s="29">
        <v>8114</v>
      </c>
      <c r="F125" s="27">
        <v>463</v>
      </c>
      <c r="G125" s="28">
        <v>1574</v>
      </c>
      <c r="H125" s="29">
        <v>2067</v>
      </c>
      <c r="I125" s="27">
        <v>0</v>
      </c>
      <c r="J125" s="28">
        <v>0</v>
      </c>
      <c r="K125" s="29">
        <v>0</v>
      </c>
      <c r="L125" s="27">
        <v>0</v>
      </c>
      <c r="M125" s="28">
        <v>0</v>
      </c>
      <c r="N125" s="29">
        <v>0</v>
      </c>
      <c r="O125" s="27">
        <v>7576</v>
      </c>
      <c r="P125" s="28">
        <v>17321</v>
      </c>
      <c r="Q125" s="29">
        <v>6047</v>
      </c>
      <c r="R125" s="27">
        <v>0</v>
      </c>
      <c r="S125" s="28">
        <v>0</v>
      </c>
      <c r="T125" s="29">
        <v>0</v>
      </c>
      <c r="U125" s="27">
        <v>1486663</v>
      </c>
      <c r="V125" s="28">
        <v>4507244</v>
      </c>
      <c r="W125" s="29">
        <v>10093787</v>
      </c>
      <c r="X125" s="27">
        <v>3684462</v>
      </c>
      <c r="Y125" s="28">
        <v>14195859</v>
      </c>
      <c r="Z125" s="29">
        <v>9154498</v>
      </c>
      <c r="AA125" s="27">
        <v>-88281</v>
      </c>
      <c r="AB125" s="28">
        <v>-5803551</v>
      </c>
      <c r="AC125" s="29">
        <v>297894</v>
      </c>
      <c r="AD125" s="27">
        <v>2109518</v>
      </c>
      <c r="AE125" s="28">
        <v>3885064</v>
      </c>
      <c r="AF125" s="29">
        <v>-641395</v>
      </c>
      <c r="AG125" s="27">
        <v>34466.940000000061</v>
      </c>
      <c r="AH125" s="28">
        <v>118457.89999999979</v>
      </c>
      <c r="AI125" s="29">
        <v>257760.67999999874</v>
      </c>
      <c r="AJ125" s="27">
        <v>0</v>
      </c>
      <c r="AK125" s="28">
        <v>0</v>
      </c>
      <c r="AL125" s="29">
        <v>0</v>
      </c>
      <c r="AM125" s="27">
        <v>4615580.01</v>
      </c>
      <c r="AN125" s="28">
        <v>48305722.140000001</v>
      </c>
      <c r="AO125" s="29">
        <v>95119513.879999995</v>
      </c>
      <c r="AP125" s="27">
        <v>0</v>
      </c>
      <c r="AQ125" s="28">
        <v>0</v>
      </c>
      <c r="AR125" s="29">
        <v>0</v>
      </c>
      <c r="AS125" s="24">
        <v>1.9723969358144834E-4</v>
      </c>
      <c r="AT125" s="25">
        <v>6.4509449004714059E-4</v>
      </c>
      <c r="AU125" s="26">
        <v>1.3549551846180378E-3</v>
      </c>
      <c r="AV125" s="24">
        <v>0</v>
      </c>
      <c r="AW125" s="25">
        <v>0</v>
      </c>
      <c r="AX125" s="26">
        <v>0</v>
      </c>
    </row>
    <row r="126" spans="1:50" x14ac:dyDescent="0.2">
      <c r="A126" s="22">
        <v>6307</v>
      </c>
      <c r="B126" s="23" t="s">
        <v>143</v>
      </c>
      <c r="C126" s="27">
        <v>0</v>
      </c>
      <c r="D126" s="28">
        <v>0</v>
      </c>
      <c r="E126" s="29">
        <v>0</v>
      </c>
      <c r="F126" s="27">
        <v>0</v>
      </c>
      <c r="G126" s="28">
        <v>0</v>
      </c>
      <c r="H126" s="29">
        <v>165713</v>
      </c>
      <c r="I126" s="27">
        <v>0</v>
      </c>
      <c r="J126" s="28">
        <v>39000</v>
      </c>
      <c r="K126" s="29">
        <v>232273</v>
      </c>
      <c r="L126" s="27">
        <v>0</v>
      </c>
      <c r="M126" s="28">
        <v>0</v>
      </c>
      <c r="N126" s="29">
        <v>39000</v>
      </c>
      <c r="O126" s="27">
        <v>0</v>
      </c>
      <c r="P126" s="28">
        <v>39000</v>
      </c>
      <c r="Q126" s="29">
        <v>105560</v>
      </c>
      <c r="R126" s="27">
        <v>0</v>
      </c>
      <c r="S126" s="28">
        <v>0</v>
      </c>
      <c r="T126" s="29">
        <v>0</v>
      </c>
      <c r="U126" s="27">
        <v>126264</v>
      </c>
      <c r="V126" s="28">
        <v>547053</v>
      </c>
      <c r="W126" s="29">
        <v>517686</v>
      </c>
      <c r="X126" s="27">
        <v>106244</v>
      </c>
      <c r="Y126" s="28">
        <v>525360</v>
      </c>
      <c r="Z126" s="29">
        <v>427995</v>
      </c>
      <c r="AA126" s="27">
        <v>23254</v>
      </c>
      <c r="AB126" s="28">
        <v>-4296</v>
      </c>
      <c r="AC126" s="29">
        <v>48384</v>
      </c>
      <c r="AD126" s="27">
        <v>3234</v>
      </c>
      <c r="AE126" s="28">
        <v>-25989</v>
      </c>
      <c r="AF126" s="29">
        <v>-41307</v>
      </c>
      <c r="AG126" s="27">
        <v>51488.290000000008</v>
      </c>
      <c r="AH126" s="28">
        <v>27604.060000000056</v>
      </c>
      <c r="AI126" s="29">
        <v>164573.73999999993</v>
      </c>
      <c r="AJ126" s="27">
        <v>0</v>
      </c>
      <c r="AK126" s="28">
        <v>0</v>
      </c>
      <c r="AL126" s="29">
        <v>0</v>
      </c>
      <c r="AM126" s="27">
        <v>0</v>
      </c>
      <c r="AN126" s="28">
        <v>739568.13</v>
      </c>
      <c r="AO126" s="29">
        <v>534471.13</v>
      </c>
      <c r="AP126" s="27">
        <v>0</v>
      </c>
      <c r="AQ126" s="28">
        <v>0</v>
      </c>
      <c r="AR126" s="29">
        <v>0</v>
      </c>
      <c r="AS126" s="24">
        <v>1.0706774562819913E-3</v>
      </c>
      <c r="AT126" s="25">
        <v>6.69626871589576E-4</v>
      </c>
      <c r="AU126" s="26">
        <v>3.0293538954853389E-3</v>
      </c>
      <c r="AV126" s="24">
        <v>0</v>
      </c>
      <c r="AW126" s="25">
        <v>0</v>
      </c>
      <c r="AX126" s="26">
        <v>0</v>
      </c>
    </row>
    <row r="127" spans="1:50" x14ac:dyDescent="0.2">
      <c r="A127" s="22">
        <v>6308</v>
      </c>
      <c r="B127" s="23" t="s">
        <v>144</v>
      </c>
      <c r="C127" s="27">
        <v>0</v>
      </c>
      <c r="D127" s="28">
        <v>0</v>
      </c>
      <c r="E127" s="29">
        <v>0</v>
      </c>
      <c r="F127" s="27">
        <v>0</v>
      </c>
      <c r="G127" s="28">
        <v>0</v>
      </c>
      <c r="H127" s="29">
        <v>0</v>
      </c>
      <c r="I127" s="27">
        <v>7023</v>
      </c>
      <c r="J127" s="28">
        <v>7023</v>
      </c>
      <c r="K127" s="29">
        <v>0</v>
      </c>
      <c r="L127" s="27">
        <v>-7023</v>
      </c>
      <c r="M127" s="28">
        <v>-7023</v>
      </c>
      <c r="N127" s="29">
        <v>0</v>
      </c>
      <c r="O127" s="27">
        <v>0</v>
      </c>
      <c r="P127" s="28">
        <v>0</v>
      </c>
      <c r="Q127" s="29">
        <v>0</v>
      </c>
      <c r="R127" s="27">
        <v>0</v>
      </c>
      <c r="S127" s="28">
        <v>33</v>
      </c>
      <c r="T127" s="29">
        <v>0</v>
      </c>
      <c r="U127" s="27">
        <v>3362247</v>
      </c>
      <c r="V127" s="28">
        <v>6891068</v>
      </c>
      <c r="W127" s="29">
        <v>3358175</v>
      </c>
      <c r="X127" s="27">
        <v>3387365</v>
      </c>
      <c r="Y127" s="28">
        <v>6365622</v>
      </c>
      <c r="Z127" s="29">
        <v>3777776</v>
      </c>
      <c r="AA127" s="27">
        <v>141826</v>
      </c>
      <c r="AB127" s="28">
        <v>590122</v>
      </c>
      <c r="AC127" s="29">
        <v>-532159</v>
      </c>
      <c r="AD127" s="27">
        <v>166944</v>
      </c>
      <c r="AE127" s="28">
        <v>64709</v>
      </c>
      <c r="AF127" s="29">
        <v>-112558</v>
      </c>
      <c r="AG127" s="27">
        <v>192984.12999999989</v>
      </c>
      <c r="AH127" s="28">
        <v>608012.04</v>
      </c>
      <c r="AI127" s="29">
        <v>455655.66999999993</v>
      </c>
      <c r="AJ127" s="27">
        <v>0</v>
      </c>
      <c r="AK127" s="28">
        <v>0</v>
      </c>
      <c r="AL127" s="29">
        <v>0</v>
      </c>
      <c r="AM127" s="27">
        <v>5661777.3600000003</v>
      </c>
      <c r="AN127" s="28">
        <v>1130697.9500000002</v>
      </c>
      <c r="AO127" s="29">
        <v>7866717.71</v>
      </c>
      <c r="AP127" s="27">
        <v>0</v>
      </c>
      <c r="AQ127" s="28">
        <v>0</v>
      </c>
      <c r="AR127" s="29">
        <v>0</v>
      </c>
      <c r="AS127" s="24">
        <v>5.8483934778443694E-3</v>
      </c>
      <c r="AT127" s="25">
        <v>1.6795026096826766E-2</v>
      </c>
      <c r="AU127" s="26">
        <v>1.3028856477801637E-2</v>
      </c>
      <c r="AV127" s="24">
        <v>0</v>
      </c>
      <c r="AW127" s="25">
        <v>0</v>
      </c>
      <c r="AX127" s="26">
        <v>0</v>
      </c>
    </row>
    <row r="128" spans="1:50" x14ac:dyDescent="0.2">
      <c r="A128" s="22">
        <v>6309</v>
      </c>
      <c r="B128" s="23" t="s">
        <v>145</v>
      </c>
      <c r="C128" s="27">
        <v>0</v>
      </c>
      <c r="D128" s="28">
        <v>0</v>
      </c>
      <c r="E128" s="29">
        <v>0</v>
      </c>
      <c r="F128" s="27">
        <v>0</v>
      </c>
      <c r="G128" s="28">
        <v>2817813</v>
      </c>
      <c r="H128" s="29">
        <v>9000</v>
      </c>
      <c r="I128" s="27">
        <v>486872</v>
      </c>
      <c r="J128" s="28">
        <v>2912394</v>
      </c>
      <c r="K128" s="29">
        <v>96672</v>
      </c>
      <c r="L128" s="27">
        <v>-1868</v>
      </c>
      <c r="M128" s="28">
        <v>-1868</v>
      </c>
      <c r="N128" s="29">
        <v>0</v>
      </c>
      <c r="O128" s="27">
        <v>485004</v>
      </c>
      <c r="P128" s="28">
        <v>92713</v>
      </c>
      <c r="Q128" s="29">
        <v>87672</v>
      </c>
      <c r="R128" s="27">
        <v>0</v>
      </c>
      <c r="S128" s="28">
        <v>0</v>
      </c>
      <c r="T128" s="29">
        <v>0</v>
      </c>
      <c r="U128" s="27">
        <v>503276</v>
      </c>
      <c r="V128" s="28">
        <v>1552910</v>
      </c>
      <c r="W128" s="29">
        <v>1277045</v>
      </c>
      <c r="X128" s="27">
        <v>635010</v>
      </c>
      <c r="Y128" s="28">
        <v>1782191</v>
      </c>
      <c r="Z128" s="29">
        <v>814635</v>
      </c>
      <c r="AA128" s="27">
        <v>57294</v>
      </c>
      <c r="AB128" s="28">
        <v>-17139</v>
      </c>
      <c r="AC128" s="29">
        <v>203757</v>
      </c>
      <c r="AD128" s="27">
        <v>189028</v>
      </c>
      <c r="AE128" s="28">
        <v>212142</v>
      </c>
      <c r="AF128" s="29">
        <v>-258653</v>
      </c>
      <c r="AG128" s="27">
        <v>24083.299999999988</v>
      </c>
      <c r="AH128" s="28">
        <v>128213.26000000001</v>
      </c>
      <c r="AI128" s="29">
        <v>147602.68</v>
      </c>
      <c r="AJ128" s="27">
        <v>0</v>
      </c>
      <c r="AK128" s="28">
        <v>0</v>
      </c>
      <c r="AL128" s="29">
        <v>0</v>
      </c>
      <c r="AM128" s="27">
        <v>1827759.65</v>
      </c>
      <c r="AN128" s="28">
        <v>5035580.9399999995</v>
      </c>
      <c r="AO128" s="29">
        <v>5977915.2999999998</v>
      </c>
      <c r="AP128" s="27">
        <v>0</v>
      </c>
      <c r="AQ128" s="28">
        <v>0</v>
      </c>
      <c r="AR128" s="29">
        <v>0</v>
      </c>
      <c r="AS128" s="24">
        <v>8.7968487635144393E-4</v>
      </c>
      <c r="AT128" s="25">
        <v>4.0937277294868625E-3</v>
      </c>
      <c r="AU128" s="26">
        <v>5.0224391087101833E-3</v>
      </c>
      <c r="AV128" s="24">
        <v>0</v>
      </c>
      <c r="AW128" s="25">
        <v>0</v>
      </c>
      <c r="AX128" s="26">
        <v>0</v>
      </c>
    </row>
    <row r="129" spans="1:50" x14ac:dyDescent="0.2">
      <c r="A129" s="22">
        <v>6310</v>
      </c>
      <c r="B129" s="23" t="s">
        <v>146</v>
      </c>
      <c r="C129" s="27">
        <v>-590</v>
      </c>
      <c r="D129" s="28">
        <v>-542</v>
      </c>
      <c r="E129" s="29">
        <v>0</v>
      </c>
      <c r="F129" s="27">
        <v>906173</v>
      </c>
      <c r="G129" s="28">
        <v>1485898</v>
      </c>
      <c r="H129" s="29">
        <v>1217259</v>
      </c>
      <c r="I129" s="27">
        <v>16783</v>
      </c>
      <c r="J129" s="28">
        <v>399106</v>
      </c>
      <c r="K129" s="29">
        <v>551621</v>
      </c>
      <c r="L129" s="27">
        <v>1158002</v>
      </c>
      <c r="M129" s="28">
        <v>1200373</v>
      </c>
      <c r="N129" s="29">
        <v>519784</v>
      </c>
      <c r="O129" s="27">
        <v>268022</v>
      </c>
      <c r="P129" s="28">
        <v>113039</v>
      </c>
      <c r="Q129" s="29">
        <v>-145854</v>
      </c>
      <c r="R129" s="27">
        <v>-171</v>
      </c>
      <c r="S129" s="28">
        <v>-163</v>
      </c>
      <c r="T129" s="29">
        <v>0</v>
      </c>
      <c r="U129" s="27">
        <v>160943</v>
      </c>
      <c r="V129" s="28">
        <v>484463</v>
      </c>
      <c r="W129" s="29">
        <v>1001654</v>
      </c>
      <c r="X129" s="27">
        <v>168323</v>
      </c>
      <c r="Y129" s="28">
        <v>465056</v>
      </c>
      <c r="Z129" s="29">
        <v>919895</v>
      </c>
      <c r="AA129" s="27">
        <v>42938</v>
      </c>
      <c r="AB129" s="28">
        <v>1425</v>
      </c>
      <c r="AC129" s="29">
        <v>94153</v>
      </c>
      <c r="AD129" s="27">
        <v>50147</v>
      </c>
      <c r="AE129" s="28">
        <v>-18145</v>
      </c>
      <c r="AF129" s="29">
        <v>12394</v>
      </c>
      <c r="AG129" s="27">
        <v>205697.53000000003</v>
      </c>
      <c r="AH129" s="28">
        <v>730004.0499999997</v>
      </c>
      <c r="AI129" s="29">
        <v>1276859.95</v>
      </c>
      <c r="AJ129" s="27">
        <v>0</v>
      </c>
      <c r="AK129" s="28">
        <v>0</v>
      </c>
      <c r="AL129" s="29">
        <v>0</v>
      </c>
      <c r="AM129" s="27">
        <v>1077341.6499999999</v>
      </c>
      <c r="AN129" s="28">
        <v>1202026.1000000001</v>
      </c>
      <c r="AO129" s="29">
        <v>2645159.0399999996</v>
      </c>
      <c r="AP129" s="27">
        <v>0</v>
      </c>
      <c r="AQ129" s="28">
        <v>0</v>
      </c>
      <c r="AR129" s="29">
        <v>0</v>
      </c>
      <c r="AS129" s="24">
        <v>3.6503070021359791E-3</v>
      </c>
      <c r="AT129" s="25">
        <v>1.6384051942094136E-2</v>
      </c>
      <c r="AU129" s="26">
        <v>2.1496135355455446E-2</v>
      </c>
      <c r="AV129" s="24">
        <v>0</v>
      </c>
      <c r="AW129" s="25">
        <v>0</v>
      </c>
      <c r="AX129" s="26">
        <v>0</v>
      </c>
    </row>
    <row r="130" spans="1:50" x14ac:dyDescent="0.2">
      <c r="A130" s="22">
        <v>6311</v>
      </c>
      <c r="B130" s="23" t="s">
        <v>147</v>
      </c>
      <c r="C130" s="27">
        <v>0</v>
      </c>
      <c r="D130" s="28">
        <v>0</v>
      </c>
      <c r="E130" s="29">
        <v>36105</v>
      </c>
      <c r="F130" s="27">
        <v>0</v>
      </c>
      <c r="G130" s="28">
        <v>0</v>
      </c>
      <c r="H130" s="29">
        <v>441146</v>
      </c>
      <c r="I130" s="27">
        <v>0</v>
      </c>
      <c r="J130" s="28">
        <v>0</v>
      </c>
      <c r="K130" s="29">
        <v>405041</v>
      </c>
      <c r="L130" s="27">
        <v>0</v>
      </c>
      <c r="M130" s="28">
        <v>0</v>
      </c>
      <c r="N130" s="29">
        <v>0</v>
      </c>
      <c r="O130" s="27">
        <v>0</v>
      </c>
      <c r="P130" s="28">
        <v>0</v>
      </c>
      <c r="Q130" s="29">
        <v>0</v>
      </c>
      <c r="R130" s="27">
        <v>0</v>
      </c>
      <c r="S130" s="28">
        <v>0</v>
      </c>
      <c r="T130" s="29">
        <v>0</v>
      </c>
      <c r="U130" s="27">
        <v>137160</v>
      </c>
      <c r="V130" s="28">
        <v>419581</v>
      </c>
      <c r="W130" s="29">
        <v>199748</v>
      </c>
      <c r="X130" s="27">
        <v>157351</v>
      </c>
      <c r="Y130" s="28">
        <v>402609</v>
      </c>
      <c r="Z130" s="29">
        <v>168031</v>
      </c>
      <c r="AA130" s="27">
        <v>35626</v>
      </c>
      <c r="AB130" s="28">
        <v>33421</v>
      </c>
      <c r="AC130" s="29">
        <v>-1528</v>
      </c>
      <c r="AD130" s="27">
        <v>55817</v>
      </c>
      <c r="AE130" s="28">
        <v>16449</v>
      </c>
      <c r="AF130" s="29">
        <v>-33245</v>
      </c>
      <c r="AG130" s="27">
        <v>5217.3700000000026</v>
      </c>
      <c r="AH130" s="28">
        <v>446730.75</v>
      </c>
      <c r="AI130" s="29">
        <v>6183.5</v>
      </c>
      <c r="AJ130" s="27">
        <v>4001.4</v>
      </c>
      <c r="AK130" s="28">
        <v>0</v>
      </c>
      <c r="AL130" s="29">
        <v>0</v>
      </c>
      <c r="AM130" s="27">
        <v>144466.52000000002</v>
      </c>
      <c r="AN130" s="28">
        <v>112642.66</v>
      </c>
      <c r="AO130" s="29">
        <v>2748571.5</v>
      </c>
      <c r="AP130" s="27">
        <v>0</v>
      </c>
      <c r="AQ130" s="28">
        <v>447234</v>
      </c>
      <c r="AR130" s="29">
        <v>72859</v>
      </c>
      <c r="AS130" s="24">
        <v>2.6211662071284848E-4</v>
      </c>
      <c r="AT130" s="25">
        <v>2.6621193266034678E-2</v>
      </c>
      <c r="AU130" s="26">
        <v>4.1684421392120132E-4</v>
      </c>
      <c r="AV130" s="24">
        <v>0</v>
      </c>
      <c r="AW130" s="25">
        <v>2.6651182505663094E-2</v>
      </c>
      <c r="AX130" s="26">
        <v>4.9115957923643256E-3</v>
      </c>
    </row>
    <row r="131" spans="1:50" x14ac:dyDescent="0.2">
      <c r="A131" s="22">
        <v>6312</v>
      </c>
      <c r="B131" s="31" t="s">
        <v>148</v>
      </c>
      <c r="C131" s="27">
        <v>0</v>
      </c>
      <c r="D131" s="28">
        <v>0</v>
      </c>
      <c r="E131" s="29">
        <v>0</v>
      </c>
      <c r="F131" s="27">
        <v>292710</v>
      </c>
      <c r="G131" s="28">
        <v>1454186</v>
      </c>
      <c r="H131" s="29">
        <v>0</v>
      </c>
      <c r="I131" s="27">
        <v>273270</v>
      </c>
      <c r="J131" s="28">
        <v>1445546</v>
      </c>
      <c r="K131" s="29">
        <v>0</v>
      </c>
      <c r="L131" s="27">
        <v>19440</v>
      </c>
      <c r="M131" s="28">
        <v>8640</v>
      </c>
      <c r="N131" s="29">
        <v>0</v>
      </c>
      <c r="O131" s="27">
        <v>0</v>
      </c>
      <c r="P131" s="28">
        <v>0</v>
      </c>
      <c r="Q131" s="29">
        <v>0</v>
      </c>
      <c r="R131" s="27">
        <v>0</v>
      </c>
      <c r="S131" s="28">
        <v>-20</v>
      </c>
      <c r="T131" s="29">
        <v>0</v>
      </c>
      <c r="U131" s="27">
        <v>213851</v>
      </c>
      <c r="V131" s="28">
        <v>774254</v>
      </c>
      <c r="W131" s="29">
        <v>321395</v>
      </c>
      <c r="X131" s="27">
        <v>333117</v>
      </c>
      <c r="Y131" s="28">
        <v>657485</v>
      </c>
      <c r="Z131" s="29">
        <v>436328</v>
      </c>
      <c r="AA131" s="27">
        <v>69091</v>
      </c>
      <c r="AB131" s="28">
        <v>179773</v>
      </c>
      <c r="AC131" s="29">
        <v>168516</v>
      </c>
      <c r="AD131" s="27">
        <v>188357</v>
      </c>
      <c r="AE131" s="28">
        <v>62984</v>
      </c>
      <c r="AF131" s="29">
        <v>283449</v>
      </c>
      <c r="AG131" s="27">
        <v>18815.999999999971</v>
      </c>
      <c r="AH131" s="28">
        <v>20333.03999999995</v>
      </c>
      <c r="AI131" s="29">
        <v>452096.52</v>
      </c>
      <c r="AJ131" s="27">
        <v>0</v>
      </c>
      <c r="AK131" s="28">
        <v>0</v>
      </c>
      <c r="AL131" s="29">
        <v>0</v>
      </c>
      <c r="AM131" s="27">
        <v>2719590.3600000003</v>
      </c>
      <c r="AN131" s="28">
        <v>1840262.0600000003</v>
      </c>
      <c r="AO131" s="29">
        <v>1789134.65</v>
      </c>
      <c r="AP131" s="27">
        <v>0</v>
      </c>
      <c r="AQ131" s="28">
        <v>0</v>
      </c>
      <c r="AR131" s="29">
        <v>0</v>
      </c>
      <c r="AS131" s="24">
        <v>1.4349315071104814E-3</v>
      </c>
      <c r="AT131" s="25">
        <v>1.5641999621047822E-3</v>
      </c>
      <c r="AU131" s="26">
        <v>3.6160356458596513E-2</v>
      </c>
      <c r="AV131" s="24">
        <v>0</v>
      </c>
      <c r="AW131" s="25">
        <v>0</v>
      </c>
      <c r="AX131" s="26">
        <v>0</v>
      </c>
    </row>
    <row r="132" spans="1:50" x14ac:dyDescent="0.2">
      <c r="A132" s="22">
        <v>6401</v>
      </c>
      <c r="B132" s="23" t="s">
        <v>149</v>
      </c>
      <c r="C132" s="27">
        <v>0</v>
      </c>
      <c r="D132" s="28">
        <v>0</v>
      </c>
      <c r="E132" s="29">
        <v>0</v>
      </c>
      <c r="F132" s="27">
        <v>0</v>
      </c>
      <c r="G132" s="28">
        <v>0</v>
      </c>
      <c r="H132" s="29">
        <v>0</v>
      </c>
      <c r="I132" s="27">
        <v>0</v>
      </c>
      <c r="J132" s="28">
        <v>-21989</v>
      </c>
      <c r="K132" s="29">
        <v>0</v>
      </c>
      <c r="L132" s="27">
        <v>0</v>
      </c>
      <c r="M132" s="28">
        <v>0</v>
      </c>
      <c r="N132" s="29">
        <v>0</v>
      </c>
      <c r="O132" s="27">
        <v>0</v>
      </c>
      <c r="P132" s="28">
        <v>-21989</v>
      </c>
      <c r="Q132" s="29">
        <v>0</v>
      </c>
      <c r="R132" s="27">
        <v>0</v>
      </c>
      <c r="S132" s="28">
        <v>0</v>
      </c>
      <c r="T132" s="29">
        <v>0</v>
      </c>
      <c r="U132" s="27">
        <v>245601</v>
      </c>
      <c r="V132" s="28">
        <v>878440</v>
      </c>
      <c r="W132" s="29">
        <v>195185</v>
      </c>
      <c r="X132" s="27">
        <v>191036</v>
      </c>
      <c r="Y132" s="28">
        <v>882906</v>
      </c>
      <c r="Z132" s="29">
        <v>223639</v>
      </c>
      <c r="AA132" s="27">
        <v>54565</v>
      </c>
      <c r="AB132" s="28">
        <v>-2337</v>
      </c>
      <c r="AC132" s="29">
        <v>-25524</v>
      </c>
      <c r="AD132" s="27">
        <v>0</v>
      </c>
      <c r="AE132" s="28">
        <v>2129</v>
      </c>
      <c r="AF132" s="29">
        <v>2930</v>
      </c>
      <c r="AG132" s="27">
        <v>0</v>
      </c>
      <c r="AH132" s="28">
        <v>0</v>
      </c>
      <c r="AI132" s="29">
        <v>0</v>
      </c>
      <c r="AJ132" s="27">
        <v>0</v>
      </c>
      <c r="AK132" s="28">
        <v>0</v>
      </c>
      <c r="AL132" s="29">
        <v>0</v>
      </c>
      <c r="AM132" s="27">
        <v>51359.979999999996</v>
      </c>
      <c r="AN132" s="28">
        <v>75310.179999999993</v>
      </c>
      <c r="AO132" s="29">
        <v>81136.169999999984</v>
      </c>
      <c r="AP132" s="27">
        <v>0</v>
      </c>
      <c r="AQ132" s="28">
        <v>0</v>
      </c>
      <c r="AR132" s="29">
        <v>0</v>
      </c>
      <c r="AS132" s="24">
        <v>0</v>
      </c>
      <c r="AT132" s="25">
        <v>0</v>
      </c>
      <c r="AU132" s="26">
        <v>0</v>
      </c>
      <c r="AV132" s="24">
        <v>0</v>
      </c>
      <c r="AW132" s="25">
        <v>0</v>
      </c>
      <c r="AX132" s="26">
        <v>0</v>
      </c>
    </row>
    <row r="133" spans="1:50" x14ac:dyDescent="0.2">
      <c r="A133" s="22">
        <v>6402</v>
      </c>
      <c r="B133" s="23" t="s">
        <v>150</v>
      </c>
      <c r="C133" s="27">
        <v>0</v>
      </c>
      <c r="D133" s="28">
        <v>0</v>
      </c>
      <c r="E133" s="29">
        <v>0</v>
      </c>
      <c r="F133" s="27">
        <v>689411</v>
      </c>
      <c r="G133" s="28">
        <v>944178</v>
      </c>
      <c r="H133" s="29">
        <v>3780</v>
      </c>
      <c r="I133" s="27">
        <v>677601</v>
      </c>
      <c r="J133" s="28">
        <v>932864</v>
      </c>
      <c r="K133" s="29">
        <v>0</v>
      </c>
      <c r="L133" s="27">
        <v>0</v>
      </c>
      <c r="M133" s="28">
        <v>0</v>
      </c>
      <c r="N133" s="29">
        <v>3780</v>
      </c>
      <c r="O133" s="27">
        <v>-11810</v>
      </c>
      <c r="P133" s="28">
        <v>-11314</v>
      </c>
      <c r="Q133" s="29">
        <v>0</v>
      </c>
      <c r="R133" s="27">
        <v>0</v>
      </c>
      <c r="S133" s="28">
        <v>0</v>
      </c>
      <c r="T133" s="29">
        <v>-15618</v>
      </c>
      <c r="U133" s="27">
        <v>155035</v>
      </c>
      <c r="V133" s="28">
        <v>367999</v>
      </c>
      <c r="W133" s="29">
        <v>108678</v>
      </c>
      <c r="X133" s="27">
        <v>131816</v>
      </c>
      <c r="Y133" s="28">
        <v>373733</v>
      </c>
      <c r="Z133" s="29">
        <v>164926</v>
      </c>
      <c r="AA133" s="27">
        <v>23635</v>
      </c>
      <c r="AB133" s="28">
        <v>-5734</v>
      </c>
      <c r="AC133" s="29">
        <v>-20778</v>
      </c>
      <c r="AD133" s="27">
        <v>416</v>
      </c>
      <c r="AE133" s="28">
        <v>0</v>
      </c>
      <c r="AF133" s="29">
        <v>19852</v>
      </c>
      <c r="AG133" s="27">
        <v>130616.40000000002</v>
      </c>
      <c r="AH133" s="28">
        <v>0</v>
      </c>
      <c r="AI133" s="29">
        <v>4239.3300000000017</v>
      </c>
      <c r="AJ133" s="27">
        <v>0</v>
      </c>
      <c r="AK133" s="28">
        <v>0</v>
      </c>
      <c r="AL133" s="29">
        <v>0</v>
      </c>
      <c r="AM133" s="27">
        <v>203391.92999999991</v>
      </c>
      <c r="AN133" s="28">
        <v>142889.08999999991</v>
      </c>
      <c r="AO133" s="29">
        <v>155696.44</v>
      </c>
      <c r="AP133" s="27">
        <v>0</v>
      </c>
      <c r="AQ133" s="28">
        <v>0</v>
      </c>
      <c r="AR133" s="29">
        <v>0</v>
      </c>
      <c r="AS133" s="24">
        <v>1.4395114122611139E-2</v>
      </c>
      <c r="AT133" s="25">
        <v>0</v>
      </c>
      <c r="AU133" s="26">
        <v>4.7783783881267405E-4</v>
      </c>
      <c r="AV133" s="24">
        <v>0</v>
      </c>
      <c r="AW133" s="25">
        <v>0</v>
      </c>
      <c r="AX133" s="26">
        <v>0</v>
      </c>
    </row>
    <row r="134" spans="1:50" x14ac:dyDescent="0.2">
      <c r="A134" s="22">
        <v>6403</v>
      </c>
      <c r="B134" s="23" t="s">
        <v>151</v>
      </c>
      <c r="C134" s="27">
        <v>0</v>
      </c>
      <c r="D134" s="28">
        <v>0</v>
      </c>
      <c r="E134" s="29">
        <v>0</v>
      </c>
      <c r="F134" s="27">
        <v>64724</v>
      </c>
      <c r="G134" s="28">
        <v>464742</v>
      </c>
      <c r="H134" s="29">
        <v>0</v>
      </c>
      <c r="I134" s="27">
        <v>0</v>
      </c>
      <c r="J134" s="28">
        <v>400018</v>
      </c>
      <c r="K134" s="29">
        <v>80004</v>
      </c>
      <c r="L134" s="27">
        <v>0</v>
      </c>
      <c r="M134" s="28">
        <v>0</v>
      </c>
      <c r="N134" s="29">
        <v>0</v>
      </c>
      <c r="O134" s="27">
        <v>-64724</v>
      </c>
      <c r="P134" s="28">
        <v>-64724</v>
      </c>
      <c r="Q134" s="29">
        <v>80004</v>
      </c>
      <c r="R134" s="27">
        <v>0</v>
      </c>
      <c r="S134" s="28">
        <v>0</v>
      </c>
      <c r="T134" s="29">
        <v>0</v>
      </c>
      <c r="U134" s="27">
        <v>96933</v>
      </c>
      <c r="V134" s="28">
        <v>229858</v>
      </c>
      <c r="W134" s="29">
        <v>113408</v>
      </c>
      <c r="X134" s="27">
        <v>76269</v>
      </c>
      <c r="Y134" s="28">
        <v>216464</v>
      </c>
      <c r="Z134" s="29">
        <v>105499</v>
      </c>
      <c r="AA134" s="27">
        <v>20664</v>
      </c>
      <c r="AB134" s="28">
        <v>16809</v>
      </c>
      <c r="AC134" s="29">
        <v>8587</v>
      </c>
      <c r="AD134" s="27">
        <v>0</v>
      </c>
      <c r="AE134" s="28">
        <v>3415</v>
      </c>
      <c r="AF134" s="29">
        <v>678</v>
      </c>
      <c r="AG134" s="27">
        <v>26925.310000000005</v>
      </c>
      <c r="AH134" s="28">
        <v>106476.28000000003</v>
      </c>
      <c r="AI134" s="29">
        <v>82449.119999999995</v>
      </c>
      <c r="AJ134" s="27">
        <v>0</v>
      </c>
      <c r="AK134" s="28">
        <v>0</v>
      </c>
      <c r="AL134" s="29">
        <v>0</v>
      </c>
      <c r="AM134" s="27">
        <v>405812.47</v>
      </c>
      <c r="AN134" s="28">
        <v>392372.47</v>
      </c>
      <c r="AO134" s="29">
        <v>-2.0918378140777349E-11</v>
      </c>
      <c r="AP134" s="27">
        <v>0</v>
      </c>
      <c r="AQ134" s="28">
        <v>0</v>
      </c>
      <c r="AR134" s="29">
        <v>0</v>
      </c>
      <c r="AS134" s="24">
        <v>3.2589415612238235E-3</v>
      </c>
      <c r="AT134" s="25">
        <v>1.6070964662867747E-2</v>
      </c>
      <c r="AU134" s="26">
        <v>9.7382767377310574E-3</v>
      </c>
      <c r="AV134" s="24">
        <v>0</v>
      </c>
      <c r="AW134" s="25">
        <v>0</v>
      </c>
      <c r="AX134" s="26">
        <v>0</v>
      </c>
    </row>
    <row r="135" spans="1:50" x14ac:dyDescent="0.2">
      <c r="A135" s="22">
        <v>6404</v>
      </c>
      <c r="B135" s="23" t="s">
        <v>152</v>
      </c>
      <c r="C135" s="27">
        <v>0</v>
      </c>
      <c r="D135" s="28">
        <v>0</v>
      </c>
      <c r="E135" s="29">
        <v>0</v>
      </c>
      <c r="F135" s="27">
        <v>0</v>
      </c>
      <c r="G135" s="28">
        <v>0</v>
      </c>
      <c r="H135" s="29">
        <v>0</v>
      </c>
      <c r="I135" s="27">
        <v>0</v>
      </c>
      <c r="J135" s="28">
        <v>0</v>
      </c>
      <c r="K135" s="29">
        <v>0</v>
      </c>
      <c r="L135" s="27">
        <v>0</v>
      </c>
      <c r="M135" s="28">
        <v>0</v>
      </c>
      <c r="N135" s="29">
        <v>0</v>
      </c>
      <c r="O135" s="27">
        <v>0</v>
      </c>
      <c r="P135" s="28">
        <v>0</v>
      </c>
      <c r="Q135" s="29">
        <v>0</v>
      </c>
      <c r="R135" s="27">
        <v>9556</v>
      </c>
      <c r="S135" s="28">
        <v>85567</v>
      </c>
      <c r="T135" s="29">
        <v>0</v>
      </c>
      <c r="U135" s="27">
        <v>4417934</v>
      </c>
      <c r="V135" s="28">
        <v>8354658</v>
      </c>
      <c r="W135" s="29">
        <v>6208543</v>
      </c>
      <c r="X135" s="27">
        <v>4174676</v>
      </c>
      <c r="Y135" s="28">
        <v>8933967</v>
      </c>
      <c r="Z135" s="29">
        <v>13431062</v>
      </c>
      <c r="AA135" s="27">
        <v>266379</v>
      </c>
      <c r="AB135" s="28">
        <v>-161877</v>
      </c>
      <c r="AC135" s="29">
        <v>571066</v>
      </c>
      <c r="AD135" s="27">
        <v>32677</v>
      </c>
      <c r="AE135" s="28">
        <v>502999</v>
      </c>
      <c r="AF135" s="29">
        <v>7793585</v>
      </c>
      <c r="AG135" s="27">
        <v>32970.820000000298</v>
      </c>
      <c r="AH135" s="28">
        <v>98642.819999999367</v>
      </c>
      <c r="AI135" s="29">
        <v>1027624.3200000003</v>
      </c>
      <c r="AJ135" s="27">
        <v>0</v>
      </c>
      <c r="AK135" s="28">
        <v>0</v>
      </c>
      <c r="AL135" s="29">
        <v>0</v>
      </c>
      <c r="AM135" s="27">
        <v>1229202.5700000003</v>
      </c>
      <c r="AN135" s="28">
        <v>1211883.0399999996</v>
      </c>
      <c r="AO135" s="29">
        <v>14172167.800000001</v>
      </c>
      <c r="AP135" s="27">
        <v>0</v>
      </c>
      <c r="AQ135" s="28">
        <v>0</v>
      </c>
      <c r="AR135" s="29">
        <v>0</v>
      </c>
      <c r="AS135" s="24">
        <v>1.8733850694457595E-4</v>
      </c>
      <c r="AT135" s="25">
        <v>5.8561339343606337E-4</v>
      </c>
      <c r="AU135" s="26">
        <v>5.6174866493416114E-3</v>
      </c>
      <c r="AV135" s="24">
        <v>0</v>
      </c>
      <c r="AW135" s="25">
        <v>0</v>
      </c>
      <c r="AX135" s="26">
        <v>0</v>
      </c>
    </row>
    <row r="136" spans="1:50" x14ac:dyDescent="0.2">
      <c r="A136" s="22">
        <v>6405</v>
      </c>
      <c r="B136" s="23" t="s">
        <v>153</v>
      </c>
      <c r="C136" s="27">
        <v>0</v>
      </c>
      <c r="D136" s="28">
        <v>0</v>
      </c>
      <c r="E136" s="29">
        <v>0</v>
      </c>
      <c r="F136" s="27">
        <v>157407</v>
      </c>
      <c r="G136" s="28">
        <v>419452</v>
      </c>
      <c r="H136" s="29">
        <v>80369</v>
      </c>
      <c r="I136" s="27">
        <v>188409</v>
      </c>
      <c r="J136" s="28">
        <v>502449</v>
      </c>
      <c r="K136" s="29">
        <v>16074</v>
      </c>
      <c r="L136" s="27">
        <v>0</v>
      </c>
      <c r="M136" s="28">
        <v>-1240</v>
      </c>
      <c r="N136" s="29">
        <v>0</v>
      </c>
      <c r="O136" s="27">
        <v>31002</v>
      </c>
      <c r="P136" s="28">
        <v>81757</v>
      </c>
      <c r="Q136" s="29">
        <v>-64295</v>
      </c>
      <c r="R136" s="27">
        <v>0</v>
      </c>
      <c r="S136" s="28">
        <v>0</v>
      </c>
      <c r="T136" s="29">
        <v>0</v>
      </c>
      <c r="U136" s="27">
        <v>426808</v>
      </c>
      <c r="V136" s="28">
        <v>1139913</v>
      </c>
      <c r="W136" s="29">
        <v>646549</v>
      </c>
      <c r="X136" s="27">
        <v>420106</v>
      </c>
      <c r="Y136" s="28">
        <v>2205659</v>
      </c>
      <c r="Z136" s="29">
        <v>949071</v>
      </c>
      <c r="AA136" s="27">
        <v>70000</v>
      </c>
      <c r="AB136" s="28">
        <v>80718</v>
      </c>
      <c r="AC136" s="29">
        <v>-159717</v>
      </c>
      <c r="AD136" s="27">
        <v>63298</v>
      </c>
      <c r="AE136" s="28">
        <v>1146464</v>
      </c>
      <c r="AF136" s="29">
        <v>142805</v>
      </c>
      <c r="AG136" s="27">
        <v>32463.560000000027</v>
      </c>
      <c r="AH136" s="28">
        <v>11377.650000000023</v>
      </c>
      <c r="AI136" s="29">
        <v>271078.76</v>
      </c>
      <c r="AJ136" s="27">
        <v>0</v>
      </c>
      <c r="AK136" s="28">
        <v>0</v>
      </c>
      <c r="AL136" s="29">
        <v>0</v>
      </c>
      <c r="AM136" s="27">
        <v>338270.93</v>
      </c>
      <c r="AN136" s="28">
        <v>1706385.6099999999</v>
      </c>
      <c r="AO136" s="29">
        <v>1576457.5899999999</v>
      </c>
      <c r="AP136" s="27">
        <v>0</v>
      </c>
      <c r="AQ136" s="28">
        <v>0</v>
      </c>
      <c r="AR136" s="29">
        <v>0</v>
      </c>
      <c r="AS136" s="24">
        <v>7.3561117872231294E-4</v>
      </c>
      <c r="AT136" s="25">
        <v>2.704662970037608E-4</v>
      </c>
      <c r="AU136" s="26">
        <v>6.4156059832402535E-3</v>
      </c>
      <c r="AV136" s="24">
        <v>0</v>
      </c>
      <c r="AW136" s="25">
        <v>0</v>
      </c>
      <c r="AX136" s="26">
        <v>0</v>
      </c>
    </row>
    <row r="137" spans="1:50" x14ac:dyDescent="0.2">
      <c r="A137" s="22">
        <v>6406</v>
      </c>
      <c r="B137" s="23" t="s">
        <v>154</v>
      </c>
      <c r="C137" s="27">
        <v>0</v>
      </c>
      <c r="D137" s="28">
        <v>0</v>
      </c>
      <c r="E137" s="29">
        <v>0</v>
      </c>
      <c r="F137" s="27">
        <v>0</v>
      </c>
      <c r="G137" s="28">
        <v>0</v>
      </c>
      <c r="H137" s="29">
        <v>0</v>
      </c>
      <c r="I137" s="27">
        <v>0</v>
      </c>
      <c r="J137" s="28">
        <v>0</v>
      </c>
      <c r="K137" s="29">
        <v>0</v>
      </c>
      <c r="L137" s="27">
        <v>0</v>
      </c>
      <c r="M137" s="28">
        <v>0</v>
      </c>
      <c r="N137" s="29">
        <v>0</v>
      </c>
      <c r="O137" s="27">
        <v>0</v>
      </c>
      <c r="P137" s="28">
        <v>0</v>
      </c>
      <c r="Q137" s="29">
        <v>0</v>
      </c>
      <c r="R137" s="27">
        <v>0</v>
      </c>
      <c r="S137" s="28">
        <v>0</v>
      </c>
      <c r="T137" s="29">
        <v>0</v>
      </c>
      <c r="U137" s="27">
        <v>160621</v>
      </c>
      <c r="V137" s="28">
        <v>378586</v>
      </c>
      <c r="W137" s="29">
        <v>232126</v>
      </c>
      <c r="X137" s="27">
        <v>133352</v>
      </c>
      <c r="Y137" s="28">
        <v>371837</v>
      </c>
      <c r="Z137" s="29">
        <v>315978</v>
      </c>
      <c r="AA137" s="27">
        <v>34524</v>
      </c>
      <c r="AB137" s="28">
        <v>25750</v>
      </c>
      <c r="AC137" s="29">
        <v>30473</v>
      </c>
      <c r="AD137" s="27">
        <v>7255</v>
      </c>
      <c r="AE137" s="28">
        <v>19001</v>
      </c>
      <c r="AF137" s="29">
        <v>114325</v>
      </c>
      <c r="AG137" s="27">
        <v>1468.5299999999997</v>
      </c>
      <c r="AH137" s="28">
        <v>302.15999999999985</v>
      </c>
      <c r="AI137" s="29">
        <v>117</v>
      </c>
      <c r="AJ137" s="27">
        <v>0</v>
      </c>
      <c r="AK137" s="28">
        <v>0</v>
      </c>
      <c r="AL137" s="29">
        <v>0</v>
      </c>
      <c r="AM137" s="27">
        <v>7408</v>
      </c>
      <c r="AN137" s="28">
        <v>3565.6100000000006</v>
      </c>
      <c r="AO137" s="29">
        <v>16843.51999999999</v>
      </c>
      <c r="AP137" s="27">
        <v>0</v>
      </c>
      <c r="AQ137" s="28">
        <v>0</v>
      </c>
      <c r="AR137" s="29">
        <v>0</v>
      </c>
      <c r="AS137" s="24">
        <v>9.3908737535524389E-5</v>
      </c>
      <c r="AT137" s="25">
        <v>2.0319741379240767E-5</v>
      </c>
      <c r="AU137" s="26">
        <v>7.37085738128053E-6</v>
      </c>
      <c r="AV137" s="24">
        <v>0</v>
      </c>
      <c r="AW137" s="25">
        <v>0</v>
      </c>
      <c r="AX137" s="26">
        <v>0</v>
      </c>
    </row>
    <row r="138" spans="1:50" x14ac:dyDescent="0.2">
      <c r="A138" s="22">
        <v>6501</v>
      </c>
      <c r="B138" s="23" t="s">
        <v>155</v>
      </c>
      <c r="C138" s="27">
        <v>0</v>
      </c>
      <c r="D138" s="28">
        <v>0</v>
      </c>
      <c r="E138" s="29">
        <v>0</v>
      </c>
      <c r="F138" s="27">
        <v>256851</v>
      </c>
      <c r="G138" s="28">
        <v>559828</v>
      </c>
      <c r="H138" s="29">
        <v>1853398</v>
      </c>
      <c r="I138" s="27">
        <v>0</v>
      </c>
      <c r="J138" s="28">
        <v>1941800</v>
      </c>
      <c r="K138" s="29">
        <v>153880</v>
      </c>
      <c r="L138" s="27">
        <v>8580</v>
      </c>
      <c r="M138" s="28">
        <v>0</v>
      </c>
      <c r="N138" s="29">
        <v>98959</v>
      </c>
      <c r="O138" s="27">
        <v>-248271</v>
      </c>
      <c r="P138" s="28">
        <v>1381972</v>
      </c>
      <c r="Q138" s="29">
        <v>-1600559</v>
      </c>
      <c r="R138" s="27">
        <v>0</v>
      </c>
      <c r="S138" s="28">
        <v>0</v>
      </c>
      <c r="T138" s="29">
        <v>0</v>
      </c>
      <c r="U138" s="27">
        <v>255917</v>
      </c>
      <c r="V138" s="28">
        <v>573111</v>
      </c>
      <c r="W138" s="29">
        <v>414207</v>
      </c>
      <c r="X138" s="27">
        <v>304055</v>
      </c>
      <c r="Y138" s="28">
        <v>605315</v>
      </c>
      <c r="Z138" s="29">
        <v>387700</v>
      </c>
      <c r="AA138" s="27">
        <v>62680</v>
      </c>
      <c r="AB138" s="28">
        <v>-11729</v>
      </c>
      <c r="AC138" s="29">
        <v>56095</v>
      </c>
      <c r="AD138" s="27">
        <v>110818</v>
      </c>
      <c r="AE138" s="28">
        <v>20475</v>
      </c>
      <c r="AF138" s="29">
        <v>29588</v>
      </c>
      <c r="AG138" s="27">
        <v>2814</v>
      </c>
      <c r="AH138" s="28">
        <v>8784</v>
      </c>
      <c r="AI138" s="29">
        <v>216613.40999999992</v>
      </c>
      <c r="AJ138" s="27">
        <v>0</v>
      </c>
      <c r="AK138" s="28">
        <v>0</v>
      </c>
      <c r="AL138" s="29">
        <v>0</v>
      </c>
      <c r="AM138" s="27">
        <v>599484.07999999996</v>
      </c>
      <c r="AN138" s="28">
        <v>3647952.3</v>
      </c>
      <c r="AO138" s="29">
        <v>2248081.9299999997</v>
      </c>
      <c r="AP138" s="27">
        <v>0</v>
      </c>
      <c r="AQ138" s="28">
        <v>0</v>
      </c>
      <c r="AR138" s="29">
        <v>0</v>
      </c>
      <c r="AS138" s="24">
        <v>1.9320572234978256E-4</v>
      </c>
      <c r="AT138" s="25">
        <v>5.3860786422667002E-4</v>
      </c>
      <c r="AU138" s="26">
        <v>1.6277856632071968E-2</v>
      </c>
      <c r="AV138" s="24">
        <v>0</v>
      </c>
      <c r="AW138" s="25">
        <v>0</v>
      </c>
      <c r="AX138" s="26">
        <v>0</v>
      </c>
    </row>
    <row r="139" spans="1:50" x14ac:dyDescent="0.2">
      <c r="A139" s="22">
        <v>6502</v>
      </c>
      <c r="B139" s="23" t="s">
        <v>156</v>
      </c>
      <c r="C139" s="27">
        <v>0</v>
      </c>
      <c r="D139" s="28">
        <v>47</v>
      </c>
      <c r="E139" s="29">
        <v>0</v>
      </c>
      <c r="F139" s="27">
        <v>0</v>
      </c>
      <c r="G139" s="28">
        <v>1133215</v>
      </c>
      <c r="H139" s="29">
        <v>542142</v>
      </c>
      <c r="I139" s="27">
        <v>7886</v>
      </c>
      <c r="J139" s="28">
        <v>1702134</v>
      </c>
      <c r="K139" s="29">
        <v>0</v>
      </c>
      <c r="L139" s="27">
        <v>-7886</v>
      </c>
      <c r="M139" s="28">
        <v>-7886</v>
      </c>
      <c r="N139" s="29">
        <v>0</v>
      </c>
      <c r="O139" s="27">
        <v>0</v>
      </c>
      <c r="P139" s="28">
        <v>561080</v>
      </c>
      <c r="Q139" s="29">
        <v>-542142</v>
      </c>
      <c r="R139" s="27">
        <v>0</v>
      </c>
      <c r="S139" s="28">
        <v>8</v>
      </c>
      <c r="T139" s="29">
        <v>0</v>
      </c>
      <c r="U139" s="27">
        <v>459641</v>
      </c>
      <c r="V139" s="28">
        <v>1160635</v>
      </c>
      <c r="W139" s="29">
        <v>728699</v>
      </c>
      <c r="X139" s="27">
        <v>411233</v>
      </c>
      <c r="Y139" s="28">
        <v>1134138</v>
      </c>
      <c r="Z139" s="29">
        <v>726891</v>
      </c>
      <c r="AA139" s="27">
        <v>63164</v>
      </c>
      <c r="AB139" s="28">
        <v>50895</v>
      </c>
      <c r="AC139" s="29">
        <v>43844</v>
      </c>
      <c r="AD139" s="27">
        <v>14756</v>
      </c>
      <c r="AE139" s="28">
        <v>24406</v>
      </c>
      <c r="AF139" s="29">
        <v>42036</v>
      </c>
      <c r="AG139" s="27">
        <v>10146.049999999988</v>
      </c>
      <c r="AH139" s="28">
        <v>43901.44000000001</v>
      </c>
      <c r="AI139" s="29">
        <v>48733.510000000024</v>
      </c>
      <c r="AJ139" s="27">
        <v>0</v>
      </c>
      <c r="AK139" s="28">
        <v>0</v>
      </c>
      <c r="AL139" s="29">
        <v>0</v>
      </c>
      <c r="AM139" s="27">
        <v>2332286.19</v>
      </c>
      <c r="AN139" s="28">
        <v>2192281.0300000003</v>
      </c>
      <c r="AO139" s="29">
        <v>2279132.63</v>
      </c>
      <c r="AP139" s="27">
        <v>0</v>
      </c>
      <c r="AQ139" s="28">
        <v>0</v>
      </c>
      <c r="AR139" s="29">
        <v>0</v>
      </c>
      <c r="AS139" s="24">
        <v>4.7886697215642458E-4</v>
      </c>
      <c r="AT139" s="25">
        <v>1.3481276119691507E-3</v>
      </c>
      <c r="AU139" s="26">
        <v>1.6777237672028326E-3</v>
      </c>
      <c r="AV139" s="24">
        <v>0</v>
      </c>
      <c r="AW139" s="25">
        <v>0</v>
      </c>
      <c r="AX139" s="26">
        <v>0</v>
      </c>
    </row>
    <row r="140" spans="1:50" x14ac:dyDescent="0.2">
      <c r="A140" s="22">
        <v>6503</v>
      </c>
      <c r="B140" s="23" t="s">
        <v>157</v>
      </c>
      <c r="C140" s="27">
        <v>0</v>
      </c>
      <c r="D140" s="28">
        <v>0</v>
      </c>
      <c r="E140" s="29">
        <v>0</v>
      </c>
      <c r="F140" s="27">
        <v>0</v>
      </c>
      <c r="G140" s="28">
        <v>55512</v>
      </c>
      <c r="H140" s="29">
        <v>802516</v>
      </c>
      <c r="I140" s="27">
        <v>0</v>
      </c>
      <c r="J140" s="28">
        <v>308747</v>
      </c>
      <c r="K140" s="29">
        <v>619014</v>
      </c>
      <c r="L140" s="27">
        <v>0</v>
      </c>
      <c r="M140" s="28">
        <v>26425</v>
      </c>
      <c r="N140" s="29">
        <v>113245</v>
      </c>
      <c r="O140" s="27">
        <v>0</v>
      </c>
      <c r="P140" s="28">
        <v>279660</v>
      </c>
      <c r="Q140" s="29">
        <v>-70257</v>
      </c>
      <c r="R140" s="27">
        <v>0</v>
      </c>
      <c r="S140" s="28">
        <v>0</v>
      </c>
      <c r="T140" s="29">
        <v>0</v>
      </c>
      <c r="U140" s="27">
        <v>613490</v>
      </c>
      <c r="V140" s="28">
        <v>2494335</v>
      </c>
      <c r="W140" s="29">
        <v>2074592</v>
      </c>
      <c r="X140" s="27">
        <v>503894</v>
      </c>
      <c r="Y140" s="28">
        <v>1784936</v>
      </c>
      <c r="Z140" s="29">
        <v>2930817</v>
      </c>
      <c r="AA140" s="27">
        <v>95570</v>
      </c>
      <c r="AB140" s="28">
        <v>761463</v>
      </c>
      <c r="AC140" s="29">
        <v>-367918</v>
      </c>
      <c r="AD140" s="27">
        <v>-14026</v>
      </c>
      <c r="AE140" s="28">
        <v>52064</v>
      </c>
      <c r="AF140" s="29">
        <v>488307</v>
      </c>
      <c r="AG140" s="27">
        <v>11326.339999999997</v>
      </c>
      <c r="AH140" s="28">
        <v>67543.450000000012</v>
      </c>
      <c r="AI140" s="29">
        <v>451175.80999999994</v>
      </c>
      <c r="AJ140" s="27">
        <v>0</v>
      </c>
      <c r="AK140" s="28">
        <v>0</v>
      </c>
      <c r="AL140" s="29">
        <v>0</v>
      </c>
      <c r="AM140" s="27">
        <v>964278.06</v>
      </c>
      <c r="AN140" s="28">
        <v>5604284.8600000003</v>
      </c>
      <c r="AO140" s="29">
        <v>4630763.75</v>
      </c>
      <c r="AP140" s="27">
        <v>0</v>
      </c>
      <c r="AQ140" s="28">
        <v>0</v>
      </c>
      <c r="AR140" s="29">
        <v>0</v>
      </c>
      <c r="AS140" s="24">
        <v>2.9642897297641342E-4</v>
      </c>
      <c r="AT140" s="25">
        <v>1.9575603239194005E-3</v>
      </c>
      <c r="AU140" s="26">
        <v>1.1220859950936943E-2</v>
      </c>
      <c r="AV140" s="24">
        <v>0</v>
      </c>
      <c r="AW140" s="25">
        <v>0</v>
      </c>
      <c r="AX140" s="26">
        <v>0</v>
      </c>
    </row>
    <row r="141" spans="1:50" x14ac:dyDescent="0.2">
      <c r="A141" s="22">
        <v>6504</v>
      </c>
      <c r="B141" s="23" t="s">
        <v>158</v>
      </c>
      <c r="C141" s="27">
        <v>0</v>
      </c>
      <c r="D141" s="28">
        <v>0</v>
      </c>
      <c r="E141" s="29">
        <v>0</v>
      </c>
      <c r="F141" s="27">
        <v>0</v>
      </c>
      <c r="G141" s="28">
        <v>40707</v>
      </c>
      <c r="H141" s="29">
        <v>114770</v>
      </c>
      <c r="I141" s="27">
        <v>0</v>
      </c>
      <c r="J141" s="28">
        <v>165677</v>
      </c>
      <c r="K141" s="29">
        <v>-10200</v>
      </c>
      <c r="L141" s="27">
        <v>0</v>
      </c>
      <c r="M141" s="28">
        <v>0</v>
      </c>
      <c r="N141" s="29">
        <v>0</v>
      </c>
      <c r="O141" s="27">
        <v>0</v>
      </c>
      <c r="P141" s="28">
        <v>124970</v>
      </c>
      <c r="Q141" s="29">
        <v>-124970</v>
      </c>
      <c r="R141" s="27">
        <v>0</v>
      </c>
      <c r="S141" s="28">
        <v>0</v>
      </c>
      <c r="T141" s="29">
        <v>0</v>
      </c>
      <c r="U141" s="27">
        <v>309351</v>
      </c>
      <c r="V141" s="28">
        <v>1048196</v>
      </c>
      <c r="W141" s="29">
        <v>532952</v>
      </c>
      <c r="X141" s="27">
        <v>217911</v>
      </c>
      <c r="Y141" s="28">
        <v>1058167</v>
      </c>
      <c r="Z141" s="29">
        <v>586260</v>
      </c>
      <c r="AA141" s="27">
        <v>84390</v>
      </c>
      <c r="AB141" s="28">
        <v>-48938</v>
      </c>
      <c r="AC141" s="29">
        <v>-29792</v>
      </c>
      <c r="AD141" s="27">
        <v>-7050</v>
      </c>
      <c r="AE141" s="28">
        <v>-38967</v>
      </c>
      <c r="AF141" s="29">
        <v>23516</v>
      </c>
      <c r="AG141" s="27">
        <v>0</v>
      </c>
      <c r="AH141" s="28">
        <v>20198.630000000005</v>
      </c>
      <c r="AI141" s="29">
        <v>164757.48000000004</v>
      </c>
      <c r="AJ141" s="27">
        <v>0</v>
      </c>
      <c r="AK141" s="28">
        <v>0</v>
      </c>
      <c r="AL141" s="29">
        <v>0</v>
      </c>
      <c r="AM141" s="27">
        <v>332702.92</v>
      </c>
      <c r="AN141" s="28">
        <v>303073.2</v>
      </c>
      <c r="AO141" s="29">
        <v>0</v>
      </c>
      <c r="AP141" s="27">
        <v>0</v>
      </c>
      <c r="AQ141" s="28">
        <v>0</v>
      </c>
      <c r="AR141" s="29">
        <v>0</v>
      </c>
      <c r="AS141" s="24">
        <v>0</v>
      </c>
      <c r="AT141" s="25">
        <v>8.480553339055998E-4</v>
      </c>
      <c r="AU141" s="26">
        <v>6.831991842619619E-3</v>
      </c>
      <c r="AV141" s="24">
        <v>0</v>
      </c>
      <c r="AW141" s="25">
        <v>0</v>
      </c>
      <c r="AX141" s="26">
        <v>0</v>
      </c>
    </row>
    <row r="142" spans="1:50" x14ac:dyDescent="0.2">
      <c r="A142" s="22">
        <v>6505</v>
      </c>
      <c r="B142" s="23" t="s">
        <v>159</v>
      </c>
      <c r="C142" s="27">
        <v>0</v>
      </c>
      <c r="D142" s="28">
        <v>0</v>
      </c>
      <c r="E142" s="29">
        <v>0</v>
      </c>
      <c r="F142" s="27">
        <v>1303662</v>
      </c>
      <c r="G142" s="28">
        <v>1341564</v>
      </c>
      <c r="H142" s="29">
        <v>1160744</v>
      </c>
      <c r="I142" s="27">
        <v>193986</v>
      </c>
      <c r="J142" s="28">
        <v>223808</v>
      </c>
      <c r="K142" s="29">
        <v>1166304</v>
      </c>
      <c r="L142" s="27">
        <v>0</v>
      </c>
      <c r="M142" s="28">
        <v>0</v>
      </c>
      <c r="N142" s="29">
        <v>0</v>
      </c>
      <c r="O142" s="27">
        <v>-1109676</v>
      </c>
      <c r="P142" s="28">
        <v>-1117756</v>
      </c>
      <c r="Q142" s="29">
        <v>5560</v>
      </c>
      <c r="R142" s="27">
        <v>0</v>
      </c>
      <c r="S142" s="28">
        <v>0</v>
      </c>
      <c r="T142" s="29">
        <v>0</v>
      </c>
      <c r="U142" s="27">
        <v>154420</v>
      </c>
      <c r="V142" s="28">
        <v>547812</v>
      </c>
      <c r="W142" s="29">
        <v>572517</v>
      </c>
      <c r="X142" s="27">
        <v>154646</v>
      </c>
      <c r="Y142" s="28">
        <v>488739</v>
      </c>
      <c r="Z142" s="29">
        <v>628332</v>
      </c>
      <c r="AA142" s="27">
        <v>30000</v>
      </c>
      <c r="AB142" s="28">
        <v>49300</v>
      </c>
      <c r="AC142" s="29">
        <v>4300</v>
      </c>
      <c r="AD142" s="27">
        <v>30226</v>
      </c>
      <c r="AE142" s="28">
        <v>-9773</v>
      </c>
      <c r="AF142" s="29">
        <v>60115</v>
      </c>
      <c r="AG142" s="27">
        <v>43000.450000000004</v>
      </c>
      <c r="AH142" s="28">
        <v>188641.55</v>
      </c>
      <c r="AI142" s="29">
        <v>5290.0599999999977</v>
      </c>
      <c r="AJ142" s="27">
        <v>0</v>
      </c>
      <c r="AK142" s="28">
        <v>0</v>
      </c>
      <c r="AL142" s="29">
        <v>0</v>
      </c>
      <c r="AM142" s="27">
        <v>1122909.3400000001</v>
      </c>
      <c r="AN142" s="28">
        <v>125960.17999999988</v>
      </c>
      <c r="AO142" s="29">
        <v>173624.69</v>
      </c>
      <c r="AP142" s="27">
        <v>0</v>
      </c>
      <c r="AQ142" s="28">
        <v>0</v>
      </c>
      <c r="AR142" s="29">
        <v>0</v>
      </c>
      <c r="AS142" s="24">
        <v>3.4746937069349559E-3</v>
      </c>
      <c r="AT142" s="25">
        <v>1.602258891278913E-2</v>
      </c>
      <c r="AU142" s="26">
        <v>3.3722360010604878E-4</v>
      </c>
      <c r="AV142" s="24">
        <v>0</v>
      </c>
      <c r="AW142" s="25">
        <v>0</v>
      </c>
      <c r="AX142" s="26">
        <v>0</v>
      </c>
    </row>
    <row r="143" spans="1:50" x14ac:dyDescent="0.2">
      <c r="A143" s="22">
        <v>6506</v>
      </c>
      <c r="B143" s="23" t="s">
        <v>160</v>
      </c>
      <c r="C143" s="27">
        <v>1177</v>
      </c>
      <c r="D143" s="28">
        <v>1828</v>
      </c>
      <c r="E143" s="29">
        <v>909</v>
      </c>
      <c r="F143" s="27">
        <v>5530</v>
      </c>
      <c r="G143" s="28">
        <v>1449025</v>
      </c>
      <c r="H143" s="29">
        <v>860817</v>
      </c>
      <c r="I143" s="27">
        <v>0</v>
      </c>
      <c r="J143" s="28">
        <v>1910523</v>
      </c>
      <c r="K143" s="29">
        <v>380762</v>
      </c>
      <c r="L143" s="27">
        <v>1404</v>
      </c>
      <c r="M143" s="28">
        <v>397</v>
      </c>
      <c r="N143" s="29">
        <v>-397</v>
      </c>
      <c r="O143" s="27">
        <v>-2949</v>
      </c>
      <c r="P143" s="28">
        <v>463723</v>
      </c>
      <c r="Q143" s="29">
        <v>-479543</v>
      </c>
      <c r="R143" s="27">
        <v>0</v>
      </c>
      <c r="S143" s="28">
        <v>0</v>
      </c>
      <c r="T143" s="29">
        <v>0</v>
      </c>
      <c r="U143" s="27">
        <v>437187</v>
      </c>
      <c r="V143" s="28">
        <v>1030193</v>
      </c>
      <c r="W143" s="29">
        <v>570443</v>
      </c>
      <c r="X143" s="27">
        <v>349177</v>
      </c>
      <c r="Y143" s="28">
        <v>1169117</v>
      </c>
      <c r="Z143" s="29">
        <v>671997</v>
      </c>
      <c r="AA143" s="27">
        <v>87036</v>
      </c>
      <c r="AB143" s="28">
        <v>-184396</v>
      </c>
      <c r="AC143" s="29">
        <v>-13457</v>
      </c>
      <c r="AD143" s="27">
        <v>-974</v>
      </c>
      <c r="AE143" s="28">
        <v>-45472</v>
      </c>
      <c r="AF143" s="29">
        <v>88097</v>
      </c>
      <c r="AG143" s="27">
        <v>763.04000000000087</v>
      </c>
      <c r="AH143" s="28">
        <v>286678.41000000003</v>
      </c>
      <c r="AI143" s="29">
        <v>5.0931703299283981E-11</v>
      </c>
      <c r="AJ143" s="27">
        <v>0</v>
      </c>
      <c r="AK143" s="28">
        <v>0</v>
      </c>
      <c r="AL143" s="29">
        <v>0</v>
      </c>
      <c r="AM143" s="27">
        <v>1773454.75</v>
      </c>
      <c r="AN143" s="28">
        <v>1398971.21</v>
      </c>
      <c r="AO143" s="29">
        <v>1027165.4699999997</v>
      </c>
      <c r="AP143" s="27">
        <v>0</v>
      </c>
      <c r="AQ143" s="28">
        <v>0</v>
      </c>
      <c r="AR143" s="29">
        <v>0</v>
      </c>
      <c r="AS143" s="24">
        <v>2.2018864762807096E-5</v>
      </c>
      <c r="AT143" s="25">
        <v>8.061519226301328E-3</v>
      </c>
      <c r="AU143" s="26">
        <v>1.4568195811537493E-18</v>
      </c>
      <c r="AV143" s="24">
        <v>0</v>
      </c>
      <c r="AW143" s="25">
        <v>0</v>
      </c>
      <c r="AX143" s="26">
        <v>0</v>
      </c>
    </row>
    <row r="144" spans="1:50" x14ac:dyDescent="0.2">
      <c r="A144" s="22">
        <v>6507</v>
      </c>
      <c r="B144" s="23" t="s">
        <v>161</v>
      </c>
      <c r="C144" s="27">
        <v>0</v>
      </c>
      <c r="D144" s="28">
        <v>0</v>
      </c>
      <c r="E144" s="29">
        <v>0</v>
      </c>
      <c r="F144" s="27">
        <v>1355862</v>
      </c>
      <c r="G144" s="28">
        <v>1381735</v>
      </c>
      <c r="H144" s="29">
        <v>1355778</v>
      </c>
      <c r="I144" s="27">
        <v>0</v>
      </c>
      <c r="J144" s="28">
        <v>0</v>
      </c>
      <c r="K144" s="29">
        <v>1355661</v>
      </c>
      <c r="L144" s="27">
        <v>0</v>
      </c>
      <c r="M144" s="28">
        <v>25873</v>
      </c>
      <c r="N144" s="29">
        <v>117</v>
      </c>
      <c r="O144" s="27">
        <v>-1355862</v>
      </c>
      <c r="P144" s="28">
        <v>-1355862</v>
      </c>
      <c r="Q144" s="29">
        <v>0</v>
      </c>
      <c r="R144" s="27">
        <v>0</v>
      </c>
      <c r="S144" s="28">
        <v>0</v>
      </c>
      <c r="T144" s="29">
        <v>0</v>
      </c>
      <c r="U144" s="27">
        <v>378835</v>
      </c>
      <c r="V144" s="28">
        <v>1398744</v>
      </c>
      <c r="W144" s="29">
        <v>1332687</v>
      </c>
      <c r="X144" s="27">
        <v>367008</v>
      </c>
      <c r="Y144" s="28">
        <v>1513069</v>
      </c>
      <c r="Z144" s="29">
        <v>1114456</v>
      </c>
      <c r="AA144" s="27">
        <v>-3463</v>
      </c>
      <c r="AB144" s="28">
        <v>-100800</v>
      </c>
      <c r="AC144" s="29">
        <v>104438</v>
      </c>
      <c r="AD144" s="27">
        <v>-15290</v>
      </c>
      <c r="AE144" s="28">
        <v>13525</v>
      </c>
      <c r="AF144" s="29">
        <v>-113793</v>
      </c>
      <c r="AG144" s="27">
        <v>9153.6199999999953</v>
      </c>
      <c r="AH144" s="28">
        <v>83103.099999999977</v>
      </c>
      <c r="AI144" s="29">
        <v>0</v>
      </c>
      <c r="AJ144" s="27">
        <v>0</v>
      </c>
      <c r="AK144" s="28">
        <v>0</v>
      </c>
      <c r="AL144" s="29">
        <v>0</v>
      </c>
      <c r="AM144" s="27">
        <v>1273976.79</v>
      </c>
      <c r="AN144" s="28">
        <v>437430.37000000023</v>
      </c>
      <c r="AO144" s="29">
        <v>705509.91999999993</v>
      </c>
      <c r="AP144" s="27">
        <v>0</v>
      </c>
      <c r="AQ144" s="28">
        <v>0</v>
      </c>
      <c r="AR144" s="29">
        <v>0</v>
      </c>
      <c r="AS144" s="24">
        <v>5.712530106857577E-4</v>
      </c>
      <c r="AT144" s="25">
        <v>3.9158999728912958E-3</v>
      </c>
      <c r="AU144" s="26">
        <v>0</v>
      </c>
      <c r="AV144" s="24">
        <v>0</v>
      </c>
      <c r="AW144" s="25">
        <v>0</v>
      </c>
      <c r="AX144" s="26">
        <v>0</v>
      </c>
    </row>
    <row r="145" spans="1:50" x14ac:dyDescent="0.2">
      <c r="A145" s="22">
        <v>6508</v>
      </c>
      <c r="B145" s="23" t="s">
        <v>162</v>
      </c>
      <c r="C145" s="27">
        <v>14541</v>
      </c>
      <c r="D145" s="28">
        <v>23912</v>
      </c>
      <c r="E145" s="29">
        <v>9481</v>
      </c>
      <c r="F145" s="27">
        <v>684</v>
      </c>
      <c r="G145" s="28">
        <v>20979</v>
      </c>
      <c r="H145" s="29">
        <v>10440</v>
      </c>
      <c r="I145" s="27">
        <v>0</v>
      </c>
      <c r="J145" s="28">
        <v>0</v>
      </c>
      <c r="K145" s="29">
        <v>0</v>
      </c>
      <c r="L145" s="27">
        <v>0</v>
      </c>
      <c r="M145" s="28">
        <v>0</v>
      </c>
      <c r="N145" s="29">
        <v>0</v>
      </c>
      <c r="O145" s="27">
        <v>13857</v>
      </c>
      <c r="P145" s="28">
        <v>2933</v>
      </c>
      <c r="Q145" s="29">
        <v>-959</v>
      </c>
      <c r="R145" s="27">
        <v>27</v>
      </c>
      <c r="S145" s="28">
        <v>3347</v>
      </c>
      <c r="T145" s="29">
        <v>50</v>
      </c>
      <c r="U145" s="27">
        <v>1232698</v>
      </c>
      <c r="V145" s="28">
        <v>3723917</v>
      </c>
      <c r="W145" s="29">
        <v>4538777</v>
      </c>
      <c r="X145" s="27">
        <v>4801919</v>
      </c>
      <c r="Y145" s="28">
        <v>7994494</v>
      </c>
      <c r="Z145" s="29">
        <v>5202326</v>
      </c>
      <c r="AA145" s="27">
        <v>-2212019</v>
      </c>
      <c r="AB145" s="28">
        <v>-3078176</v>
      </c>
      <c r="AC145" s="29">
        <v>-365000</v>
      </c>
      <c r="AD145" s="27">
        <v>1357229</v>
      </c>
      <c r="AE145" s="28">
        <v>1195748</v>
      </c>
      <c r="AF145" s="29">
        <v>298599</v>
      </c>
      <c r="AG145" s="27">
        <v>638158.43999999994</v>
      </c>
      <c r="AH145" s="28">
        <v>129585.89999999979</v>
      </c>
      <c r="AI145" s="29">
        <v>651991.92000000004</v>
      </c>
      <c r="AJ145" s="27">
        <v>0</v>
      </c>
      <c r="AK145" s="28">
        <v>0</v>
      </c>
      <c r="AL145" s="29">
        <v>0</v>
      </c>
      <c r="AM145" s="27">
        <v>563518.32999999996</v>
      </c>
      <c r="AN145" s="28">
        <v>1503566.2899999998</v>
      </c>
      <c r="AO145" s="29">
        <v>10643911.890000001</v>
      </c>
      <c r="AP145" s="27">
        <v>0</v>
      </c>
      <c r="AQ145" s="28">
        <v>0</v>
      </c>
      <c r="AR145" s="29">
        <v>0</v>
      </c>
      <c r="AS145" s="24">
        <v>3.0858423170662857E-3</v>
      </c>
      <c r="AT145" s="25">
        <v>6.0964228780928441E-4</v>
      </c>
      <c r="AU145" s="26">
        <v>2.8684525565640007E-3</v>
      </c>
      <c r="AV145" s="24">
        <v>0</v>
      </c>
      <c r="AW145" s="25">
        <v>0</v>
      </c>
      <c r="AX145" s="26">
        <v>0</v>
      </c>
    </row>
    <row r="146" spans="1:50" x14ac:dyDescent="0.2">
      <c r="A146" s="22">
        <v>6509</v>
      </c>
      <c r="B146" s="23" t="s">
        <v>163</v>
      </c>
      <c r="C146" s="27">
        <v>0</v>
      </c>
      <c r="D146" s="28">
        <v>0</v>
      </c>
      <c r="E146" s="29">
        <v>0</v>
      </c>
      <c r="F146" s="27">
        <v>0</v>
      </c>
      <c r="G146" s="28">
        <v>0</v>
      </c>
      <c r="H146" s="29">
        <v>0</v>
      </c>
      <c r="I146" s="27">
        <v>56396</v>
      </c>
      <c r="J146" s="28">
        <v>56395</v>
      </c>
      <c r="K146" s="29">
        <v>0</v>
      </c>
      <c r="L146" s="27">
        <v>-15912</v>
      </c>
      <c r="M146" s="28">
        <v>-15912</v>
      </c>
      <c r="N146" s="29">
        <v>0</v>
      </c>
      <c r="O146" s="27">
        <v>40484</v>
      </c>
      <c r="P146" s="28">
        <v>40483</v>
      </c>
      <c r="Q146" s="29">
        <v>0</v>
      </c>
      <c r="R146" s="27">
        <v>0</v>
      </c>
      <c r="S146" s="28">
        <v>0</v>
      </c>
      <c r="T146" s="29">
        <v>0</v>
      </c>
      <c r="U146" s="27">
        <v>309908</v>
      </c>
      <c r="V146" s="28">
        <v>617254</v>
      </c>
      <c r="W146" s="29">
        <v>1228111</v>
      </c>
      <c r="X146" s="27">
        <v>226605</v>
      </c>
      <c r="Y146" s="28">
        <v>809920</v>
      </c>
      <c r="Z146" s="29">
        <v>1101077</v>
      </c>
      <c r="AA146" s="27">
        <v>64001</v>
      </c>
      <c r="AB146" s="28">
        <v>-170000</v>
      </c>
      <c r="AC146" s="29">
        <v>8669</v>
      </c>
      <c r="AD146" s="27">
        <v>-19302</v>
      </c>
      <c r="AE146" s="28">
        <v>22666</v>
      </c>
      <c r="AF146" s="29">
        <v>-118365</v>
      </c>
      <c r="AG146" s="27">
        <v>16009.440000000002</v>
      </c>
      <c r="AH146" s="28">
        <v>0</v>
      </c>
      <c r="AI146" s="29">
        <v>77704.660000000033</v>
      </c>
      <c r="AJ146" s="27">
        <v>0</v>
      </c>
      <c r="AK146" s="28">
        <v>0</v>
      </c>
      <c r="AL146" s="29">
        <v>0</v>
      </c>
      <c r="AM146" s="27">
        <v>79024.510000000009</v>
      </c>
      <c r="AN146" s="28">
        <v>1820071.95</v>
      </c>
      <c r="AO146" s="29">
        <v>2406636.44</v>
      </c>
      <c r="AP146" s="27">
        <v>0</v>
      </c>
      <c r="AQ146" s="28">
        <v>0</v>
      </c>
      <c r="AR146" s="29">
        <v>0</v>
      </c>
      <c r="AS146" s="24">
        <v>9.6467090104317664E-4</v>
      </c>
      <c r="AT146" s="25">
        <v>0</v>
      </c>
      <c r="AU146" s="26">
        <v>4.5588591449806292E-3</v>
      </c>
      <c r="AV146" s="24">
        <v>0</v>
      </c>
      <c r="AW146" s="25">
        <v>0</v>
      </c>
      <c r="AX146" s="26">
        <v>0</v>
      </c>
    </row>
    <row r="147" spans="1:50" x14ac:dyDescent="0.2">
      <c r="A147" s="22">
        <v>6510</v>
      </c>
      <c r="B147" s="23" t="s">
        <v>164</v>
      </c>
      <c r="C147" s="27">
        <v>7710</v>
      </c>
      <c r="D147" s="28">
        <v>15946</v>
      </c>
      <c r="E147" s="29">
        <v>7790</v>
      </c>
      <c r="F147" s="27">
        <v>955597</v>
      </c>
      <c r="G147" s="28">
        <v>955597</v>
      </c>
      <c r="H147" s="29">
        <v>1332959</v>
      </c>
      <c r="I147" s="27">
        <v>96412</v>
      </c>
      <c r="J147" s="28">
        <v>354761</v>
      </c>
      <c r="K147" s="29">
        <v>1336775</v>
      </c>
      <c r="L147" s="27">
        <v>-98466</v>
      </c>
      <c r="M147" s="28">
        <v>-357173</v>
      </c>
      <c r="N147" s="29">
        <v>6250</v>
      </c>
      <c r="O147" s="27">
        <v>-949941</v>
      </c>
      <c r="P147" s="28">
        <v>-942063</v>
      </c>
      <c r="Q147" s="29">
        <v>17856</v>
      </c>
      <c r="R147" s="27">
        <v>0</v>
      </c>
      <c r="S147" s="28">
        <v>0</v>
      </c>
      <c r="T147" s="29">
        <v>0</v>
      </c>
      <c r="U147" s="27">
        <v>2886337</v>
      </c>
      <c r="V147" s="28">
        <v>6417911</v>
      </c>
      <c r="W147" s="29">
        <v>3905041</v>
      </c>
      <c r="X147" s="27">
        <v>2939832</v>
      </c>
      <c r="Y147" s="28">
        <v>6212799</v>
      </c>
      <c r="Z147" s="29">
        <v>3789987</v>
      </c>
      <c r="AA147" s="27">
        <v>102746</v>
      </c>
      <c r="AB147" s="28">
        <v>245196</v>
      </c>
      <c r="AC147" s="29">
        <v>604898</v>
      </c>
      <c r="AD147" s="27">
        <v>156241</v>
      </c>
      <c r="AE147" s="28">
        <v>40084</v>
      </c>
      <c r="AF147" s="29">
        <v>489844</v>
      </c>
      <c r="AG147" s="27">
        <v>40060.880000000005</v>
      </c>
      <c r="AH147" s="28">
        <v>1397358.96</v>
      </c>
      <c r="AI147" s="29">
        <v>24343.19999999991</v>
      </c>
      <c r="AJ147" s="27">
        <v>0</v>
      </c>
      <c r="AK147" s="28">
        <v>0</v>
      </c>
      <c r="AL147" s="29">
        <v>0</v>
      </c>
      <c r="AM147" s="27">
        <v>3581620.44</v>
      </c>
      <c r="AN147" s="28">
        <v>10594495.069999998</v>
      </c>
      <c r="AO147" s="29">
        <v>9843805.6699999981</v>
      </c>
      <c r="AP147" s="27">
        <v>0</v>
      </c>
      <c r="AQ147" s="28">
        <v>0</v>
      </c>
      <c r="AR147" s="29">
        <v>0</v>
      </c>
      <c r="AS147" s="24">
        <v>9.6062573680425747E-4</v>
      </c>
      <c r="AT147" s="25">
        <v>3.1357965685694239E-2</v>
      </c>
      <c r="AU147" s="26">
        <v>4.9600113449929032E-4</v>
      </c>
      <c r="AV147" s="24">
        <v>0</v>
      </c>
      <c r="AW147" s="25">
        <v>0</v>
      </c>
      <c r="AX147" s="26">
        <v>0</v>
      </c>
    </row>
    <row r="148" spans="1:50" x14ac:dyDescent="0.2">
      <c r="A148" s="22">
        <v>6511</v>
      </c>
      <c r="B148" s="23" t="s">
        <v>165</v>
      </c>
      <c r="C148" s="27">
        <v>15853</v>
      </c>
      <c r="D148" s="28">
        <v>29192</v>
      </c>
      <c r="E148" s="29">
        <v>13730</v>
      </c>
      <c r="F148" s="27">
        <v>511869</v>
      </c>
      <c r="G148" s="28">
        <v>2971694</v>
      </c>
      <c r="H148" s="29">
        <v>13730</v>
      </c>
      <c r="I148" s="27">
        <v>496016</v>
      </c>
      <c r="J148" s="28">
        <v>2942502</v>
      </c>
      <c r="K148" s="29">
        <v>0</v>
      </c>
      <c r="L148" s="27">
        <v>0</v>
      </c>
      <c r="M148" s="28">
        <v>0</v>
      </c>
      <c r="N148" s="29">
        <v>0</v>
      </c>
      <c r="O148" s="27">
        <v>0</v>
      </c>
      <c r="P148" s="28">
        <v>0</v>
      </c>
      <c r="Q148" s="29">
        <v>0</v>
      </c>
      <c r="R148" s="27">
        <v>0</v>
      </c>
      <c r="S148" s="28">
        <v>0</v>
      </c>
      <c r="T148" s="29">
        <v>0</v>
      </c>
      <c r="U148" s="27">
        <v>533788</v>
      </c>
      <c r="V148" s="28">
        <v>2191289</v>
      </c>
      <c r="W148" s="29">
        <v>2576342</v>
      </c>
      <c r="X148" s="27">
        <v>654894</v>
      </c>
      <c r="Y148" s="28">
        <v>2214835</v>
      </c>
      <c r="Z148" s="29">
        <v>2625774</v>
      </c>
      <c r="AA148" s="27">
        <v>38809</v>
      </c>
      <c r="AB148" s="28">
        <v>20142</v>
      </c>
      <c r="AC148" s="29">
        <v>36375</v>
      </c>
      <c r="AD148" s="27">
        <v>159915</v>
      </c>
      <c r="AE148" s="28">
        <v>43688</v>
      </c>
      <c r="AF148" s="29">
        <v>85807</v>
      </c>
      <c r="AG148" s="27">
        <v>1777378.95</v>
      </c>
      <c r="AH148" s="28">
        <v>20867.199999999953</v>
      </c>
      <c r="AI148" s="29">
        <v>46982.540000000037</v>
      </c>
      <c r="AJ148" s="27">
        <v>0</v>
      </c>
      <c r="AK148" s="28">
        <v>0</v>
      </c>
      <c r="AL148" s="29">
        <v>0</v>
      </c>
      <c r="AM148" s="27">
        <v>4228277.18</v>
      </c>
      <c r="AN148" s="28">
        <v>2295050.13</v>
      </c>
      <c r="AO148" s="29">
        <v>6833494.8200000003</v>
      </c>
      <c r="AP148" s="27">
        <v>0</v>
      </c>
      <c r="AQ148" s="28">
        <v>0</v>
      </c>
      <c r="AR148" s="29">
        <v>0</v>
      </c>
      <c r="AS148" s="24">
        <v>5.7002831381549608E-2</v>
      </c>
      <c r="AT148" s="25">
        <v>5.6401805781093064E-4</v>
      </c>
      <c r="AU148" s="26">
        <v>1.7357383992776068E-3</v>
      </c>
      <c r="AV148" s="24">
        <v>0</v>
      </c>
      <c r="AW148" s="25">
        <v>0</v>
      </c>
      <c r="AX148" s="26">
        <v>0</v>
      </c>
    </row>
    <row r="149" spans="1:50" x14ac:dyDescent="0.2">
      <c r="A149" s="22">
        <v>6601</v>
      </c>
      <c r="B149" s="23" t="s">
        <v>166</v>
      </c>
      <c r="C149" s="27">
        <v>0</v>
      </c>
      <c r="D149" s="28">
        <v>0</v>
      </c>
      <c r="E149" s="29">
        <v>0</v>
      </c>
      <c r="F149" s="27">
        <v>0</v>
      </c>
      <c r="G149" s="28">
        <v>0</v>
      </c>
      <c r="H149" s="29">
        <v>99894</v>
      </c>
      <c r="I149" s="27">
        <v>0</v>
      </c>
      <c r="J149" s="28">
        <v>94741</v>
      </c>
      <c r="K149" s="29">
        <v>284029</v>
      </c>
      <c r="L149" s="27">
        <v>0</v>
      </c>
      <c r="M149" s="28">
        <v>0</v>
      </c>
      <c r="N149" s="29">
        <v>60000</v>
      </c>
      <c r="O149" s="27">
        <v>0</v>
      </c>
      <c r="P149" s="28">
        <v>94741</v>
      </c>
      <c r="Q149" s="29">
        <v>244135</v>
      </c>
      <c r="R149" s="27">
        <v>44988</v>
      </c>
      <c r="S149" s="28">
        <v>44988</v>
      </c>
      <c r="T149" s="29">
        <v>314</v>
      </c>
      <c r="U149" s="27">
        <v>5053489</v>
      </c>
      <c r="V149" s="28">
        <v>10104028</v>
      </c>
      <c r="W149" s="29">
        <v>8452763</v>
      </c>
      <c r="X149" s="27">
        <v>5719129</v>
      </c>
      <c r="Y149" s="28">
        <v>10699921</v>
      </c>
      <c r="Z149" s="29">
        <v>13318794</v>
      </c>
      <c r="AA149" s="27">
        <v>109074</v>
      </c>
      <c r="AB149" s="28">
        <v>-237702</v>
      </c>
      <c r="AC149" s="29">
        <v>1065900</v>
      </c>
      <c r="AD149" s="27">
        <v>819702</v>
      </c>
      <c r="AE149" s="28">
        <v>403179</v>
      </c>
      <c r="AF149" s="29">
        <v>5932245</v>
      </c>
      <c r="AG149" s="27">
        <v>2720567.4200000009</v>
      </c>
      <c r="AH149" s="28">
        <v>1432029.1199999969</v>
      </c>
      <c r="AI149" s="29">
        <v>1841856.6099999994</v>
      </c>
      <c r="AJ149" s="27">
        <v>0</v>
      </c>
      <c r="AK149" s="28">
        <v>0</v>
      </c>
      <c r="AL149" s="29">
        <v>0</v>
      </c>
      <c r="AM149" s="27">
        <v>18170107.079999998</v>
      </c>
      <c r="AN149" s="28">
        <v>23324306.16</v>
      </c>
      <c r="AO149" s="29">
        <v>42157123.010000005</v>
      </c>
      <c r="AP149" s="27">
        <v>0</v>
      </c>
      <c r="AQ149" s="28">
        <v>0</v>
      </c>
      <c r="AR149" s="29">
        <v>0</v>
      </c>
      <c r="AS149" s="24">
        <v>2.507644711801937E-2</v>
      </c>
      <c r="AT149" s="25">
        <v>1.505693788297215E-2</v>
      </c>
      <c r="AU149" s="26">
        <v>1.5542194537672988E-2</v>
      </c>
      <c r="AV149" s="24">
        <v>0</v>
      </c>
      <c r="AW149" s="25">
        <v>0</v>
      </c>
      <c r="AX149" s="26">
        <v>0</v>
      </c>
    </row>
    <row r="150" spans="1:50" x14ac:dyDescent="0.2">
      <c r="A150" s="22">
        <v>6602</v>
      </c>
      <c r="B150" s="23" t="s">
        <v>167</v>
      </c>
      <c r="C150" s="27">
        <v>0</v>
      </c>
      <c r="D150" s="28">
        <v>0</v>
      </c>
      <c r="E150" s="29">
        <v>0</v>
      </c>
      <c r="F150" s="27">
        <v>1706572</v>
      </c>
      <c r="G150" s="28">
        <v>1739452</v>
      </c>
      <c r="H150" s="29">
        <v>649578</v>
      </c>
      <c r="I150" s="27">
        <v>346828</v>
      </c>
      <c r="J150" s="28">
        <v>346828</v>
      </c>
      <c r="K150" s="29">
        <v>410932</v>
      </c>
      <c r="L150" s="27">
        <v>0</v>
      </c>
      <c r="M150" s="28">
        <v>0</v>
      </c>
      <c r="N150" s="29">
        <v>235000</v>
      </c>
      <c r="O150" s="27">
        <v>-1359744</v>
      </c>
      <c r="P150" s="28">
        <v>-1392624</v>
      </c>
      <c r="Q150" s="29">
        <v>-3646</v>
      </c>
      <c r="R150" s="27">
        <v>0</v>
      </c>
      <c r="S150" s="28">
        <v>0</v>
      </c>
      <c r="T150" s="29">
        <v>0</v>
      </c>
      <c r="U150" s="27">
        <v>71545</v>
      </c>
      <c r="V150" s="28">
        <v>260418</v>
      </c>
      <c r="W150" s="29">
        <v>181969</v>
      </c>
      <c r="X150" s="27">
        <v>72601</v>
      </c>
      <c r="Y150" s="28">
        <v>297395</v>
      </c>
      <c r="Z150" s="29">
        <v>211647</v>
      </c>
      <c r="AA150" s="27">
        <v>509</v>
      </c>
      <c r="AB150" s="28">
        <v>0</v>
      </c>
      <c r="AC150" s="29">
        <v>103</v>
      </c>
      <c r="AD150" s="27">
        <v>1565</v>
      </c>
      <c r="AE150" s="28">
        <v>36977</v>
      </c>
      <c r="AF150" s="29">
        <v>29781</v>
      </c>
      <c r="AG150" s="27">
        <v>41011.52999999997</v>
      </c>
      <c r="AH150" s="28">
        <v>31032.490000000005</v>
      </c>
      <c r="AI150" s="29">
        <v>15796.120000000054</v>
      </c>
      <c r="AJ150" s="27">
        <v>0</v>
      </c>
      <c r="AK150" s="28">
        <v>0</v>
      </c>
      <c r="AL150" s="29">
        <v>0</v>
      </c>
      <c r="AM150" s="27">
        <v>3142091.74</v>
      </c>
      <c r="AN150" s="28">
        <v>3221715.94</v>
      </c>
      <c r="AO150" s="29">
        <v>3279766.4499999997</v>
      </c>
      <c r="AP150" s="27">
        <v>0</v>
      </c>
      <c r="AQ150" s="28">
        <v>0</v>
      </c>
      <c r="AR150" s="29">
        <v>0</v>
      </c>
      <c r="AS150" s="24">
        <v>2.2885779666433634E-3</v>
      </c>
      <c r="AT150" s="25">
        <v>1.7309863644025757E-3</v>
      </c>
      <c r="AU150" s="26">
        <v>7.8496839676442289E-4</v>
      </c>
      <c r="AV150" s="24">
        <v>0</v>
      </c>
      <c r="AW150" s="25">
        <v>0</v>
      </c>
      <c r="AX150" s="26">
        <v>0</v>
      </c>
    </row>
    <row r="151" spans="1:50" x14ac:dyDescent="0.2">
      <c r="A151" s="22">
        <v>6603</v>
      </c>
      <c r="B151" s="23" t="s">
        <v>168</v>
      </c>
      <c r="C151" s="27">
        <v>0</v>
      </c>
      <c r="D151" s="28">
        <v>0</v>
      </c>
      <c r="E151" s="29">
        <v>0</v>
      </c>
      <c r="F151" s="27">
        <v>0</v>
      </c>
      <c r="G151" s="28">
        <v>0</v>
      </c>
      <c r="H151" s="29">
        <v>0</v>
      </c>
      <c r="I151" s="27">
        <v>0</v>
      </c>
      <c r="J151" s="28">
        <v>0</v>
      </c>
      <c r="K151" s="29">
        <v>0</v>
      </c>
      <c r="L151" s="27">
        <v>0</v>
      </c>
      <c r="M151" s="28">
        <v>0</v>
      </c>
      <c r="N151" s="29">
        <v>0</v>
      </c>
      <c r="O151" s="27">
        <v>0</v>
      </c>
      <c r="P151" s="28">
        <v>0</v>
      </c>
      <c r="Q151" s="29">
        <v>0</v>
      </c>
      <c r="R151" s="27">
        <v>0</v>
      </c>
      <c r="S151" s="28">
        <v>0</v>
      </c>
      <c r="T151" s="29">
        <v>0</v>
      </c>
      <c r="U151" s="27">
        <v>333540</v>
      </c>
      <c r="V151" s="28">
        <v>835173</v>
      </c>
      <c r="W151" s="29">
        <v>580729</v>
      </c>
      <c r="X151" s="27">
        <v>436888</v>
      </c>
      <c r="Y151" s="28">
        <v>849868</v>
      </c>
      <c r="Z151" s="29">
        <v>745445</v>
      </c>
      <c r="AA151" s="27">
        <v>73444</v>
      </c>
      <c r="AB151" s="28">
        <v>35837</v>
      </c>
      <c r="AC151" s="29">
        <v>-112755</v>
      </c>
      <c r="AD151" s="27">
        <v>176792</v>
      </c>
      <c r="AE151" s="28">
        <v>50532</v>
      </c>
      <c r="AF151" s="29">
        <v>51961</v>
      </c>
      <c r="AG151" s="27">
        <v>0</v>
      </c>
      <c r="AH151" s="28">
        <v>121223.40000000002</v>
      </c>
      <c r="AI151" s="29">
        <v>15528.200000000012</v>
      </c>
      <c r="AJ151" s="27">
        <v>44.5</v>
      </c>
      <c r="AK151" s="28">
        <v>44.5</v>
      </c>
      <c r="AL151" s="29">
        <v>44.5</v>
      </c>
      <c r="AM151" s="27">
        <v>144753.06</v>
      </c>
      <c r="AN151" s="28">
        <v>233623.62</v>
      </c>
      <c r="AO151" s="29">
        <v>89581.429999999964</v>
      </c>
      <c r="AP151" s="27">
        <v>0</v>
      </c>
      <c r="AQ151" s="28">
        <v>0</v>
      </c>
      <c r="AR151" s="29">
        <v>0</v>
      </c>
      <c r="AS151" s="24">
        <v>0</v>
      </c>
      <c r="AT151" s="25">
        <v>5.6223990988087834E-3</v>
      </c>
      <c r="AU151" s="26">
        <v>6.1726932598937573E-4</v>
      </c>
      <c r="AV151" s="24">
        <v>0</v>
      </c>
      <c r="AW151" s="25">
        <v>0</v>
      </c>
      <c r="AX151" s="26">
        <v>0</v>
      </c>
    </row>
    <row r="152" spans="1:50" x14ac:dyDescent="0.2">
      <c r="A152" s="22">
        <v>6604</v>
      </c>
      <c r="B152" s="23" t="s">
        <v>169</v>
      </c>
      <c r="C152" s="27">
        <v>0</v>
      </c>
      <c r="D152" s="28">
        <v>0</v>
      </c>
      <c r="E152" s="29">
        <v>0</v>
      </c>
      <c r="F152" s="27">
        <v>50828</v>
      </c>
      <c r="G152" s="28">
        <v>720797</v>
      </c>
      <c r="H152" s="29">
        <v>460</v>
      </c>
      <c r="I152" s="27">
        <v>0</v>
      </c>
      <c r="J152" s="28">
        <v>733117</v>
      </c>
      <c r="K152" s="29">
        <v>0</v>
      </c>
      <c r="L152" s="27">
        <v>0</v>
      </c>
      <c r="M152" s="28">
        <v>-68872</v>
      </c>
      <c r="N152" s="29">
        <v>0</v>
      </c>
      <c r="O152" s="27">
        <v>-50828</v>
      </c>
      <c r="P152" s="28">
        <v>-56552</v>
      </c>
      <c r="Q152" s="29">
        <v>-460</v>
      </c>
      <c r="R152" s="27">
        <v>0</v>
      </c>
      <c r="S152" s="28">
        <v>0</v>
      </c>
      <c r="T152" s="29">
        <v>0</v>
      </c>
      <c r="U152" s="27">
        <v>1343946</v>
      </c>
      <c r="V152" s="28">
        <v>2597387</v>
      </c>
      <c r="W152" s="29">
        <v>1072387</v>
      </c>
      <c r="X152" s="27">
        <v>2099736</v>
      </c>
      <c r="Y152" s="28">
        <v>3782152</v>
      </c>
      <c r="Z152" s="29">
        <v>1243933</v>
      </c>
      <c r="AA152" s="27">
        <v>0</v>
      </c>
      <c r="AB152" s="28">
        <v>-1074234</v>
      </c>
      <c r="AC152" s="29">
        <v>0</v>
      </c>
      <c r="AD152" s="27">
        <v>755790</v>
      </c>
      <c r="AE152" s="28">
        <v>110531</v>
      </c>
      <c r="AF152" s="29">
        <v>171546</v>
      </c>
      <c r="AG152" s="27">
        <v>785625.57999999984</v>
      </c>
      <c r="AH152" s="28">
        <v>399697.18999999983</v>
      </c>
      <c r="AI152" s="29">
        <v>415273.62</v>
      </c>
      <c r="AJ152" s="27">
        <v>0</v>
      </c>
      <c r="AK152" s="28">
        <v>0</v>
      </c>
      <c r="AL152" s="29">
        <v>0</v>
      </c>
      <c r="AM152" s="27">
        <v>4554165.4300000006</v>
      </c>
      <c r="AN152" s="28">
        <v>12747410.620000001</v>
      </c>
      <c r="AO152" s="29">
        <v>12959727.33</v>
      </c>
      <c r="AP152" s="27">
        <v>0</v>
      </c>
      <c r="AQ152" s="28">
        <v>0</v>
      </c>
      <c r="AR152" s="29">
        <v>0</v>
      </c>
      <c r="AS152" s="24">
        <v>7.1448718474449993E-3</v>
      </c>
      <c r="AT152" s="25">
        <v>4.0935928911376629E-3</v>
      </c>
      <c r="AU152" s="26">
        <v>3.5339197771887556E-3</v>
      </c>
      <c r="AV152" s="24">
        <v>0</v>
      </c>
      <c r="AW152" s="25">
        <v>0</v>
      </c>
      <c r="AX152" s="26">
        <v>0</v>
      </c>
    </row>
    <row r="153" spans="1:50" x14ac:dyDescent="0.2">
      <c r="A153" s="22">
        <v>6605</v>
      </c>
      <c r="B153" s="23" t="s">
        <v>170</v>
      </c>
      <c r="C153" s="27">
        <v>0</v>
      </c>
      <c r="D153" s="28">
        <v>0</v>
      </c>
      <c r="E153" s="29">
        <v>0</v>
      </c>
      <c r="F153" s="27">
        <v>0</v>
      </c>
      <c r="G153" s="28">
        <v>0</v>
      </c>
      <c r="H153" s="29">
        <v>1175279</v>
      </c>
      <c r="I153" s="27">
        <v>0</v>
      </c>
      <c r="J153" s="28">
        <v>0</v>
      </c>
      <c r="K153" s="29">
        <v>1174740</v>
      </c>
      <c r="L153" s="27">
        <v>0</v>
      </c>
      <c r="M153" s="28">
        <v>0</v>
      </c>
      <c r="N153" s="29">
        <v>0</v>
      </c>
      <c r="O153" s="27">
        <v>0</v>
      </c>
      <c r="P153" s="28">
        <v>0</v>
      </c>
      <c r="Q153" s="29">
        <v>-539</v>
      </c>
      <c r="R153" s="27">
        <v>0</v>
      </c>
      <c r="S153" s="28">
        <v>0</v>
      </c>
      <c r="T153" s="29">
        <v>0</v>
      </c>
      <c r="U153" s="27">
        <v>94634</v>
      </c>
      <c r="V153" s="28">
        <v>322880</v>
      </c>
      <c r="W153" s="29">
        <v>255830</v>
      </c>
      <c r="X153" s="27">
        <v>77841</v>
      </c>
      <c r="Y153" s="28">
        <v>308721</v>
      </c>
      <c r="Z153" s="29">
        <v>261739</v>
      </c>
      <c r="AA153" s="27">
        <v>28602</v>
      </c>
      <c r="AB153" s="28">
        <v>13030</v>
      </c>
      <c r="AC153" s="29">
        <v>-1114</v>
      </c>
      <c r="AD153" s="27">
        <v>11809</v>
      </c>
      <c r="AE153" s="28">
        <v>-1129</v>
      </c>
      <c r="AF153" s="29">
        <v>4795</v>
      </c>
      <c r="AG153" s="27">
        <v>17668.7</v>
      </c>
      <c r="AH153" s="28">
        <v>20792.569999999992</v>
      </c>
      <c r="AI153" s="29">
        <v>13143.770000000004</v>
      </c>
      <c r="AJ153" s="27">
        <v>0</v>
      </c>
      <c r="AK153" s="28">
        <v>0</v>
      </c>
      <c r="AL153" s="29">
        <v>0</v>
      </c>
      <c r="AM153" s="27">
        <v>0</v>
      </c>
      <c r="AN153" s="28">
        <v>80596.199999999983</v>
      </c>
      <c r="AO153" s="29">
        <v>1365277.34</v>
      </c>
      <c r="AP153" s="27">
        <v>0</v>
      </c>
      <c r="AQ153" s="28">
        <v>0</v>
      </c>
      <c r="AR153" s="29">
        <v>0</v>
      </c>
      <c r="AS153" s="24">
        <v>1.4248049619439416E-3</v>
      </c>
      <c r="AT153" s="25">
        <v>1.7787288442762672E-3</v>
      </c>
      <c r="AU153" s="26">
        <v>9.3059873365839276E-4</v>
      </c>
      <c r="AV153" s="24">
        <v>0</v>
      </c>
      <c r="AW153" s="25">
        <v>0</v>
      </c>
      <c r="AX153" s="26">
        <v>0</v>
      </c>
    </row>
    <row r="154" spans="1:50" x14ac:dyDescent="0.2">
      <c r="A154" s="22">
        <v>6606</v>
      </c>
      <c r="B154" s="23" t="s">
        <v>171</v>
      </c>
      <c r="C154" s="27">
        <v>0</v>
      </c>
      <c r="D154" s="28">
        <v>0</v>
      </c>
      <c r="E154" s="29">
        <v>0</v>
      </c>
      <c r="F154" s="27">
        <v>0</v>
      </c>
      <c r="G154" s="28">
        <v>0</v>
      </c>
      <c r="H154" s="29">
        <v>0</v>
      </c>
      <c r="I154" s="27">
        <v>0</v>
      </c>
      <c r="J154" s="28">
        <v>0</v>
      </c>
      <c r="K154" s="29">
        <v>0</v>
      </c>
      <c r="L154" s="27">
        <v>0</v>
      </c>
      <c r="M154" s="28">
        <v>0</v>
      </c>
      <c r="N154" s="29">
        <v>0</v>
      </c>
      <c r="O154" s="27">
        <v>0</v>
      </c>
      <c r="P154" s="28">
        <v>0</v>
      </c>
      <c r="Q154" s="29">
        <v>0</v>
      </c>
      <c r="R154" s="27">
        <v>0</v>
      </c>
      <c r="S154" s="28">
        <v>0</v>
      </c>
      <c r="T154" s="29">
        <v>0</v>
      </c>
      <c r="U154" s="27">
        <v>0</v>
      </c>
      <c r="V154" s="28">
        <v>0</v>
      </c>
      <c r="W154" s="29">
        <v>0</v>
      </c>
      <c r="X154" s="27">
        <v>0</v>
      </c>
      <c r="Y154" s="28">
        <v>0</v>
      </c>
      <c r="Z154" s="29">
        <v>0</v>
      </c>
      <c r="AA154" s="27">
        <v>0</v>
      </c>
      <c r="AB154" s="28">
        <v>0</v>
      </c>
      <c r="AC154" s="29">
        <v>0</v>
      </c>
      <c r="AD154" s="27">
        <v>0</v>
      </c>
      <c r="AE154" s="28">
        <v>0</v>
      </c>
      <c r="AF154" s="29">
        <v>0</v>
      </c>
      <c r="AG154" s="27">
        <v>0</v>
      </c>
      <c r="AH154" s="28">
        <v>0</v>
      </c>
      <c r="AI154" s="29">
        <v>0</v>
      </c>
      <c r="AJ154" s="27">
        <v>0</v>
      </c>
      <c r="AK154" s="28">
        <v>0</v>
      </c>
      <c r="AL154" s="29">
        <v>0</v>
      </c>
      <c r="AM154" s="27">
        <v>0</v>
      </c>
      <c r="AN154" s="28">
        <v>0</v>
      </c>
      <c r="AO154" s="29">
        <v>0</v>
      </c>
      <c r="AP154" s="27">
        <v>0</v>
      </c>
      <c r="AQ154" s="28">
        <v>0</v>
      </c>
      <c r="AR154" s="29">
        <v>0</v>
      </c>
      <c r="AS154" s="24">
        <v>0</v>
      </c>
      <c r="AT154" s="25">
        <v>0</v>
      </c>
      <c r="AU154" s="26">
        <v>0</v>
      </c>
      <c r="AV154" s="24">
        <v>0</v>
      </c>
      <c r="AW154" s="25">
        <v>0</v>
      </c>
      <c r="AX154" s="26">
        <v>0</v>
      </c>
    </row>
    <row r="155" spans="1:50" x14ac:dyDescent="0.2">
      <c r="A155" s="22">
        <v>6607</v>
      </c>
      <c r="B155" s="23" t="s">
        <v>172</v>
      </c>
      <c r="C155" s="27">
        <v>0</v>
      </c>
      <c r="D155" s="28">
        <v>10</v>
      </c>
      <c r="E155" s="29">
        <v>-10</v>
      </c>
      <c r="F155" s="27">
        <v>650379</v>
      </c>
      <c r="G155" s="28">
        <v>2664537</v>
      </c>
      <c r="H155" s="29">
        <v>127507</v>
      </c>
      <c r="I155" s="27">
        <v>1406341</v>
      </c>
      <c r="J155" s="28">
        <v>2109866</v>
      </c>
      <c r="K155" s="29">
        <v>215349</v>
      </c>
      <c r="L155" s="27">
        <v>650379</v>
      </c>
      <c r="M155" s="28">
        <v>554671</v>
      </c>
      <c r="N155" s="29">
        <v>-87842</v>
      </c>
      <c r="O155" s="27">
        <v>1406341</v>
      </c>
      <c r="P155" s="28">
        <v>10</v>
      </c>
      <c r="Q155" s="29">
        <v>-10</v>
      </c>
      <c r="R155" s="27">
        <v>0</v>
      </c>
      <c r="S155" s="28">
        <v>8</v>
      </c>
      <c r="T155" s="29">
        <v>-8</v>
      </c>
      <c r="U155" s="27">
        <v>635468</v>
      </c>
      <c r="V155" s="28">
        <v>2145489</v>
      </c>
      <c r="W155" s="29">
        <v>1363297</v>
      </c>
      <c r="X155" s="27">
        <v>724377</v>
      </c>
      <c r="Y155" s="28">
        <v>2014090</v>
      </c>
      <c r="Z155" s="29">
        <v>1729843</v>
      </c>
      <c r="AA155" s="27">
        <v>245159</v>
      </c>
      <c r="AB155" s="28">
        <v>192962</v>
      </c>
      <c r="AC155" s="29">
        <v>-365512</v>
      </c>
      <c r="AD155" s="27">
        <v>334068</v>
      </c>
      <c r="AE155" s="28">
        <v>61571</v>
      </c>
      <c r="AF155" s="29">
        <v>1026</v>
      </c>
      <c r="AG155" s="27">
        <v>201777.36000000002</v>
      </c>
      <c r="AH155" s="28">
        <v>643574.34999999986</v>
      </c>
      <c r="AI155" s="29">
        <v>1782404.55</v>
      </c>
      <c r="AJ155" s="27">
        <v>0</v>
      </c>
      <c r="AK155" s="28">
        <v>0</v>
      </c>
      <c r="AL155" s="29">
        <v>0</v>
      </c>
      <c r="AM155" s="27">
        <v>4161109.3099999996</v>
      </c>
      <c r="AN155" s="28">
        <v>2628734.33</v>
      </c>
      <c r="AO155" s="29">
        <v>2878934.9499999997</v>
      </c>
      <c r="AP155" s="27">
        <v>0</v>
      </c>
      <c r="AQ155" s="28">
        <v>0</v>
      </c>
      <c r="AR155" s="29">
        <v>0</v>
      </c>
      <c r="AS155" s="24">
        <v>2.7625185051663183E-3</v>
      </c>
      <c r="AT155" s="25">
        <v>1.0657033810042092E-2</v>
      </c>
      <c r="AU155" s="26">
        <v>2.0647800497624162E-2</v>
      </c>
      <c r="AV155" s="24">
        <v>0</v>
      </c>
      <c r="AW155" s="25">
        <v>0</v>
      </c>
      <c r="AX155" s="26">
        <v>0</v>
      </c>
    </row>
    <row r="156" spans="1:50" x14ac:dyDescent="0.2">
      <c r="A156" s="22">
        <v>6608</v>
      </c>
      <c r="B156" s="23" t="s">
        <v>173</v>
      </c>
      <c r="C156" s="27">
        <v>2347</v>
      </c>
      <c r="D156" s="28">
        <v>3726</v>
      </c>
      <c r="E156" s="29">
        <v>1924</v>
      </c>
      <c r="F156" s="27">
        <v>3051</v>
      </c>
      <c r="G156" s="28">
        <v>702636</v>
      </c>
      <c r="H156" s="29">
        <v>187263</v>
      </c>
      <c r="I156" s="27">
        <v>0</v>
      </c>
      <c r="J156" s="28">
        <v>669603</v>
      </c>
      <c r="K156" s="29">
        <v>176452</v>
      </c>
      <c r="L156" s="27">
        <v>0</v>
      </c>
      <c r="M156" s="28">
        <v>46191</v>
      </c>
      <c r="N156" s="29">
        <v>-10338</v>
      </c>
      <c r="O156" s="27">
        <v>-704</v>
      </c>
      <c r="P156" s="28">
        <v>16884</v>
      </c>
      <c r="Q156" s="29">
        <v>-19225</v>
      </c>
      <c r="R156" s="27">
        <v>0</v>
      </c>
      <c r="S156" s="28">
        <v>0</v>
      </c>
      <c r="T156" s="29">
        <v>0</v>
      </c>
      <c r="U156" s="27">
        <v>47767</v>
      </c>
      <c r="V156" s="28">
        <v>108101</v>
      </c>
      <c r="W156" s="29">
        <v>516643</v>
      </c>
      <c r="X156" s="27">
        <v>54944</v>
      </c>
      <c r="Y156" s="28">
        <v>120641</v>
      </c>
      <c r="Z156" s="29">
        <v>497382</v>
      </c>
      <c r="AA156" s="27">
        <v>23000</v>
      </c>
      <c r="AB156" s="28">
        <v>-2697</v>
      </c>
      <c r="AC156" s="29">
        <v>32821</v>
      </c>
      <c r="AD156" s="27">
        <v>30177</v>
      </c>
      <c r="AE156" s="28">
        <v>9843</v>
      </c>
      <c r="AF156" s="29">
        <v>13560</v>
      </c>
      <c r="AG156" s="27">
        <v>10847.350000000008</v>
      </c>
      <c r="AH156" s="28">
        <v>138851.46999999986</v>
      </c>
      <c r="AI156" s="29">
        <v>41130.239999999962</v>
      </c>
      <c r="AJ156" s="27">
        <v>0</v>
      </c>
      <c r="AK156" s="28">
        <v>0.97</v>
      </c>
      <c r="AL156" s="29">
        <v>0.97</v>
      </c>
      <c r="AM156" s="27">
        <v>177896.68</v>
      </c>
      <c r="AN156" s="28">
        <v>79172.359999999986</v>
      </c>
      <c r="AO156" s="29">
        <v>264380.08</v>
      </c>
      <c r="AP156" s="27">
        <v>0</v>
      </c>
      <c r="AQ156" s="28">
        <v>0</v>
      </c>
      <c r="AR156" s="29">
        <v>0</v>
      </c>
      <c r="AS156" s="24">
        <v>8.1415834752579183E-4</v>
      </c>
      <c r="AT156" s="25">
        <v>1.0406301632808998E-2</v>
      </c>
      <c r="AU156" s="26">
        <v>3.3337150913313428E-3</v>
      </c>
      <c r="AV156" s="24">
        <v>0</v>
      </c>
      <c r="AW156" s="25">
        <v>0</v>
      </c>
      <c r="AX156" s="26">
        <v>0</v>
      </c>
    </row>
    <row r="157" spans="1:50" x14ac:dyDescent="0.2">
      <c r="A157" s="22">
        <v>6609</v>
      </c>
      <c r="B157" s="23" t="s">
        <v>174</v>
      </c>
      <c r="C157" s="27">
        <v>0</v>
      </c>
      <c r="D157" s="28">
        <v>0</v>
      </c>
      <c r="E157" s="29">
        <v>0</v>
      </c>
      <c r="F157" s="27">
        <v>0</v>
      </c>
      <c r="G157" s="28">
        <v>0</v>
      </c>
      <c r="H157" s="29">
        <v>0</v>
      </c>
      <c r="I157" s="27">
        <v>0</v>
      </c>
      <c r="J157" s="28">
        <v>0</v>
      </c>
      <c r="K157" s="29">
        <v>0</v>
      </c>
      <c r="L157" s="27">
        <v>0</v>
      </c>
      <c r="M157" s="28">
        <v>0</v>
      </c>
      <c r="N157" s="29">
        <v>0</v>
      </c>
      <c r="O157" s="27">
        <v>0</v>
      </c>
      <c r="P157" s="28">
        <v>0</v>
      </c>
      <c r="Q157" s="29">
        <v>0</v>
      </c>
      <c r="R157" s="27">
        <v>0</v>
      </c>
      <c r="S157" s="28">
        <v>0</v>
      </c>
      <c r="T157" s="29">
        <v>0</v>
      </c>
      <c r="U157" s="27">
        <v>7147571</v>
      </c>
      <c r="V157" s="28">
        <v>20937891</v>
      </c>
      <c r="W157" s="29">
        <v>19446376</v>
      </c>
      <c r="X157" s="27">
        <v>13906949</v>
      </c>
      <c r="Y157" s="28">
        <v>53756158</v>
      </c>
      <c r="Z157" s="29">
        <v>17322230</v>
      </c>
      <c r="AA157" s="27">
        <v>-7379159</v>
      </c>
      <c r="AB157" s="28">
        <v>-25642683</v>
      </c>
      <c r="AC157" s="29">
        <v>-246133</v>
      </c>
      <c r="AD157" s="27">
        <v>-619781</v>
      </c>
      <c r="AE157" s="28">
        <v>7175584</v>
      </c>
      <c r="AF157" s="29">
        <v>-2370279</v>
      </c>
      <c r="AG157" s="27">
        <v>1058201.8900000001</v>
      </c>
      <c r="AH157" s="28">
        <v>4766348.58</v>
      </c>
      <c r="AI157" s="29">
        <v>2630871.9500000007</v>
      </c>
      <c r="AJ157" s="27">
        <v>0</v>
      </c>
      <c r="AK157" s="28">
        <v>0</v>
      </c>
      <c r="AL157" s="29">
        <v>0</v>
      </c>
      <c r="AM157" s="27">
        <v>34501960.440000005</v>
      </c>
      <c r="AN157" s="28">
        <v>39649478.93</v>
      </c>
      <c r="AO157" s="29">
        <v>60882916.590000004</v>
      </c>
      <c r="AP157" s="27">
        <v>0</v>
      </c>
      <c r="AQ157" s="28">
        <v>4320</v>
      </c>
      <c r="AR157" s="29">
        <v>0</v>
      </c>
      <c r="AS157" s="24">
        <v>1.454989537678684E-3</v>
      </c>
      <c r="AT157" s="25">
        <v>7.0648801516952145E-3</v>
      </c>
      <c r="AU157" s="26">
        <v>3.4067115585195884E-3</v>
      </c>
      <c r="AV157" s="24">
        <v>0</v>
      </c>
      <c r="AW157" s="25">
        <v>6.4032837177266055E-6</v>
      </c>
      <c r="AX157" s="26">
        <v>0</v>
      </c>
    </row>
    <row r="158" spans="1:50" x14ac:dyDescent="0.2">
      <c r="A158" s="22">
        <v>6610</v>
      </c>
      <c r="B158" s="23" t="s">
        <v>175</v>
      </c>
      <c r="C158" s="27">
        <v>7945</v>
      </c>
      <c r="D158" s="28">
        <v>18027</v>
      </c>
      <c r="E158" s="29">
        <v>8040</v>
      </c>
      <c r="F158" s="27">
        <v>608916</v>
      </c>
      <c r="G158" s="28">
        <v>726024</v>
      </c>
      <c r="H158" s="29">
        <v>1599737</v>
      </c>
      <c r="I158" s="27">
        <v>653125</v>
      </c>
      <c r="J158" s="28">
        <v>725858</v>
      </c>
      <c r="K158" s="29">
        <v>1585105</v>
      </c>
      <c r="L158" s="27">
        <v>58814</v>
      </c>
      <c r="M158" s="28">
        <v>-13919</v>
      </c>
      <c r="N158" s="29">
        <v>0</v>
      </c>
      <c r="O158" s="27">
        <v>110968</v>
      </c>
      <c r="P158" s="28">
        <v>3942</v>
      </c>
      <c r="Q158" s="29">
        <v>-6592</v>
      </c>
      <c r="R158" s="27">
        <v>0</v>
      </c>
      <c r="S158" s="28">
        <v>0</v>
      </c>
      <c r="T158" s="29">
        <v>0</v>
      </c>
      <c r="U158" s="27">
        <v>592365</v>
      </c>
      <c r="V158" s="28">
        <v>1290326</v>
      </c>
      <c r="W158" s="29">
        <v>798122</v>
      </c>
      <c r="X158" s="27">
        <v>452689</v>
      </c>
      <c r="Y158" s="28">
        <v>1176359</v>
      </c>
      <c r="Z158" s="29">
        <v>813250</v>
      </c>
      <c r="AA158" s="27">
        <v>108866</v>
      </c>
      <c r="AB158" s="28">
        <v>80835</v>
      </c>
      <c r="AC158" s="29">
        <v>-3059</v>
      </c>
      <c r="AD158" s="27">
        <v>-30810</v>
      </c>
      <c r="AE158" s="28">
        <v>-33132</v>
      </c>
      <c r="AF158" s="29">
        <v>12069</v>
      </c>
      <c r="AG158" s="27">
        <v>119974.92</v>
      </c>
      <c r="AH158" s="28">
        <v>18925.290000000052</v>
      </c>
      <c r="AI158" s="29">
        <v>102412.07999999996</v>
      </c>
      <c r="AJ158" s="27">
        <v>0</v>
      </c>
      <c r="AK158" s="28">
        <v>0</v>
      </c>
      <c r="AL158" s="29">
        <v>0</v>
      </c>
      <c r="AM158" s="27">
        <v>72233.429999999993</v>
      </c>
      <c r="AN158" s="28">
        <v>35162.939999999995</v>
      </c>
      <c r="AO158" s="29">
        <v>2097700.5099999998</v>
      </c>
      <c r="AP158" s="27">
        <v>0</v>
      </c>
      <c r="AQ158" s="28">
        <v>0</v>
      </c>
      <c r="AR158" s="29">
        <v>0</v>
      </c>
      <c r="AS158" s="24">
        <v>2.8565945484496616E-3</v>
      </c>
      <c r="AT158" s="25">
        <v>4.4107537679728882E-4</v>
      </c>
      <c r="AU158" s="26">
        <v>2.1703678977551774E-3</v>
      </c>
      <c r="AV158" s="24">
        <v>0</v>
      </c>
      <c r="AW158" s="25">
        <v>0</v>
      </c>
      <c r="AX158" s="26">
        <v>0</v>
      </c>
    </row>
    <row r="159" spans="1:50" x14ac:dyDescent="0.2">
      <c r="A159" s="22">
        <v>6611</v>
      </c>
      <c r="B159" s="23" t="s">
        <v>176</v>
      </c>
      <c r="C159" s="27">
        <v>0</v>
      </c>
      <c r="D159" s="28">
        <v>0</v>
      </c>
      <c r="E159" s="29">
        <v>0</v>
      </c>
      <c r="F159" s="27">
        <v>39816</v>
      </c>
      <c r="G159" s="28">
        <v>2116500</v>
      </c>
      <c r="H159" s="29">
        <v>1933429</v>
      </c>
      <c r="I159" s="27">
        <v>0</v>
      </c>
      <c r="J159" s="28">
        <v>2023487</v>
      </c>
      <c r="K159" s="29">
        <v>1757629</v>
      </c>
      <c r="L159" s="27">
        <v>39816</v>
      </c>
      <c r="M159" s="28">
        <v>161789</v>
      </c>
      <c r="N159" s="29">
        <v>107024</v>
      </c>
      <c r="O159" s="27">
        <v>0</v>
      </c>
      <c r="P159" s="28">
        <v>68776</v>
      </c>
      <c r="Q159" s="29">
        <v>-68776</v>
      </c>
      <c r="R159" s="27">
        <v>0</v>
      </c>
      <c r="S159" s="28">
        <v>0</v>
      </c>
      <c r="T159" s="29">
        <v>0</v>
      </c>
      <c r="U159" s="27">
        <v>436595</v>
      </c>
      <c r="V159" s="28">
        <v>1090774</v>
      </c>
      <c r="W159" s="29">
        <v>887433</v>
      </c>
      <c r="X159" s="27">
        <v>510901</v>
      </c>
      <c r="Y159" s="28">
        <v>1111242</v>
      </c>
      <c r="Z159" s="29">
        <v>701429</v>
      </c>
      <c r="AA159" s="27">
        <v>90900</v>
      </c>
      <c r="AB159" s="28">
        <v>77571</v>
      </c>
      <c r="AC159" s="29">
        <v>78989</v>
      </c>
      <c r="AD159" s="27">
        <v>165206</v>
      </c>
      <c r="AE159" s="28">
        <v>98039</v>
      </c>
      <c r="AF159" s="29">
        <v>-107015</v>
      </c>
      <c r="AG159" s="27">
        <v>0</v>
      </c>
      <c r="AH159" s="28">
        <v>3209.3399999999092</v>
      </c>
      <c r="AI159" s="29">
        <v>166661.63000000006</v>
      </c>
      <c r="AJ159" s="27">
        <v>0</v>
      </c>
      <c r="AK159" s="28">
        <v>0</v>
      </c>
      <c r="AL159" s="29">
        <v>0</v>
      </c>
      <c r="AM159" s="27">
        <v>4022199.8</v>
      </c>
      <c r="AN159" s="28">
        <v>2231853.5700000003</v>
      </c>
      <c r="AO159" s="29">
        <v>1399751.3</v>
      </c>
      <c r="AP159" s="27">
        <v>0</v>
      </c>
      <c r="AQ159" s="28">
        <v>0</v>
      </c>
      <c r="AR159" s="29">
        <v>0</v>
      </c>
      <c r="AS159" s="24">
        <v>0</v>
      </c>
      <c r="AT159" s="25">
        <v>5.6020916681945997E-5</v>
      </c>
      <c r="AU159" s="26">
        <v>3.1471637205554436E-3</v>
      </c>
      <c r="AV159" s="24">
        <v>0</v>
      </c>
      <c r="AW159" s="25">
        <v>0</v>
      </c>
      <c r="AX159" s="26">
        <v>0</v>
      </c>
    </row>
    <row r="160" spans="1:50" x14ac:dyDescent="0.2">
      <c r="A160" s="22">
        <v>6612</v>
      </c>
      <c r="B160" s="23" t="s">
        <v>177</v>
      </c>
      <c r="C160" s="27">
        <v>0</v>
      </c>
      <c r="D160" s="28">
        <v>23</v>
      </c>
      <c r="E160" s="29">
        <v>0</v>
      </c>
      <c r="F160" s="27">
        <v>96684</v>
      </c>
      <c r="G160" s="28">
        <v>879510</v>
      </c>
      <c r="H160" s="29">
        <v>1866490</v>
      </c>
      <c r="I160" s="27">
        <v>78903</v>
      </c>
      <c r="J160" s="28">
        <v>2046507</v>
      </c>
      <c r="K160" s="29">
        <v>776758</v>
      </c>
      <c r="L160" s="27">
        <v>0</v>
      </c>
      <c r="M160" s="28">
        <v>23817</v>
      </c>
      <c r="N160" s="29">
        <v>46752</v>
      </c>
      <c r="O160" s="27">
        <v>-17781</v>
      </c>
      <c r="P160" s="28">
        <v>1190837</v>
      </c>
      <c r="Q160" s="29">
        <v>-1042980</v>
      </c>
      <c r="R160" s="27">
        <v>0</v>
      </c>
      <c r="S160" s="28">
        <v>9</v>
      </c>
      <c r="T160" s="29">
        <v>0</v>
      </c>
      <c r="U160" s="27">
        <v>478260</v>
      </c>
      <c r="V160" s="28">
        <v>1119599</v>
      </c>
      <c r="W160" s="29">
        <v>1162667</v>
      </c>
      <c r="X160" s="27">
        <v>124548</v>
      </c>
      <c r="Y160" s="28">
        <v>812397</v>
      </c>
      <c r="Z160" s="29">
        <v>1701624</v>
      </c>
      <c r="AA160" s="27">
        <v>431427</v>
      </c>
      <c r="AB160" s="28">
        <v>227741</v>
      </c>
      <c r="AC160" s="29">
        <v>-295223</v>
      </c>
      <c r="AD160" s="27">
        <v>77715</v>
      </c>
      <c r="AE160" s="28">
        <v>-79452</v>
      </c>
      <c r="AF160" s="29">
        <v>243734</v>
      </c>
      <c r="AG160" s="27">
        <v>48985.799999999988</v>
      </c>
      <c r="AH160" s="28">
        <v>416327.37</v>
      </c>
      <c r="AI160" s="29">
        <v>231753.09999999986</v>
      </c>
      <c r="AJ160" s="27">
        <v>0</v>
      </c>
      <c r="AK160" s="28">
        <v>0</v>
      </c>
      <c r="AL160" s="29">
        <v>0</v>
      </c>
      <c r="AM160" s="27">
        <v>628605.8899999999</v>
      </c>
      <c r="AN160" s="28">
        <v>4633109.790000001</v>
      </c>
      <c r="AO160" s="29">
        <v>4592257.76</v>
      </c>
      <c r="AP160" s="27">
        <v>0</v>
      </c>
      <c r="AQ160" s="28">
        <v>0</v>
      </c>
      <c r="AR160" s="29">
        <v>0</v>
      </c>
      <c r="AS160" s="24">
        <v>8.6149798942825463E-4</v>
      </c>
      <c r="AT160" s="25">
        <v>8.0005359603139547E-3</v>
      </c>
      <c r="AU160" s="26">
        <v>3.3886980951063142E-3</v>
      </c>
      <c r="AV160" s="24">
        <v>0</v>
      </c>
      <c r="AW160" s="25">
        <v>0</v>
      </c>
      <c r="AX160" s="26">
        <v>0</v>
      </c>
    </row>
    <row r="161" spans="1:50" x14ac:dyDescent="0.2">
      <c r="A161" s="22">
        <v>6613</v>
      </c>
      <c r="B161" s="23" t="s">
        <v>178</v>
      </c>
      <c r="C161" s="27">
        <v>17829</v>
      </c>
      <c r="D161" s="28">
        <v>36151</v>
      </c>
      <c r="E161" s="29">
        <v>14989</v>
      </c>
      <c r="F161" s="27">
        <v>20409</v>
      </c>
      <c r="G161" s="28">
        <v>32762</v>
      </c>
      <c r="H161" s="29">
        <v>2393386</v>
      </c>
      <c r="I161" s="27">
        <v>0</v>
      </c>
      <c r="J161" s="28">
        <v>3409</v>
      </c>
      <c r="K161" s="29">
        <v>2368900</v>
      </c>
      <c r="L161" s="27">
        <v>0</v>
      </c>
      <c r="M161" s="28">
        <v>-4481</v>
      </c>
      <c r="N161" s="29">
        <v>0</v>
      </c>
      <c r="O161" s="27">
        <v>-2580</v>
      </c>
      <c r="P161" s="28">
        <v>2317</v>
      </c>
      <c r="Q161" s="29">
        <v>-9497</v>
      </c>
      <c r="R161" s="27">
        <v>3366</v>
      </c>
      <c r="S161" s="28">
        <v>3366</v>
      </c>
      <c r="T161" s="29">
        <v>0</v>
      </c>
      <c r="U161" s="27">
        <v>698355</v>
      </c>
      <c r="V161" s="28">
        <v>2088122</v>
      </c>
      <c r="W161" s="29">
        <v>1486333</v>
      </c>
      <c r="X161" s="27">
        <v>478110</v>
      </c>
      <c r="Y161" s="28">
        <v>2001621</v>
      </c>
      <c r="Z161" s="29">
        <v>1601274</v>
      </c>
      <c r="AA161" s="27">
        <v>256048</v>
      </c>
      <c r="AB161" s="28">
        <v>139492</v>
      </c>
      <c r="AC161" s="29">
        <v>-115246</v>
      </c>
      <c r="AD161" s="27">
        <v>39169</v>
      </c>
      <c r="AE161" s="28">
        <v>56357</v>
      </c>
      <c r="AF161" s="29">
        <v>-305</v>
      </c>
      <c r="AG161" s="27">
        <v>0</v>
      </c>
      <c r="AH161" s="28">
        <v>56545.609999999986</v>
      </c>
      <c r="AI161" s="29">
        <v>1676.8800000000047</v>
      </c>
      <c r="AJ161" s="27">
        <v>0</v>
      </c>
      <c r="AK161" s="28">
        <v>0</v>
      </c>
      <c r="AL161" s="29">
        <v>0</v>
      </c>
      <c r="AM161" s="27">
        <v>3658100.57</v>
      </c>
      <c r="AN161" s="28">
        <v>3954843.5999999996</v>
      </c>
      <c r="AO161" s="29">
        <v>2522138.92</v>
      </c>
      <c r="AP161" s="27">
        <v>0</v>
      </c>
      <c r="AQ161" s="28">
        <v>0</v>
      </c>
      <c r="AR161" s="29">
        <v>0</v>
      </c>
      <c r="AS161" s="24">
        <v>0</v>
      </c>
      <c r="AT161" s="25">
        <v>1.8106055029197515E-3</v>
      </c>
      <c r="AU161" s="26">
        <v>4.9327787987232943E-5</v>
      </c>
      <c r="AV161" s="24">
        <v>0</v>
      </c>
      <c r="AW161" s="25">
        <v>0</v>
      </c>
      <c r="AX161" s="26">
        <v>0</v>
      </c>
    </row>
    <row r="162" spans="1:50" x14ac:dyDescent="0.2">
      <c r="A162" s="22">
        <v>6614</v>
      </c>
      <c r="B162" s="23" t="s">
        <v>179</v>
      </c>
      <c r="C162" s="27">
        <v>0</v>
      </c>
      <c r="D162" s="28">
        <v>0</v>
      </c>
      <c r="E162" s="29">
        <v>0</v>
      </c>
      <c r="F162" s="27">
        <v>0</v>
      </c>
      <c r="G162" s="28">
        <v>230041</v>
      </c>
      <c r="H162" s="29">
        <v>0</v>
      </c>
      <c r="I162" s="27">
        <v>0</v>
      </c>
      <c r="J162" s="28">
        <v>233203</v>
      </c>
      <c r="K162" s="29">
        <v>44121</v>
      </c>
      <c r="L162" s="27">
        <v>0</v>
      </c>
      <c r="M162" s="28">
        <v>0</v>
      </c>
      <c r="N162" s="29">
        <v>0</v>
      </c>
      <c r="O162" s="27">
        <v>0</v>
      </c>
      <c r="P162" s="28">
        <v>3162</v>
      </c>
      <c r="Q162" s="29">
        <v>44121</v>
      </c>
      <c r="R162" s="27">
        <v>0</v>
      </c>
      <c r="S162" s="28">
        <v>0</v>
      </c>
      <c r="T162" s="29">
        <v>0</v>
      </c>
      <c r="U162" s="27">
        <v>208565</v>
      </c>
      <c r="V162" s="28">
        <v>610095</v>
      </c>
      <c r="W162" s="29">
        <v>614724</v>
      </c>
      <c r="X162" s="27">
        <v>195584</v>
      </c>
      <c r="Y162" s="28">
        <v>578128</v>
      </c>
      <c r="Z162" s="29">
        <v>659197</v>
      </c>
      <c r="AA162" s="27">
        <v>37162</v>
      </c>
      <c r="AB162" s="28">
        <v>54091</v>
      </c>
      <c r="AC162" s="29">
        <v>73263</v>
      </c>
      <c r="AD162" s="27">
        <v>24181</v>
      </c>
      <c r="AE162" s="28">
        <v>22124</v>
      </c>
      <c r="AF162" s="29">
        <v>117736</v>
      </c>
      <c r="AG162" s="27">
        <v>286528.25</v>
      </c>
      <c r="AH162" s="28">
        <v>57299.069999999949</v>
      </c>
      <c r="AI162" s="29">
        <v>58445.669999999991</v>
      </c>
      <c r="AJ162" s="27">
        <v>0</v>
      </c>
      <c r="AK162" s="28">
        <v>0</v>
      </c>
      <c r="AL162" s="29">
        <v>0</v>
      </c>
      <c r="AM162" s="27">
        <v>338074.8</v>
      </c>
      <c r="AN162" s="28">
        <v>465647.19999999995</v>
      </c>
      <c r="AO162" s="29">
        <v>5442492.2400000002</v>
      </c>
      <c r="AP162" s="27">
        <v>0</v>
      </c>
      <c r="AQ162" s="28">
        <v>0</v>
      </c>
      <c r="AR162" s="29">
        <v>0</v>
      </c>
      <c r="AS162" s="24">
        <v>9.2184286435600879E-3</v>
      </c>
      <c r="AT162" s="25">
        <v>1.8647410727570624E-3</v>
      </c>
      <c r="AU162" s="26">
        <v>0</v>
      </c>
      <c r="AV162" s="24">
        <v>0</v>
      </c>
      <c r="AW162" s="25">
        <v>0</v>
      </c>
      <c r="AX162" s="26">
        <v>0</v>
      </c>
    </row>
    <row r="163" spans="1:50" x14ac:dyDescent="0.2">
      <c r="A163" s="22">
        <v>6615</v>
      </c>
      <c r="B163" s="23" t="s">
        <v>180</v>
      </c>
      <c r="C163" s="27">
        <v>0</v>
      </c>
      <c r="D163" s="28">
        <v>0</v>
      </c>
      <c r="E163" s="29">
        <v>0</v>
      </c>
      <c r="F163" s="27">
        <v>472974</v>
      </c>
      <c r="G163" s="28">
        <v>2182063</v>
      </c>
      <c r="H163" s="29">
        <v>0</v>
      </c>
      <c r="I163" s="27">
        <v>472974</v>
      </c>
      <c r="J163" s="28">
        <v>2182063</v>
      </c>
      <c r="K163" s="29">
        <v>0</v>
      </c>
      <c r="L163" s="27">
        <v>0</v>
      </c>
      <c r="M163" s="28">
        <v>0</v>
      </c>
      <c r="N163" s="29">
        <v>0</v>
      </c>
      <c r="O163" s="27">
        <v>0</v>
      </c>
      <c r="P163" s="28">
        <v>0</v>
      </c>
      <c r="Q163" s="29">
        <v>0</v>
      </c>
      <c r="R163" s="27">
        <v>0</v>
      </c>
      <c r="S163" s="28">
        <v>0</v>
      </c>
      <c r="T163" s="29">
        <v>0</v>
      </c>
      <c r="U163" s="27">
        <v>359739</v>
      </c>
      <c r="V163" s="28">
        <v>1833244</v>
      </c>
      <c r="W163" s="29">
        <v>691395</v>
      </c>
      <c r="X163" s="27">
        <v>489535</v>
      </c>
      <c r="Y163" s="28">
        <v>1652927</v>
      </c>
      <c r="Z163" s="29">
        <v>1435104</v>
      </c>
      <c r="AA163" s="27">
        <v>32388</v>
      </c>
      <c r="AB163" s="28">
        <v>259841</v>
      </c>
      <c r="AC163" s="29">
        <v>-738155</v>
      </c>
      <c r="AD163" s="27">
        <v>162184</v>
      </c>
      <c r="AE163" s="28">
        <v>79524</v>
      </c>
      <c r="AF163" s="29">
        <v>5554</v>
      </c>
      <c r="AG163" s="27">
        <v>10552.589999999967</v>
      </c>
      <c r="AH163" s="28">
        <v>21217.79000000027</v>
      </c>
      <c r="AI163" s="29">
        <v>1921983.8800000001</v>
      </c>
      <c r="AJ163" s="27">
        <v>0</v>
      </c>
      <c r="AK163" s="28">
        <v>0</v>
      </c>
      <c r="AL163" s="29">
        <v>0</v>
      </c>
      <c r="AM163" s="27">
        <v>4938466.79</v>
      </c>
      <c r="AN163" s="28">
        <v>2339214.3500000006</v>
      </c>
      <c r="AO163" s="29">
        <v>2733261.93</v>
      </c>
      <c r="AP163" s="27">
        <v>0</v>
      </c>
      <c r="AQ163" s="28">
        <v>0</v>
      </c>
      <c r="AR163" s="29">
        <v>0</v>
      </c>
      <c r="AS163" s="24">
        <v>5.1490119397505445E-4</v>
      </c>
      <c r="AT163" s="25">
        <v>9.8696401969334451E-4</v>
      </c>
      <c r="AU163" s="26">
        <v>0.10247037677585932</v>
      </c>
      <c r="AV163" s="24">
        <v>0</v>
      </c>
      <c r="AW163" s="25">
        <v>0</v>
      </c>
      <c r="AX163" s="26">
        <v>0</v>
      </c>
    </row>
    <row r="164" spans="1:50" x14ac:dyDescent="0.2">
      <c r="A164" s="22">
        <v>6616</v>
      </c>
      <c r="B164" s="23" t="s">
        <v>181</v>
      </c>
      <c r="C164" s="27">
        <v>0</v>
      </c>
      <c r="D164" s="28">
        <v>0</v>
      </c>
      <c r="E164" s="29">
        <v>0</v>
      </c>
      <c r="F164" s="27">
        <v>24960</v>
      </c>
      <c r="G164" s="28">
        <v>1742761</v>
      </c>
      <c r="H164" s="29">
        <v>19400</v>
      </c>
      <c r="I164" s="27">
        <v>55246</v>
      </c>
      <c r="J164" s="28">
        <v>1840803</v>
      </c>
      <c r="K164" s="29">
        <v>8400</v>
      </c>
      <c r="L164" s="27">
        <v>-33594</v>
      </c>
      <c r="M164" s="28">
        <v>-65000</v>
      </c>
      <c r="N164" s="29">
        <v>0</v>
      </c>
      <c r="O164" s="27">
        <v>-3308</v>
      </c>
      <c r="P164" s="28">
        <v>33042</v>
      </c>
      <c r="Q164" s="29">
        <v>-11000</v>
      </c>
      <c r="R164" s="27">
        <v>0</v>
      </c>
      <c r="S164" s="28">
        <v>0</v>
      </c>
      <c r="T164" s="29">
        <v>0</v>
      </c>
      <c r="U164" s="27">
        <v>318706</v>
      </c>
      <c r="V164" s="28">
        <v>3217920</v>
      </c>
      <c r="W164" s="29">
        <v>1369230</v>
      </c>
      <c r="X164" s="27">
        <v>318197</v>
      </c>
      <c r="Y164" s="28">
        <v>2982662</v>
      </c>
      <c r="Z164" s="29">
        <v>1377024</v>
      </c>
      <c r="AA164" s="27">
        <v>0</v>
      </c>
      <c r="AB164" s="28">
        <v>184641</v>
      </c>
      <c r="AC164" s="29">
        <v>311245</v>
      </c>
      <c r="AD164" s="27">
        <v>-509</v>
      </c>
      <c r="AE164" s="28">
        <v>-50617</v>
      </c>
      <c r="AF164" s="29">
        <v>319039</v>
      </c>
      <c r="AG164" s="27">
        <v>129767.98999999996</v>
      </c>
      <c r="AH164" s="28">
        <v>450184.53000000049</v>
      </c>
      <c r="AI164" s="29">
        <v>413232.13</v>
      </c>
      <c r="AJ164" s="27">
        <v>0</v>
      </c>
      <c r="AK164" s="28">
        <v>0</v>
      </c>
      <c r="AL164" s="29">
        <v>0</v>
      </c>
      <c r="AM164" s="27">
        <v>6897387.3200000003</v>
      </c>
      <c r="AN164" s="28">
        <v>3716902.5</v>
      </c>
      <c r="AO164" s="29">
        <v>3281313.0599999996</v>
      </c>
      <c r="AP164" s="27">
        <v>0</v>
      </c>
      <c r="AQ164" s="28">
        <v>0</v>
      </c>
      <c r="AR164" s="29">
        <v>0</v>
      </c>
      <c r="AS164" s="24">
        <v>4.3413040446278368E-3</v>
      </c>
      <c r="AT164" s="25">
        <v>1.7187607271134601E-2</v>
      </c>
      <c r="AU164" s="26">
        <v>1.3155886889181892E-2</v>
      </c>
      <c r="AV164" s="24">
        <v>0</v>
      </c>
      <c r="AW164" s="25">
        <v>0</v>
      </c>
      <c r="AX164" s="26">
        <v>0</v>
      </c>
    </row>
    <row r="165" spans="1:50" x14ac:dyDescent="0.2">
      <c r="A165" s="22">
        <v>6617</v>
      </c>
      <c r="B165" s="23" t="s">
        <v>182</v>
      </c>
      <c r="C165" s="27">
        <v>0</v>
      </c>
      <c r="D165" s="28">
        <v>0</v>
      </c>
      <c r="E165" s="29">
        <v>0</v>
      </c>
      <c r="F165" s="27">
        <v>165096</v>
      </c>
      <c r="G165" s="28">
        <v>165095</v>
      </c>
      <c r="H165" s="29">
        <v>0</v>
      </c>
      <c r="I165" s="27">
        <v>0</v>
      </c>
      <c r="J165" s="28">
        <v>168320</v>
      </c>
      <c r="K165" s="29">
        <v>0</v>
      </c>
      <c r="L165" s="27">
        <v>165096</v>
      </c>
      <c r="M165" s="28">
        <v>-3225</v>
      </c>
      <c r="N165" s="29">
        <v>0</v>
      </c>
      <c r="O165" s="27">
        <v>0</v>
      </c>
      <c r="P165" s="28">
        <v>0</v>
      </c>
      <c r="Q165" s="29">
        <v>0</v>
      </c>
      <c r="R165" s="27">
        <v>0</v>
      </c>
      <c r="S165" s="28">
        <v>0</v>
      </c>
      <c r="T165" s="29">
        <v>0</v>
      </c>
      <c r="U165" s="27">
        <v>201324</v>
      </c>
      <c r="V165" s="28">
        <v>515110</v>
      </c>
      <c r="W165" s="29">
        <v>397361</v>
      </c>
      <c r="X165" s="27">
        <v>216536</v>
      </c>
      <c r="Y165" s="28">
        <v>564710</v>
      </c>
      <c r="Z165" s="29">
        <v>353348</v>
      </c>
      <c r="AA165" s="27">
        <v>-15212</v>
      </c>
      <c r="AB165" s="28">
        <v>-47025</v>
      </c>
      <c r="AC165" s="29">
        <v>45040</v>
      </c>
      <c r="AD165" s="27">
        <v>0</v>
      </c>
      <c r="AE165" s="28">
        <v>2575</v>
      </c>
      <c r="AF165" s="29">
        <v>1027</v>
      </c>
      <c r="AG165" s="27">
        <v>11887.010000000009</v>
      </c>
      <c r="AH165" s="28">
        <v>96472.199999999983</v>
      </c>
      <c r="AI165" s="29">
        <v>14104.00999999998</v>
      </c>
      <c r="AJ165" s="27">
        <v>0</v>
      </c>
      <c r="AK165" s="28">
        <v>0</v>
      </c>
      <c r="AL165" s="29">
        <v>0</v>
      </c>
      <c r="AM165" s="27">
        <v>305205.15000000002</v>
      </c>
      <c r="AN165" s="28">
        <v>218766.99</v>
      </c>
      <c r="AO165" s="29">
        <v>216658.38</v>
      </c>
      <c r="AP165" s="27">
        <v>0</v>
      </c>
      <c r="AQ165" s="28">
        <v>0</v>
      </c>
      <c r="AR165" s="29">
        <v>0</v>
      </c>
      <c r="AS165" s="24">
        <v>8.2387943965433065E-4</v>
      </c>
      <c r="AT165" s="25">
        <v>7.6974233967451325E-3</v>
      </c>
      <c r="AU165" s="26">
        <v>7.9326880623365641E-4</v>
      </c>
      <c r="AV165" s="24">
        <v>0</v>
      </c>
      <c r="AW165" s="25">
        <v>0</v>
      </c>
      <c r="AX165" s="26">
        <v>0</v>
      </c>
    </row>
    <row r="166" spans="1:50" x14ac:dyDescent="0.2">
      <c r="A166" s="22">
        <v>6618</v>
      </c>
      <c r="B166" s="23" t="s">
        <v>183</v>
      </c>
      <c r="C166" s="27">
        <v>0</v>
      </c>
      <c r="D166" s="28">
        <v>0</v>
      </c>
      <c r="E166" s="29">
        <v>0</v>
      </c>
      <c r="F166" s="27">
        <v>0</v>
      </c>
      <c r="G166" s="28">
        <v>0</v>
      </c>
      <c r="H166" s="29">
        <v>0</v>
      </c>
      <c r="I166" s="27">
        <v>0</v>
      </c>
      <c r="J166" s="28">
        <v>0</v>
      </c>
      <c r="K166" s="29">
        <v>0</v>
      </c>
      <c r="L166" s="27">
        <v>0</v>
      </c>
      <c r="M166" s="28">
        <v>0</v>
      </c>
      <c r="N166" s="29">
        <v>0</v>
      </c>
      <c r="O166" s="27">
        <v>0</v>
      </c>
      <c r="P166" s="28">
        <v>0</v>
      </c>
      <c r="Q166" s="29">
        <v>0</v>
      </c>
      <c r="R166" s="27">
        <v>0</v>
      </c>
      <c r="S166" s="28">
        <v>0</v>
      </c>
      <c r="T166" s="29">
        <v>0</v>
      </c>
      <c r="U166" s="27">
        <v>157470</v>
      </c>
      <c r="V166" s="28">
        <v>343652</v>
      </c>
      <c r="W166" s="29">
        <v>668886</v>
      </c>
      <c r="X166" s="27">
        <v>212090</v>
      </c>
      <c r="Y166" s="28">
        <v>365614</v>
      </c>
      <c r="Z166" s="29">
        <v>692295</v>
      </c>
      <c r="AA166" s="27">
        <v>59029</v>
      </c>
      <c r="AB166" s="28">
        <v>49029</v>
      </c>
      <c r="AC166" s="29">
        <v>-49999</v>
      </c>
      <c r="AD166" s="27">
        <v>113649</v>
      </c>
      <c r="AE166" s="28">
        <v>70991</v>
      </c>
      <c r="AF166" s="29">
        <v>-26590</v>
      </c>
      <c r="AG166" s="27">
        <v>4838.1100000000006</v>
      </c>
      <c r="AH166" s="28">
        <v>5837.4799999999959</v>
      </c>
      <c r="AI166" s="29">
        <v>47801.959999999963</v>
      </c>
      <c r="AJ166" s="27">
        <v>0</v>
      </c>
      <c r="AK166" s="28">
        <v>0</v>
      </c>
      <c r="AL166" s="29">
        <v>0</v>
      </c>
      <c r="AM166" s="27">
        <v>188453.55</v>
      </c>
      <c r="AN166" s="28">
        <v>653661.85</v>
      </c>
      <c r="AO166" s="29">
        <v>404238.34</v>
      </c>
      <c r="AP166" s="27">
        <v>0</v>
      </c>
      <c r="AQ166" s="28">
        <v>0</v>
      </c>
      <c r="AR166" s="29">
        <v>0</v>
      </c>
      <c r="AS166" s="24">
        <v>2.2465972116452634E-4</v>
      </c>
      <c r="AT166" s="25">
        <v>3.8576435760382619E-4</v>
      </c>
      <c r="AU166" s="26">
        <v>2.1950489165880236E-3</v>
      </c>
      <c r="AV166" s="24">
        <v>0</v>
      </c>
      <c r="AW166" s="25">
        <v>0</v>
      </c>
      <c r="AX166" s="26">
        <v>0</v>
      </c>
    </row>
    <row r="167" spans="1:50" x14ac:dyDescent="0.2">
      <c r="A167" s="22">
        <v>6701</v>
      </c>
      <c r="B167" s="23" t="s">
        <v>184</v>
      </c>
      <c r="C167" s="27">
        <v>7776</v>
      </c>
      <c r="D167" s="28">
        <v>16191</v>
      </c>
      <c r="E167" s="29">
        <v>10216</v>
      </c>
      <c r="F167" s="27">
        <v>70110</v>
      </c>
      <c r="G167" s="28">
        <v>70110</v>
      </c>
      <c r="H167" s="29">
        <v>102000</v>
      </c>
      <c r="I167" s="27">
        <v>70584</v>
      </c>
      <c r="J167" s="28">
        <v>70110</v>
      </c>
      <c r="K167" s="29">
        <v>0</v>
      </c>
      <c r="L167" s="27">
        <v>-474</v>
      </c>
      <c r="M167" s="28">
        <v>0</v>
      </c>
      <c r="N167" s="29">
        <v>102000</v>
      </c>
      <c r="O167" s="27">
        <v>7776</v>
      </c>
      <c r="P167" s="28">
        <v>16191</v>
      </c>
      <c r="Q167" s="29">
        <v>10216</v>
      </c>
      <c r="R167" s="27">
        <v>0</v>
      </c>
      <c r="S167" s="28">
        <v>0</v>
      </c>
      <c r="T167" s="29">
        <v>0</v>
      </c>
      <c r="U167" s="27">
        <v>309586</v>
      </c>
      <c r="V167" s="28">
        <v>660956</v>
      </c>
      <c r="W167" s="29">
        <v>558795</v>
      </c>
      <c r="X167" s="27">
        <v>296407</v>
      </c>
      <c r="Y167" s="28">
        <v>688502</v>
      </c>
      <c r="Z167" s="29">
        <v>608806</v>
      </c>
      <c r="AA167" s="27">
        <v>31609</v>
      </c>
      <c r="AB167" s="28">
        <v>-26372</v>
      </c>
      <c r="AC167" s="29">
        <v>27686</v>
      </c>
      <c r="AD167" s="27">
        <v>18430</v>
      </c>
      <c r="AE167" s="28">
        <v>1174</v>
      </c>
      <c r="AF167" s="29">
        <v>77697</v>
      </c>
      <c r="AG167" s="27">
        <v>2968.4400000000023</v>
      </c>
      <c r="AH167" s="28">
        <v>228611.11000000002</v>
      </c>
      <c r="AI167" s="29">
        <v>133084.82999999996</v>
      </c>
      <c r="AJ167" s="27">
        <v>0</v>
      </c>
      <c r="AK167" s="28">
        <v>0</v>
      </c>
      <c r="AL167" s="29">
        <v>0</v>
      </c>
      <c r="AM167" s="27">
        <v>4979.8199999999961</v>
      </c>
      <c r="AN167" s="28">
        <v>125449.31</v>
      </c>
      <c r="AO167" s="29">
        <v>18494.679999999993</v>
      </c>
      <c r="AP167" s="27">
        <v>0</v>
      </c>
      <c r="AQ167" s="28">
        <v>0</v>
      </c>
      <c r="AR167" s="29">
        <v>0</v>
      </c>
      <c r="AS167" s="24">
        <v>1.8957327811488904E-4</v>
      </c>
      <c r="AT167" s="25">
        <v>1.4857008888751693E-2</v>
      </c>
      <c r="AU167" s="26">
        <v>7.8200944100517561E-3</v>
      </c>
      <c r="AV167" s="24">
        <v>0</v>
      </c>
      <c r="AW167" s="25">
        <v>0</v>
      </c>
      <c r="AX167" s="26">
        <v>0</v>
      </c>
    </row>
    <row r="168" spans="1:50" x14ac:dyDescent="0.2">
      <c r="A168" s="22">
        <v>6702</v>
      </c>
      <c r="B168" s="23" t="s">
        <v>185</v>
      </c>
      <c r="C168" s="27">
        <v>24168</v>
      </c>
      <c r="D168" s="28">
        <v>45046</v>
      </c>
      <c r="E168" s="29">
        <v>12406</v>
      </c>
      <c r="F168" s="27">
        <v>712749</v>
      </c>
      <c r="G168" s="28">
        <v>1476280</v>
      </c>
      <c r="H168" s="29">
        <v>162236</v>
      </c>
      <c r="I168" s="27">
        <v>241837</v>
      </c>
      <c r="J168" s="28">
        <v>1095100</v>
      </c>
      <c r="K168" s="29">
        <v>605632</v>
      </c>
      <c r="L168" s="27">
        <v>474479</v>
      </c>
      <c r="M168" s="28">
        <v>244094</v>
      </c>
      <c r="N168" s="29">
        <v>-482502</v>
      </c>
      <c r="O168" s="27">
        <v>27735</v>
      </c>
      <c r="P168" s="28">
        <v>-92040</v>
      </c>
      <c r="Q168" s="29">
        <v>-26700</v>
      </c>
      <c r="R168" s="27">
        <v>0</v>
      </c>
      <c r="S168" s="28">
        <v>0</v>
      </c>
      <c r="T168" s="29">
        <v>0</v>
      </c>
      <c r="U168" s="27">
        <v>1448074</v>
      </c>
      <c r="V168" s="28">
        <v>3452222</v>
      </c>
      <c r="W168" s="29">
        <v>2695887</v>
      </c>
      <c r="X168" s="27">
        <v>232519</v>
      </c>
      <c r="Y168" s="28">
        <v>3351203</v>
      </c>
      <c r="Z168" s="29">
        <v>2836265</v>
      </c>
      <c r="AA168" s="27">
        <v>1249268</v>
      </c>
      <c r="AB168" s="28">
        <v>98266</v>
      </c>
      <c r="AC168" s="29">
        <v>-7269</v>
      </c>
      <c r="AD168" s="27">
        <v>33713</v>
      </c>
      <c r="AE168" s="28">
        <v>-2753</v>
      </c>
      <c r="AF168" s="29">
        <v>133109</v>
      </c>
      <c r="AG168" s="27">
        <v>72123.119999999879</v>
      </c>
      <c r="AH168" s="28">
        <v>111669.71999999927</v>
      </c>
      <c r="AI168" s="29">
        <v>43270.889999999898</v>
      </c>
      <c r="AJ168" s="27">
        <v>0</v>
      </c>
      <c r="AK168" s="28">
        <v>0</v>
      </c>
      <c r="AL168" s="29">
        <v>0</v>
      </c>
      <c r="AM168" s="27">
        <v>3219179.5</v>
      </c>
      <c r="AN168" s="28">
        <v>1608390.1000000006</v>
      </c>
      <c r="AO168" s="29">
        <v>259213.1100000001</v>
      </c>
      <c r="AP168" s="27">
        <v>0</v>
      </c>
      <c r="AQ168" s="28">
        <v>0</v>
      </c>
      <c r="AR168" s="29">
        <v>0</v>
      </c>
      <c r="AS168" s="24">
        <v>1.3858597842656278E-3</v>
      </c>
      <c r="AT168" s="25">
        <v>2.3806817012909432E-3</v>
      </c>
      <c r="AU168" s="26">
        <v>8.1341730088538473E-4</v>
      </c>
      <c r="AV168" s="24">
        <v>0</v>
      </c>
      <c r="AW168" s="25">
        <v>0</v>
      </c>
      <c r="AX168" s="26">
        <v>0</v>
      </c>
    </row>
    <row r="169" spans="1:50" x14ac:dyDescent="0.2">
      <c r="A169" s="22">
        <v>6703</v>
      </c>
      <c r="B169" s="23" t="s">
        <v>186</v>
      </c>
      <c r="C169" s="27">
        <v>0</v>
      </c>
      <c r="D169" s="28">
        <v>0</v>
      </c>
      <c r="E169" s="29">
        <v>0</v>
      </c>
      <c r="F169" s="27">
        <v>0</v>
      </c>
      <c r="G169" s="28">
        <v>206694</v>
      </c>
      <c r="H169" s="29">
        <v>234500</v>
      </c>
      <c r="I169" s="27">
        <v>0</v>
      </c>
      <c r="J169" s="28">
        <v>206694</v>
      </c>
      <c r="K169" s="29">
        <v>220166</v>
      </c>
      <c r="L169" s="27">
        <v>0</v>
      </c>
      <c r="M169" s="28">
        <v>0</v>
      </c>
      <c r="N169" s="29">
        <v>14334</v>
      </c>
      <c r="O169" s="27">
        <v>0</v>
      </c>
      <c r="P169" s="28">
        <v>0</v>
      </c>
      <c r="Q169" s="29">
        <v>0</v>
      </c>
      <c r="R169" s="27">
        <v>0</v>
      </c>
      <c r="S169" s="28">
        <v>0</v>
      </c>
      <c r="T169" s="29">
        <v>0</v>
      </c>
      <c r="U169" s="27">
        <v>748494</v>
      </c>
      <c r="V169" s="28">
        <v>1735721</v>
      </c>
      <c r="W169" s="29">
        <v>2355251</v>
      </c>
      <c r="X169" s="27">
        <v>535405</v>
      </c>
      <c r="Y169" s="28">
        <v>1555662</v>
      </c>
      <c r="Z169" s="29">
        <v>1854992</v>
      </c>
      <c r="AA169" s="27">
        <v>193697</v>
      </c>
      <c r="AB169" s="28">
        <v>142055</v>
      </c>
      <c r="AC169" s="29">
        <v>500120</v>
      </c>
      <c r="AD169" s="27">
        <v>-19392</v>
      </c>
      <c r="AE169" s="28">
        <v>-38004</v>
      </c>
      <c r="AF169" s="29">
        <v>-139</v>
      </c>
      <c r="AG169" s="27">
        <v>22567.799999999988</v>
      </c>
      <c r="AH169" s="28">
        <v>134005.81000000003</v>
      </c>
      <c r="AI169" s="29">
        <v>644719.64000000013</v>
      </c>
      <c r="AJ169" s="27">
        <v>0</v>
      </c>
      <c r="AK169" s="28">
        <v>0</v>
      </c>
      <c r="AL169" s="29">
        <v>0</v>
      </c>
      <c r="AM169" s="27">
        <v>1171216.5699999998</v>
      </c>
      <c r="AN169" s="28">
        <v>2117827.33</v>
      </c>
      <c r="AO169" s="29">
        <v>160524.85000000006</v>
      </c>
      <c r="AP169" s="27">
        <v>0</v>
      </c>
      <c r="AQ169" s="28">
        <v>0</v>
      </c>
      <c r="AR169" s="29">
        <v>0</v>
      </c>
      <c r="AS169" s="24">
        <v>7.6642590102368041E-4</v>
      </c>
      <c r="AT169" s="25">
        <v>4.5226491706681663E-3</v>
      </c>
      <c r="AU169" s="26">
        <v>1.9825236348086847E-2</v>
      </c>
      <c r="AV169" s="24">
        <v>0</v>
      </c>
      <c r="AW169" s="25">
        <v>0</v>
      </c>
      <c r="AX169" s="26">
        <v>0</v>
      </c>
    </row>
    <row r="170" spans="1:50" x14ac:dyDescent="0.2">
      <c r="A170" s="22">
        <v>6704</v>
      </c>
      <c r="B170" s="23" t="s">
        <v>187</v>
      </c>
      <c r="C170" s="27">
        <v>0</v>
      </c>
      <c r="D170" s="28">
        <v>0</v>
      </c>
      <c r="E170" s="29">
        <v>0</v>
      </c>
      <c r="F170" s="27">
        <v>0</v>
      </c>
      <c r="G170" s="28">
        <v>0</v>
      </c>
      <c r="H170" s="29">
        <v>0</v>
      </c>
      <c r="I170" s="27">
        <v>0</v>
      </c>
      <c r="J170" s="28">
        <v>0</v>
      </c>
      <c r="K170" s="29">
        <v>0</v>
      </c>
      <c r="L170" s="27">
        <v>0</v>
      </c>
      <c r="M170" s="28">
        <v>0</v>
      </c>
      <c r="N170" s="29">
        <v>0</v>
      </c>
      <c r="O170" s="27">
        <v>0</v>
      </c>
      <c r="P170" s="28">
        <v>0</v>
      </c>
      <c r="Q170" s="29">
        <v>0</v>
      </c>
      <c r="R170" s="27">
        <v>0</v>
      </c>
      <c r="S170" s="28">
        <v>0</v>
      </c>
      <c r="T170" s="29">
        <v>0</v>
      </c>
      <c r="U170" s="27">
        <v>473517</v>
      </c>
      <c r="V170" s="28">
        <v>1300953</v>
      </c>
      <c r="W170" s="29">
        <v>978738</v>
      </c>
      <c r="X170" s="27">
        <v>498902</v>
      </c>
      <c r="Y170" s="28">
        <v>1347158</v>
      </c>
      <c r="Z170" s="29">
        <v>939332</v>
      </c>
      <c r="AA170" s="27">
        <v>-17480</v>
      </c>
      <c r="AB170" s="28">
        <v>-36814</v>
      </c>
      <c r="AC170" s="29">
        <v>-23632</v>
      </c>
      <c r="AD170" s="27">
        <v>7905</v>
      </c>
      <c r="AE170" s="28">
        <v>9391</v>
      </c>
      <c r="AF170" s="29">
        <v>-63038</v>
      </c>
      <c r="AG170" s="27">
        <v>27035.499999999971</v>
      </c>
      <c r="AH170" s="28">
        <v>76607.559999999939</v>
      </c>
      <c r="AI170" s="29">
        <v>61437.290000000095</v>
      </c>
      <c r="AJ170" s="27">
        <v>0</v>
      </c>
      <c r="AK170" s="28">
        <v>0</v>
      </c>
      <c r="AL170" s="29">
        <v>0</v>
      </c>
      <c r="AM170" s="27">
        <v>42397.55</v>
      </c>
      <c r="AN170" s="28">
        <v>92157.950000000012</v>
      </c>
      <c r="AO170" s="29">
        <v>4550.0000000000291</v>
      </c>
      <c r="AP170" s="27">
        <v>0</v>
      </c>
      <c r="AQ170" s="28">
        <v>0</v>
      </c>
      <c r="AR170" s="29">
        <v>0</v>
      </c>
      <c r="AS170" s="24">
        <v>1.5882842658429069E-3</v>
      </c>
      <c r="AT170" s="25">
        <v>4.3032820128654278E-3</v>
      </c>
      <c r="AU170" s="26">
        <v>3.4398321126635073E-3</v>
      </c>
      <c r="AV170" s="24">
        <v>0</v>
      </c>
      <c r="AW170" s="25">
        <v>0</v>
      </c>
      <c r="AX170" s="26">
        <v>0</v>
      </c>
    </row>
    <row r="171" spans="1:50" x14ac:dyDescent="0.2">
      <c r="A171" s="22">
        <v>6705</v>
      </c>
      <c r="B171" s="23" t="s">
        <v>188</v>
      </c>
      <c r="C171" s="27">
        <v>8484</v>
      </c>
      <c r="D171" s="28">
        <v>24027</v>
      </c>
      <c r="E171" s="29">
        <v>12352</v>
      </c>
      <c r="F171" s="27">
        <v>23827</v>
      </c>
      <c r="G171" s="28">
        <v>23827</v>
      </c>
      <c r="H171" s="29">
        <v>1680</v>
      </c>
      <c r="I171" s="27">
        <v>0</v>
      </c>
      <c r="J171" s="28">
        <v>0</v>
      </c>
      <c r="K171" s="29">
        <v>0</v>
      </c>
      <c r="L171" s="27">
        <v>0</v>
      </c>
      <c r="M171" s="28">
        <v>0</v>
      </c>
      <c r="N171" s="29">
        <v>0</v>
      </c>
      <c r="O171" s="27">
        <v>-15343</v>
      </c>
      <c r="P171" s="28">
        <v>200</v>
      </c>
      <c r="Q171" s="29">
        <v>10672</v>
      </c>
      <c r="R171" s="27">
        <v>0</v>
      </c>
      <c r="S171" s="28">
        <v>0</v>
      </c>
      <c r="T171" s="29">
        <v>0</v>
      </c>
      <c r="U171" s="27">
        <v>1142438</v>
      </c>
      <c r="V171" s="28">
        <v>6085418</v>
      </c>
      <c r="W171" s="29">
        <v>3629209</v>
      </c>
      <c r="X171" s="27">
        <v>-536985</v>
      </c>
      <c r="Y171" s="28">
        <v>3896074</v>
      </c>
      <c r="Z171" s="29">
        <v>4677643</v>
      </c>
      <c r="AA171" s="27">
        <v>-1614131</v>
      </c>
      <c r="AB171" s="28">
        <v>-1122826</v>
      </c>
      <c r="AC171" s="29">
        <v>-1026204</v>
      </c>
      <c r="AD171" s="27">
        <v>-3293554</v>
      </c>
      <c r="AE171" s="28">
        <v>-3312170</v>
      </c>
      <c r="AF171" s="29">
        <v>22230</v>
      </c>
      <c r="AG171" s="27">
        <v>715099.63000000012</v>
      </c>
      <c r="AH171" s="28">
        <v>405269.88000000012</v>
      </c>
      <c r="AI171" s="29">
        <v>162403.61999999965</v>
      </c>
      <c r="AJ171" s="27">
        <v>0</v>
      </c>
      <c r="AK171" s="28">
        <v>0</v>
      </c>
      <c r="AL171" s="29">
        <v>0</v>
      </c>
      <c r="AM171" s="27">
        <v>13285734.4</v>
      </c>
      <c r="AN171" s="28">
        <v>10743481.16</v>
      </c>
      <c r="AO171" s="29">
        <v>12290759.890000001</v>
      </c>
      <c r="AP171" s="27">
        <v>0</v>
      </c>
      <c r="AQ171" s="28">
        <v>0</v>
      </c>
      <c r="AR171" s="29">
        <v>0</v>
      </c>
      <c r="AS171" s="24">
        <v>6.5767396609731727E-3</v>
      </c>
      <c r="AT171" s="25">
        <v>3.8963264025517357E-3</v>
      </c>
      <c r="AU171" s="26">
        <v>1.4166950828080787E-3</v>
      </c>
      <c r="AV171" s="24">
        <v>0</v>
      </c>
      <c r="AW171" s="25">
        <v>0</v>
      </c>
      <c r="AX171" s="26">
        <v>0</v>
      </c>
    </row>
    <row r="172" spans="1:50" x14ac:dyDescent="0.2">
      <c r="A172" s="22">
        <v>6706</v>
      </c>
      <c r="B172" s="23" t="s">
        <v>189</v>
      </c>
      <c r="C172" s="27">
        <v>0</v>
      </c>
      <c r="D172" s="28">
        <v>0</v>
      </c>
      <c r="E172" s="29">
        <v>0</v>
      </c>
      <c r="F172" s="27">
        <v>0</v>
      </c>
      <c r="G172" s="28">
        <v>1160921</v>
      </c>
      <c r="H172" s="29">
        <v>0</v>
      </c>
      <c r="I172" s="27">
        <v>0</v>
      </c>
      <c r="J172" s="28">
        <v>1163824</v>
      </c>
      <c r="K172" s="29">
        <v>0</v>
      </c>
      <c r="L172" s="27">
        <v>0</v>
      </c>
      <c r="M172" s="28">
        <v>0</v>
      </c>
      <c r="N172" s="29">
        <v>0</v>
      </c>
      <c r="O172" s="27">
        <v>0</v>
      </c>
      <c r="P172" s="28">
        <v>2903</v>
      </c>
      <c r="Q172" s="29">
        <v>0</v>
      </c>
      <c r="R172" s="27">
        <v>0</v>
      </c>
      <c r="S172" s="28">
        <v>0</v>
      </c>
      <c r="T172" s="29">
        <v>0</v>
      </c>
      <c r="U172" s="27">
        <v>438025</v>
      </c>
      <c r="V172" s="28">
        <v>1001308</v>
      </c>
      <c r="W172" s="29">
        <v>667081</v>
      </c>
      <c r="X172" s="27">
        <v>424342</v>
      </c>
      <c r="Y172" s="28">
        <v>886197</v>
      </c>
      <c r="Z172" s="29">
        <v>639291</v>
      </c>
      <c r="AA172" s="27">
        <v>60000</v>
      </c>
      <c r="AB172" s="28">
        <v>96000</v>
      </c>
      <c r="AC172" s="29">
        <v>38000</v>
      </c>
      <c r="AD172" s="27">
        <v>46317</v>
      </c>
      <c r="AE172" s="28">
        <v>-19111</v>
      </c>
      <c r="AF172" s="29">
        <v>10210</v>
      </c>
      <c r="AG172" s="27">
        <v>4142.8600000000151</v>
      </c>
      <c r="AH172" s="28">
        <v>-5.8207660913467407E-11</v>
      </c>
      <c r="AI172" s="29">
        <v>9475.5999999999767</v>
      </c>
      <c r="AJ172" s="27">
        <v>0</v>
      </c>
      <c r="AK172" s="28">
        <v>0</v>
      </c>
      <c r="AL172" s="29">
        <v>0</v>
      </c>
      <c r="AM172" s="27">
        <v>2327084.5999999996</v>
      </c>
      <c r="AN172" s="28">
        <v>1184793.8399999999</v>
      </c>
      <c r="AO172" s="29">
        <v>2292527.16</v>
      </c>
      <c r="AP172" s="27">
        <v>0</v>
      </c>
      <c r="AQ172" s="28">
        <v>0</v>
      </c>
      <c r="AR172" s="29">
        <v>0</v>
      </c>
      <c r="AS172" s="24">
        <v>1.9231318241166723E-4</v>
      </c>
      <c r="AT172" s="25">
        <v>-3.2751267010956506E-18</v>
      </c>
      <c r="AU172" s="26">
        <v>3.7066388367547364E-4</v>
      </c>
      <c r="AV172" s="24">
        <v>0</v>
      </c>
      <c r="AW172" s="25">
        <v>0</v>
      </c>
      <c r="AX172" s="26">
        <v>0</v>
      </c>
    </row>
    <row r="173" spans="1:50" x14ac:dyDescent="0.2">
      <c r="A173" s="22">
        <v>6707</v>
      </c>
      <c r="B173" s="23" t="s">
        <v>190</v>
      </c>
      <c r="C173" s="27">
        <v>0</v>
      </c>
      <c r="D173" s="28">
        <v>0</v>
      </c>
      <c r="E173" s="29">
        <v>0</v>
      </c>
      <c r="F173" s="27">
        <v>0</v>
      </c>
      <c r="G173" s="28">
        <v>0</v>
      </c>
      <c r="H173" s="29">
        <v>0</v>
      </c>
      <c r="I173" s="27">
        <v>0</v>
      </c>
      <c r="J173" s="28">
        <v>0</v>
      </c>
      <c r="K173" s="29">
        <v>0</v>
      </c>
      <c r="L173" s="27">
        <v>0</v>
      </c>
      <c r="M173" s="28">
        <v>0</v>
      </c>
      <c r="N173" s="29">
        <v>0</v>
      </c>
      <c r="O173" s="27">
        <v>0</v>
      </c>
      <c r="P173" s="28">
        <v>0</v>
      </c>
      <c r="Q173" s="29">
        <v>0</v>
      </c>
      <c r="R173" s="27">
        <v>0</v>
      </c>
      <c r="S173" s="28">
        <v>0</v>
      </c>
      <c r="T173" s="29">
        <v>0</v>
      </c>
      <c r="U173" s="27">
        <v>231043</v>
      </c>
      <c r="V173" s="28">
        <v>581363</v>
      </c>
      <c r="W173" s="29">
        <v>306046</v>
      </c>
      <c r="X173" s="27">
        <v>149644</v>
      </c>
      <c r="Y173" s="28">
        <v>436974</v>
      </c>
      <c r="Z173" s="29">
        <v>358294</v>
      </c>
      <c r="AA173" s="27">
        <v>41266</v>
      </c>
      <c r="AB173" s="28">
        <v>146569</v>
      </c>
      <c r="AC173" s="29">
        <v>-33084</v>
      </c>
      <c r="AD173" s="27">
        <v>-40133</v>
      </c>
      <c r="AE173" s="28">
        <v>2180</v>
      </c>
      <c r="AF173" s="29">
        <v>19164</v>
      </c>
      <c r="AG173" s="27">
        <v>181.81999999999971</v>
      </c>
      <c r="AH173" s="28">
        <v>406.11999999999534</v>
      </c>
      <c r="AI173" s="29">
        <v>162.11999999999534</v>
      </c>
      <c r="AJ173" s="27">
        <v>0</v>
      </c>
      <c r="AK173" s="28">
        <v>0</v>
      </c>
      <c r="AL173" s="29">
        <v>0</v>
      </c>
      <c r="AM173" s="27">
        <v>0</v>
      </c>
      <c r="AN173" s="28">
        <v>0</v>
      </c>
      <c r="AO173" s="29">
        <v>48580.799999999988</v>
      </c>
      <c r="AP173" s="27">
        <v>0</v>
      </c>
      <c r="AQ173" s="28">
        <v>0</v>
      </c>
      <c r="AR173" s="29">
        <v>0</v>
      </c>
      <c r="AS173" s="24">
        <v>1.4524919999900918E-5</v>
      </c>
      <c r="AT173" s="25">
        <v>3.14573460633388E-5</v>
      </c>
      <c r="AU173" s="26">
        <v>1.6809195413739323E-5</v>
      </c>
      <c r="AV173" s="24">
        <v>0</v>
      </c>
      <c r="AW173" s="25">
        <v>0</v>
      </c>
      <c r="AX173" s="26">
        <v>0</v>
      </c>
    </row>
    <row r="174" spans="1:50" x14ac:dyDescent="0.2">
      <c r="A174" s="22">
        <v>6801</v>
      </c>
      <c r="B174" s="23" t="s">
        <v>191</v>
      </c>
      <c r="C174" s="27">
        <v>0</v>
      </c>
      <c r="D174" s="28">
        <v>0</v>
      </c>
      <c r="E174" s="29">
        <v>0</v>
      </c>
      <c r="F174" s="27">
        <v>1756296</v>
      </c>
      <c r="G174" s="28">
        <v>1756296</v>
      </c>
      <c r="H174" s="29">
        <v>0</v>
      </c>
      <c r="I174" s="27">
        <v>2738</v>
      </c>
      <c r="J174" s="28">
        <v>2738</v>
      </c>
      <c r="K174" s="29">
        <v>0</v>
      </c>
      <c r="L174" s="27">
        <v>0</v>
      </c>
      <c r="M174" s="28">
        <v>0</v>
      </c>
      <c r="N174" s="29">
        <v>0</v>
      </c>
      <c r="O174" s="27">
        <v>-1753558</v>
      </c>
      <c r="P174" s="28">
        <v>-1753558</v>
      </c>
      <c r="Q174" s="29">
        <v>0</v>
      </c>
      <c r="R174" s="27">
        <v>0</v>
      </c>
      <c r="S174" s="28">
        <v>0</v>
      </c>
      <c r="T174" s="29">
        <v>0</v>
      </c>
      <c r="U174" s="27">
        <v>159570</v>
      </c>
      <c r="V174" s="28">
        <v>364834</v>
      </c>
      <c r="W174" s="29">
        <v>172663</v>
      </c>
      <c r="X174" s="27">
        <v>175666</v>
      </c>
      <c r="Y174" s="28">
        <v>347085</v>
      </c>
      <c r="Z174" s="29">
        <v>297810</v>
      </c>
      <c r="AA174" s="27">
        <v>-15810</v>
      </c>
      <c r="AB174" s="28">
        <v>15633</v>
      </c>
      <c r="AC174" s="29">
        <v>-17850</v>
      </c>
      <c r="AD174" s="27">
        <v>286</v>
      </c>
      <c r="AE174" s="28">
        <v>-2116</v>
      </c>
      <c r="AF174" s="29">
        <v>107297</v>
      </c>
      <c r="AG174" s="27">
        <v>34095.780000000028</v>
      </c>
      <c r="AH174" s="28">
        <v>34095.780000000028</v>
      </c>
      <c r="AI174" s="29">
        <v>34677.78</v>
      </c>
      <c r="AJ174" s="27">
        <v>0</v>
      </c>
      <c r="AK174" s="28">
        <v>0</v>
      </c>
      <c r="AL174" s="29">
        <v>0</v>
      </c>
      <c r="AM174" s="27">
        <v>1769778.8099999998</v>
      </c>
      <c r="AN174" s="28">
        <v>1769778.8099999998</v>
      </c>
      <c r="AO174" s="29">
        <v>1769778.8099999998</v>
      </c>
      <c r="AP174" s="27">
        <v>34096</v>
      </c>
      <c r="AQ174" s="28">
        <v>34096</v>
      </c>
      <c r="AR174" s="29">
        <v>34096</v>
      </c>
      <c r="AS174" s="24">
        <v>1.6887371313819334E-3</v>
      </c>
      <c r="AT174" s="25">
        <v>3.2935568605407905E-3</v>
      </c>
      <c r="AU174" s="26">
        <v>2.551047199086449E-3</v>
      </c>
      <c r="AV174" s="24">
        <v>1.6887480278086717E-3</v>
      </c>
      <c r="AW174" s="25">
        <v>3.2935781119246632E-3</v>
      </c>
      <c r="AX174" s="26">
        <v>2.5082489507705385E-3</v>
      </c>
    </row>
    <row r="175" spans="1:50" x14ac:dyDescent="0.2">
      <c r="A175" s="22">
        <v>6802</v>
      </c>
      <c r="B175" s="23" t="s">
        <v>50</v>
      </c>
      <c r="C175" s="27">
        <v>0</v>
      </c>
      <c r="D175" s="28">
        <v>0</v>
      </c>
      <c r="E175" s="29">
        <v>0</v>
      </c>
      <c r="F175" s="27">
        <v>1756913</v>
      </c>
      <c r="G175" s="28">
        <v>3221650</v>
      </c>
      <c r="H175" s="29">
        <v>292174</v>
      </c>
      <c r="I175" s="27">
        <v>0</v>
      </c>
      <c r="J175" s="28">
        <v>1464738</v>
      </c>
      <c r="K175" s="29">
        <v>292174</v>
      </c>
      <c r="L175" s="27">
        <v>100</v>
      </c>
      <c r="M175" s="28">
        <v>0</v>
      </c>
      <c r="N175" s="29">
        <v>0</v>
      </c>
      <c r="O175" s="27">
        <v>-1756813</v>
      </c>
      <c r="P175" s="28">
        <v>-1756912</v>
      </c>
      <c r="Q175" s="29">
        <v>0</v>
      </c>
      <c r="R175" s="27">
        <v>0</v>
      </c>
      <c r="S175" s="28">
        <v>0</v>
      </c>
      <c r="T175" s="29">
        <v>0</v>
      </c>
      <c r="U175" s="27">
        <v>427052</v>
      </c>
      <c r="V175" s="28">
        <v>1543306</v>
      </c>
      <c r="W175" s="29">
        <v>1882656</v>
      </c>
      <c r="X175" s="27">
        <v>834820</v>
      </c>
      <c r="Y175" s="28">
        <v>3559021</v>
      </c>
      <c r="Z175" s="29">
        <v>1851658</v>
      </c>
      <c r="AA175" s="27">
        <v>208011</v>
      </c>
      <c r="AB175" s="28">
        <v>-2001500</v>
      </c>
      <c r="AC175" s="29">
        <v>88835</v>
      </c>
      <c r="AD175" s="27">
        <v>615779</v>
      </c>
      <c r="AE175" s="28">
        <v>14215</v>
      </c>
      <c r="AF175" s="29">
        <v>57837</v>
      </c>
      <c r="AG175" s="27">
        <v>0</v>
      </c>
      <c r="AH175" s="28">
        <v>292173.53000000003</v>
      </c>
      <c r="AI175" s="29">
        <v>0</v>
      </c>
      <c r="AJ175" s="27">
        <v>0</v>
      </c>
      <c r="AK175" s="28">
        <v>0</v>
      </c>
      <c r="AL175" s="29">
        <v>0</v>
      </c>
      <c r="AM175" s="27">
        <v>2226298.0700000003</v>
      </c>
      <c r="AN175" s="28">
        <v>605479.17000000027</v>
      </c>
      <c r="AO175" s="29">
        <v>4529608.3600000003</v>
      </c>
      <c r="AP175" s="27">
        <v>0</v>
      </c>
      <c r="AQ175" s="28">
        <v>11597</v>
      </c>
      <c r="AR175" s="29">
        <v>0</v>
      </c>
      <c r="AS175" s="24">
        <v>0</v>
      </c>
      <c r="AT175" s="25">
        <v>8.9640640698408665E-3</v>
      </c>
      <c r="AU175" s="26">
        <v>0</v>
      </c>
      <c r="AV175" s="24">
        <v>0</v>
      </c>
      <c r="AW175" s="25">
        <v>3.5580311131519856E-4</v>
      </c>
      <c r="AX175" s="26">
        <v>0</v>
      </c>
    </row>
    <row r="176" spans="1:50" x14ac:dyDescent="0.2">
      <c r="A176" s="22">
        <v>6803</v>
      </c>
      <c r="B176" s="23" t="s">
        <v>192</v>
      </c>
      <c r="C176" s="27">
        <v>0</v>
      </c>
      <c r="D176" s="28">
        <v>0</v>
      </c>
      <c r="E176" s="29">
        <v>0</v>
      </c>
      <c r="F176" s="27">
        <v>1161601</v>
      </c>
      <c r="G176" s="28">
        <v>1161601</v>
      </c>
      <c r="H176" s="29">
        <v>1158858</v>
      </c>
      <c r="I176" s="27">
        <v>195579</v>
      </c>
      <c r="J176" s="28">
        <v>195579</v>
      </c>
      <c r="K176" s="29">
        <v>1168438</v>
      </c>
      <c r="L176" s="27">
        <v>0</v>
      </c>
      <c r="M176" s="28">
        <v>0</v>
      </c>
      <c r="N176" s="29">
        <v>0</v>
      </c>
      <c r="O176" s="27">
        <v>-966022</v>
      </c>
      <c r="P176" s="28">
        <v>-966022</v>
      </c>
      <c r="Q176" s="29">
        <v>9580</v>
      </c>
      <c r="R176" s="27">
        <v>0</v>
      </c>
      <c r="S176" s="28">
        <v>0</v>
      </c>
      <c r="T176" s="29">
        <v>0</v>
      </c>
      <c r="U176" s="27">
        <v>577565</v>
      </c>
      <c r="V176" s="28">
        <v>1310937</v>
      </c>
      <c r="W176" s="29">
        <v>715886</v>
      </c>
      <c r="X176" s="27">
        <v>539826</v>
      </c>
      <c r="Y176" s="28">
        <v>1080602</v>
      </c>
      <c r="Z176" s="29">
        <v>849222</v>
      </c>
      <c r="AA176" s="27">
        <v>123056</v>
      </c>
      <c r="AB176" s="28">
        <v>157291</v>
      </c>
      <c r="AC176" s="29">
        <v>-126920</v>
      </c>
      <c r="AD176" s="27">
        <v>85317</v>
      </c>
      <c r="AE176" s="28">
        <v>-73044</v>
      </c>
      <c r="AF176" s="29">
        <v>6416</v>
      </c>
      <c r="AG176" s="27">
        <v>0</v>
      </c>
      <c r="AH176" s="28">
        <v>1205608.1100000001</v>
      </c>
      <c r="AI176" s="29">
        <v>0</v>
      </c>
      <c r="AJ176" s="27">
        <v>0</v>
      </c>
      <c r="AK176" s="28">
        <v>0</v>
      </c>
      <c r="AL176" s="29">
        <v>0</v>
      </c>
      <c r="AM176" s="27">
        <v>2146905.5300000003</v>
      </c>
      <c r="AN176" s="28">
        <v>547873.97999999986</v>
      </c>
      <c r="AO176" s="29">
        <v>495370.77999999997</v>
      </c>
      <c r="AP176" s="27">
        <v>0</v>
      </c>
      <c r="AQ176" s="28">
        <v>0</v>
      </c>
      <c r="AR176" s="29">
        <v>0</v>
      </c>
      <c r="AS176" s="24">
        <v>0</v>
      </c>
      <c r="AT176" s="25">
        <v>3.8130769568700443E-2</v>
      </c>
      <c r="AU176" s="26">
        <v>0</v>
      </c>
      <c r="AV176" s="24">
        <v>0</v>
      </c>
      <c r="AW176" s="25">
        <v>0</v>
      </c>
      <c r="AX176" s="26">
        <v>0</v>
      </c>
    </row>
    <row r="177" spans="1:50" x14ac:dyDescent="0.2">
      <c r="A177" s="22">
        <v>6804</v>
      </c>
      <c r="B177" s="23" t="s">
        <v>193</v>
      </c>
      <c r="C177" s="27">
        <v>0</v>
      </c>
      <c r="D177" s="28">
        <v>0</v>
      </c>
      <c r="E177" s="29">
        <v>0</v>
      </c>
      <c r="F177" s="27">
        <v>0</v>
      </c>
      <c r="G177" s="28">
        <v>0</v>
      </c>
      <c r="H177" s="29">
        <v>0</v>
      </c>
      <c r="I177" s="27">
        <v>0</v>
      </c>
      <c r="J177" s="28">
        <v>0</v>
      </c>
      <c r="K177" s="29">
        <v>0</v>
      </c>
      <c r="L177" s="27">
        <v>0</v>
      </c>
      <c r="M177" s="28">
        <v>0</v>
      </c>
      <c r="N177" s="29">
        <v>0</v>
      </c>
      <c r="O177" s="27">
        <v>0</v>
      </c>
      <c r="P177" s="28">
        <v>0</v>
      </c>
      <c r="Q177" s="29">
        <v>0</v>
      </c>
      <c r="R177" s="27">
        <v>0</v>
      </c>
      <c r="S177" s="28">
        <v>0</v>
      </c>
      <c r="T177" s="29">
        <v>0</v>
      </c>
      <c r="U177" s="27">
        <v>218651</v>
      </c>
      <c r="V177" s="28">
        <v>948591</v>
      </c>
      <c r="W177" s="29">
        <v>263081</v>
      </c>
      <c r="X177" s="27">
        <v>280630</v>
      </c>
      <c r="Y177" s="28">
        <v>999888</v>
      </c>
      <c r="Z177" s="29">
        <v>309006</v>
      </c>
      <c r="AA177" s="27">
        <v>52187</v>
      </c>
      <c r="AB177" s="28">
        <v>-36932</v>
      </c>
      <c r="AC177" s="29">
        <v>-3545</v>
      </c>
      <c r="AD177" s="27">
        <v>114166</v>
      </c>
      <c r="AE177" s="28">
        <v>14365</v>
      </c>
      <c r="AF177" s="29">
        <v>42380</v>
      </c>
      <c r="AG177" s="27">
        <v>0</v>
      </c>
      <c r="AH177" s="28">
        <v>0</v>
      </c>
      <c r="AI177" s="29">
        <v>41101.800000000017</v>
      </c>
      <c r="AJ177" s="27">
        <v>0</v>
      </c>
      <c r="AK177" s="28">
        <v>0</v>
      </c>
      <c r="AL177" s="29">
        <v>0</v>
      </c>
      <c r="AM177" s="27">
        <v>1298.5</v>
      </c>
      <c r="AN177" s="28">
        <v>62960</v>
      </c>
      <c r="AO177" s="29">
        <v>33979.799999999996</v>
      </c>
      <c r="AP177" s="27">
        <v>0</v>
      </c>
      <c r="AQ177" s="28">
        <v>0</v>
      </c>
      <c r="AR177" s="29">
        <v>0</v>
      </c>
      <c r="AS177" s="24">
        <v>0</v>
      </c>
      <c r="AT177" s="25">
        <v>0</v>
      </c>
      <c r="AU177" s="26">
        <v>2.3027789795404536E-3</v>
      </c>
      <c r="AV177" s="24">
        <v>0</v>
      </c>
      <c r="AW177" s="25">
        <v>0</v>
      </c>
      <c r="AX177" s="26">
        <v>0</v>
      </c>
    </row>
    <row r="178" spans="1:50" x14ac:dyDescent="0.2">
      <c r="A178" s="22">
        <v>6805</v>
      </c>
      <c r="B178" s="23" t="s">
        <v>194</v>
      </c>
      <c r="C178" s="27">
        <v>0</v>
      </c>
      <c r="D178" s="28">
        <v>0</v>
      </c>
      <c r="E178" s="29">
        <v>0</v>
      </c>
      <c r="F178" s="27">
        <v>0</v>
      </c>
      <c r="G178" s="28">
        <v>543022</v>
      </c>
      <c r="H178" s="29">
        <v>0</v>
      </c>
      <c r="I178" s="27">
        <v>0</v>
      </c>
      <c r="J178" s="28">
        <v>543022</v>
      </c>
      <c r="K178" s="29">
        <v>0</v>
      </c>
      <c r="L178" s="27">
        <v>0</v>
      </c>
      <c r="M178" s="28">
        <v>0</v>
      </c>
      <c r="N178" s="29">
        <v>0</v>
      </c>
      <c r="O178" s="27">
        <v>0</v>
      </c>
      <c r="P178" s="28">
        <v>0</v>
      </c>
      <c r="Q178" s="29">
        <v>0</v>
      </c>
      <c r="R178" s="27">
        <v>0</v>
      </c>
      <c r="S178" s="28">
        <v>0</v>
      </c>
      <c r="T178" s="29">
        <v>0</v>
      </c>
      <c r="U178" s="27">
        <v>69013</v>
      </c>
      <c r="V178" s="28">
        <v>210172</v>
      </c>
      <c r="W178" s="29">
        <v>146272</v>
      </c>
      <c r="X178" s="27">
        <v>74341</v>
      </c>
      <c r="Y178" s="28">
        <v>253473</v>
      </c>
      <c r="Z178" s="29">
        <v>204766</v>
      </c>
      <c r="AA178" s="27">
        <v>0</v>
      </c>
      <c r="AB178" s="28">
        <v>0</v>
      </c>
      <c r="AC178" s="29">
        <v>35000</v>
      </c>
      <c r="AD178" s="27">
        <v>5328</v>
      </c>
      <c r="AE178" s="28">
        <v>43301</v>
      </c>
      <c r="AF178" s="29">
        <v>93494</v>
      </c>
      <c r="AG178" s="27">
        <v>2097.3499999999985</v>
      </c>
      <c r="AH178" s="28">
        <v>0</v>
      </c>
      <c r="AI178" s="29">
        <v>5760</v>
      </c>
      <c r="AJ178" s="27">
        <v>0</v>
      </c>
      <c r="AK178" s="28">
        <v>0</v>
      </c>
      <c r="AL178" s="29">
        <v>0</v>
      </c>
      <c r="AM178" s="27">
        <v>91075.140000000014</v>
      </c>
      <c r="AN178" s="28">
        <v>679817.24</v>
      </c>
      <c r="AO178" s="29">
        <v>665728.15000000014</v>
      </c>
      <c r="AP178" s="27">
        <v>0</v>
      </c>
      <c r="AQ178" s="28">
        <v>0</v>
      </c>
      <c r="AR178" s="29">
        <v>0</v>
      </c>
      <c r="AS178" s="24">
        <v>8.4278603722515565E-5</v>
      </c>
      <c r="AT178" s="25">
        <v>0</v>
      </c>
      <c r="AU178" s="26">
        <v>2.7343823803994911E-4</v>
      </c>
      <c r="AV178" s="24">
        <v>0</v>
      </c>
      <c r="AW178" s="25">
        <v>0</v>
      </c>
      <c r="AX178" s="26">
        <v>0</v>
      </c>
    </row>
    <row r="179" spans="1:50" x14ac:dyDescent="0.2">
      <c r="A179" s="22">
        <v>6806</v>
      </c>
      <c r="B179" s="23" t="s">
        <v>195</v>
      </c>
      <c r="C179" s="27">
        <v>12597</v>
      </c>
      <c r="D179" s="28">
        <v>32441</v>
      </c>
      <c r="E179" s="29">
        <v>13178</v>
      </c>
      <c r="F179" s="27">
        <v>11136</v>
      </c>
      <c r="G179" s="28">
        <v>64409</v>
      </c>
      <c r="H179" s="29">
        <v>10880</v>
      </c>
      <c r="I179" s="27">
        <v>0</v>
      </c>
      <c r="J179" s="28">
        <v>4148</v>
      </c>
      <c r="K179" s="29">
        <v>27820</v>
      </c>
      <c r="L179" s="27">
        <v>0</v>
      </c>
      <c r="M179" s="28">
        <v>27820</v>
      </c>
      <c r="N179" s="29">
        <v>-27820</v>
      </c>
      <c r="O179" s="27">
        <v>1461</v>
      </c>
      <c r="P179" s="28">
        <v>0</v>
      </c>
      <c r="Q179" s="29">
        <v>2298</v>
      </c>
      <c r="R179" s="27">
        <v>0</v>
      </c>
      <c r="S179" s="28">
        <v>0</v>
      </c>
      <c r="T179" s="29">
        <v>0</v>
      </c>
      <c r="U179" s="27">
        <v>1619890</v>
      </c>
      <c r="V179" s="28">
        <v>4257309</v>
      </c>
      <c r="W179" s="29">
        <v>3612186</v>
      </c>
      <c r="X179" s="27">
        <v>30750231</v>
      </c>
      <c r="Y179" s="28">
        <v>35217524</v>
      </c>
      <c r="Z179" s="29">
        <v>6916419</v>
      </c>
      <c r="AA179" s="27">
        <v>-28994995</v>
      </c>
      <c r="AB179" s="28">
        <v>-30549497</v>
      </c>
      <c r="AC179" s="29">
        <v>207712</v>
      </c>
      <c r="AD179" s="27">
        <v>135346</v>
      </c>
      <c r="AE179" s="28">
        <v>410718</v>
      </c>
      <c r="AF179" s="29">
        <v>3511945</v>
      </c>
      <c r="AG179" s="27">
        <v>20105.139999999985</v>
      </c>
      <c r="AH179" s="28">
        <v>11754.820000000065</v>
      </c>
      <c r="AI179" s="29">
        <v>337778.33000000007</v>
      </c>
      <c r="AJ179" s="27">
        <v>0</v>
      </c>
      <c r="AK179" s="28">
        <v>0</v>
      </c>
      <c r="AL179" s="29">
        <v>0</v>
      </c>
      <c r="AM179" s="27">
        <v>1158869.0899999996</v>
      </c>
      <c r="AN179" s="28">
        <v>7639804.0800000001</v>
      </c>
      <c r="AO179" s="29">
        <v>39004517.280000001</v>
      </c>
      <c r="AP179" s="27">
        <v>0</v>
      </c>
      <c r="AQ179" s="28">
        <v>0</v>
      </c>
      <c r="AR179" s="29">
        <v>0</v>
      </c>
      <c r="AS179" s="24">
        <v>6.9076194294517135E-5</v>
      </c>
      <c r="AT179" s="25">
        <v>4.5907382446997126E-5</v>
      </c>
      <c r="AU179" s="26">
        <v>1.0713365656427999E-3</v>
      </c>
      <c r="AV179" s="24">
        <v>0</v>
      </c>
      <c r="AW179" s="25">
        <v>0</v>
      </c>
      <c r="AX179" s="26">
        <v>0</v>
      </c>
    </row>
    <row r="180" spans="1:50" x14ac:dyDescent="0.2">
      <c r="A180" s="22">
        <v>6807</v>
      </c>
      <c r="B180" s="23" t="s">
        <v>196</v>
      </c>
      <c r="C180" s="27">
        <v>0</v>
      </c>
      <c r="D180" s="28">
        <v>0</v>
      </c>
      <c r="E180" s="29">
        <v>0</v>
      </c>
      <c r="F180" s="27">
        <v>136172</v>
      </c>
      <c r="G180" s="28">
        <v>1266920</v>
      </c>
      <c r="H180" s="29">
        <v>553142</v>
      </c>
      <c r="I180" s="27">
        <v>1669567</v>
      </c>
      <c r="J180" s="28">
        <v>2393901</v>
      </c>
      <c r="K180" s="29">
        <v>113642</v>
      </c>
      <c r="L180" s="27">
        <v>26384</v>
      </c>
      <c r="M180" s="28">
        <v>26384</v>
      </c>
      <c r="N180" s="29">
        <v>0</v>
      </c>
      <c r="O180" s="27">
        <v>1559779</v>
      </c>
      <c r="P180" s="28">
        <v>1153365</v>
      </c>
      <c r="Q180" s="29">
        <v>-439500</v>
      </c>
      <c r="R180" s="27">
        <v>0</v>
      </c>
      <c r="S180" s="28">
        <v>0</v>
      </c>
      <c r="T180" s="29">
        <v>0</v>
      </c>
      <c r="U180" s="27">
        <v>320778</v>
      </c>
      <c r="V180" s="28">
        <v>808707</v>
      </c>
      <c r="W180" s="29">
        <v>356950</v>
      </c>
      <c r="X180" s="27">
        <v>270295</v>
      </c>
      <c r="Y180" s="28">
        <v>790806</v>
      </c>
      <c r="Z180" s="29">
        <v>373064</v>
      </c>
      <c r="AA180" s="27">
        <v>47493</v>
      </c>
      <c r="AB180" s="28">
        <v>14993</v>
      </c>
      <c r="AC180" s="29">
        <v>4131</v>
      </c>
      <c r="AD180" s="27">
        <v>-2990</v>
      </c>
      <c r="AE180" s="28">
        <v>-2908</v>
      </c>
      <c r="AF180" s="29">
        <v>20245</v>
      </c>
      <c r="AG180" s="27">
        <v>9897.2900000000081</v>
      </c>
      <c r="AH180" s="28">
        <v>26611.75</v>
      </c>
      <c r="AI180" s="29">
        <v>35914.629999999946</v>
      </c>
      <c r="AJ180" s="27">
        <v>0</v>
      </c>
      <c r="AK180" s="28">
        <v>0</v>
      </c>
      <c r="AL180" s="29">
        <v>0</v>
      </c>
      <c r="AM180" s="27">
        <v>3578337.89</v>
      </c>
      <c r="AN180" s="28">
        <v>3763426.13</v>
      </c>
      <c r="AO180" s="29">
        <v>3454731.18</v>
      </c>
      <c r="AP180" s="27">
        <v>0</v>
      </c>
      <c r="AQ180" s="28">
        <v>0</v>
      </c>
      <c r="AR180" s="29">
        <v>0</v>
      </c>
      <c r="AS180" s="24">
        <v>5.1014976015880667E-4</v>
      </c>
      <c r="AT180" s="25">
        <v>1.4223884506018429E-3</v>
      </c>
      <c r="AU180" s="26">
        <v>1.7198150788273832E-3</v>
      </c>
      <c r="AV180" s="24">
        <v>0</v>
      </c>
      <c r="AW180" s="25">
        <v>0</v>
      </c>
      <c r="AX180" s="26">
        <v>0</v>
      </c>
    </row>
    <row r="181" spans="1:50" x14ac:dyDescent="0.2">
      <c r="A181" s="22">
        <v>6808</v>
      </c>
      <c r="B181" s="23" t="s">
        <v>197</v>
      </c>
      <c r="C181" s="27">
        <v>0</v>
      </c>
      <c r="D181" s="28">
        <v>0</v>
      </c>
      <c r="E181" s="29">
        <v>0</v>
      </c>
      <c r="F181" s="27">
        <v>961223</v>
      </c>
      <c r="G181" s="28">
        <v>1153468</v>
      </c>
      <c r="H181" s="29">
        <v>0</v>
      </c>
      <c r="I181" s="27">
        <v>974173</v>
      </c>
      <c r="J181" s="28">
        <v>1169008</v>
      </c>
      <c r="K181" s="29">
        <v>0</v>
      </c>
      <c r="L181" s="27">
        <v>0</v>
      </c>
      <c r="M181" s="28">
        <v>-15540</v>
      </c>
      <c r="N181" s="29">
        <v>0</v>
      </c>
      <c r="O181" s="27">
        <v>12950</v>
      </c>
      <c r="P181" s="28">
        <v>0</v>
      </c>
      <c r="Q181" s="29">
        <v>0</v>
      </c>
      <c r="R181" s="27">
        <v>0</v>
      </c>
      <c r="S181" s="28">
        <v>0</v>
      </c>
      <c r="T181" s="29">
        <v>0</v>
      </c>
      <c r="U181" s="27">
        <v>54269</v>
      </c>
      <c r="V181" s="28">
        <v>210914</v>
      </c>
      <c r="W181" s="29">
        <v>263923</v>
      </c>
      <c r="X181" s="27">
        <v>41357</v>
      </c>
      <c r="Y181" s="28">
        <v>202233</v>
      </c>
      <c r="Z181" s="29">
        <v>259917</v>
      </c>
      <c r="AA181" s="27">
        <v>14233</v>
      </c>
      <c r="AB181" s="28">
        <v>31549</v>
      </c>
      <c r="AC181" s="29">
        <v>3957</v>
      </c>
      <c r="AD181" s="27">
        <v>1321</v>
      </c>
      <c r="AE181" s="28">
        <v>22868</v>
      </c>
      <c r="AF181" s="29">
        <v>-49</v>
      </c>
      <c r="AG181" s="27">
        <v>192244.5</v>
      </c>
      <c r="AH181" s="28">
        <v>9000.0000000000018</v>
      </c>
      <c r="AI181" s="29">
        <v>0</v>
      </c>
      <c r="AJ181" s="27">
        <v>0</v>
      </c>
      <c r="AK181" s="28">
        <v>0</v>
      </c>
      <c r="AL181" s="29">
        <v>0</v>
      </c>
      <c r="AM181" s="27">
        <v>284536.53000000003</v>
      </c>
      <c r="AN181" s="28">
        <v>289345.80000000005</v>
      </c>
      <c r="AO181" s="29">
        <v>169670.39999999999</v>
      </c>
      <c r="AP181" s="27">
        <v>0</v>
      </c>
      <c r="AQ181" s="28">
        <v>0</v>
      </c>
      <c r="AR181" s="29">
        <v>0</v>
      </c>
      <c r="AS181" s="24">
        <v>1.482152256123854E-2</v>
      </c>
      <c r="AT181" s="25">
        <v>6.3388879364905423E-4</v>
      </c>
      <c r="AU181" s="26">
        <v>0</v>
      </c>
      <c r="AV181" s="24">
        <v>0</v>
      </c>
      <c r="AW181" s="25">
        <v>0</v>
      </c>
      <c r="AX181" s="26">
        <v>0</v>
      </c>
    </row>
    <row r="182" spans="1:50" x14ac:dyDescent="0.2">
      <c r="A182" s="22">
        <v>6901</v>
      </c>
      <c r="B182" s="23" t="s">
        <v>198</v>
      </c>
      <c r="C182" s="27">
        <v>0</v>
      </c>
      <c r="D182" s="28">
        <v>0</v>
      </c>
      <c r="E182" s="29">
        <v>0</v>
      </c>
      <c r="F182" s="27">
        <v>692599</v>
      </c>
      <c r="G182" s="28">
        <v>692599</v>
      </c>
      <c r="H182" s="29">
        <v>0</v>
      </c>
      <c r="I182" s="27">
        <v>700295</v>
      </c>
      <c r="J182" s="28">
        <v>700295</v>
      </c>
      <c r="K182" s="29">
        <v>0</v>
      </c>
      <c r="L182" s="27">
        <v>-11</v>
      </c>
      <c r="M182" s="28">
        <v>-53093</v>
      </c>
      <c r="N182" s="29">
        <v>0</v>
      </c>
      <c r="O182" s="27">
        <v>7685</v>
      </c>
      <c r="P182" s="28">
        <v>-45397</v>
      </c>
      <c r="Q182" s="29">
        <v>0</v>
      </c>
      <c r="R182" s="27">
        <v>0</v>
      </c>
      <c r="S182" s="28">
        <v>0</v>
      </c>
      <c r="T182" s="29">
        <v>0</v>
      </c>
      <c r="U182" s="27">
        <v>242506</v>
      </c>
      <c r="V182" s="28">
        <v>535839</v>
      </c>
      <c r="W182" s="29">
        <v>1055248</v>
      </c>
      <c r="X182" s="27">
        <v>506256</v>
      </c>
      <c r="Y182" s="28">
        <v>916652</v>
      </c>
      <c r="Z182" s="29">
        <v>559595</v>
      </c>
      <c r="AA182" s="27">
        <v>89164</v>
      </c>
      <c r="AB182" s="28">
        <v>-19956</v>
      </c>
      <c r="AC182" s="29">
        <v>194624</v>
      </c>
      <c r="AD182" s="27">
        <v>352914</v>
      </c>
      <c r="AE182" s="28">
        <v>360857</v>
      </c>
      <c r="AF182" s="29">
        <v>-301029</v>
      </c>
      <c r="AG182" s="27">
        <v>0</v>
      </c>
      <c r="AH182" s="28">
        <v>0</v>
      </c>
      <c r="AI182" s="29">
        <v>0</v>
      </c>
      <c r="AJ182" s="27">
        <v>0</v>
      </c>
      <c r="AK182" s="28">
        <v>0</v>
      </c>
      <c r="AL182" s="29">
        <v>0</v>
      </c>
      <c r="AM182" s="27">
        <v>443217.48000000004</v>
      </c>
      <c r="AN182" s="28">
        <v>1765068.76</v>
      </c>
      <c r="AO182" s="29">
        <v>1419322.87</v>
      </c>
      <c r="AP182" s="27">
        <v>0</v>
      </c>
      <c r="AQ182" s="28">
        <v>0</v>
      </c>
      <c r="AR182" s="29">
        <v>0</v>
      </c>
      <c r="AS182" s="24">
        <v>0</v>
      </c>
      <c r="AT182" s="25">
        <v>0</v>
      </c>
      <c r="AU182" s="26">
        <v>0</v>
      </c>
      <c r="AV182" s="24">
        <v>0</v>
      </c>
      <c r="AW182" s="25">
        <v>0</v>
      </c>
      <c r="AX182" s="26">
        <v>0</v>
      </c>
    </row>
    <row r="183" spans="1:50" x14ac:dyDescent="0.2">
      <c r="A183" s="22">
        <v>6902</v>
      </c>
      <c r="B183" s="23" t="s">
        <v>199</v>
      </c>
      <c r="C183" s="27">
        <v>25423</v>
      </c>
      <c r="D183" s="28">
        <v>132101</v>
      </c>
      <c r="E183" s="29">
        <v>31416</v>
      </c>
      <c r="F183" s="27">
        <v>252997</v>
      </c>
      <c r="G183" s="28">
        <v>2393092</v>
      </c>
      <c r="H183" s="29">
        <v>609348</v>
      </c>
      <c r="I183" s="27">
        <v>255346</v>
      </c>
      <c r="J183" s="28">
        <v>2827315</v>
      </c>
      <c r="K183" s="29">
        <v>73308</v>
      </c>
      <c r="L183" s="27">
        <v>480</v>
      </c>
      <c r="M183" s="28">
        <v>-480</v>
      </c>
      <c r="N183" s="29">
        <v>0</v>
      </c>
      <c r="O183" s="27">
        <v>28252</v>
      </c>
      <c r="P183" s="28">
        <v>565844</v>
      </c>
      <c r="Q183" s="29">
        <v>-504624</v>
      </c>
      <c r="R183" s="27">
        <v>0</v>
      </c>
      <c r="S183" s="28">
        <v>0</v>
      </c>
      <c r="T183" s="29">
        <v>0</v>
      </c>
      <c r="U183" s="27">
        <v>276281</v>
      </c>
      <c r="V183" s="28">
        <v>881016</v>
      </c>
      <c r="W183" s="29">
        <v>917686</v>
      </c>
      <c r="X183" s="27">
        <v>306201</v>
      </c>
      <c r="Y183" s="28">
        <v>882669</v>
      </c>
      <c r="Z183" s="29">
        <v>849249</v>
      </c>
      <c r="AA183" s="27">
        <v>16370</v>
      </c>
      <c r="AB183" s="28">
        <v>16816</v>
      </c>
      <c r="AC183" s="29">
        <v>44000</v>
      </c>
      <c r="AD183" s="27">
        <v>46290</v>
      </c>
      <c r="AE183" s="28">
        <v>18469</v>
      </c>
      <c r="AF183" s="29">
        <v>-24437</v>
      </c>
      <c r="AG183" s="27">
        <v>4182024.92</v>
      </c>
      <c r="AH183" s="28">
        <v>4517066.5200000005</v>
      </c>
      <c r="AI183" s="29">
        <v>5050985.6500000004</v>
      </c>
      <c r="AJ183" s="27">
        <v>0</v>
      </c>
      <c r="AK183" s="28">
        <v>0</v>
      </c>
      <c r="AL183" s="29">
        <v>0</v>
      </c>
      <c r="AM183" s="27">
        <v>88811.829999999973</v>
      </c>
      <c r="AN183" s="28">
        <v>1906552.4</v>
      </c>
      <c r="AO183" s="29">
        <v>1584468.0900000003</v>
      </c>
      <c r="AP183" s="27">
        <v>0</v>
      </c>
      <c r="AQ183" s="28">
        <v>0</v>
      </c>
      <c r="AR183" s="29">
        <v>0</v>
      </c>
      <c r="AS183" s="24">
        <v>0.19471232635751792</v>
      </c>
      <c r="AT183" s="25">
        <v>0.2035430808560616</v>
      </c>
      <c r="AU183" s="26">
        <v>0.22257088700192465</v>
      </c>
      <c r="AV183" s="24">
        <v>0</v>
      </c>
      <c r="AW183" s="25">
        <v>0</v>
      </c>
      <c r="AX183" s="26">
        <v>0</v>
      </c>
    </row>
    <row r="184" spans="1:50" x14ac:dyDescent="0.2">
      <c r="A184" s="22">
        <v>6903</v>
      </c>
      <c r="B184" s="23" t="s">
        <v>200</v>
      </c>
      <c r="C184" s="27">
        <v>0</v>
      </c>
      <c r="D184" s="28">
        <v>0</v>
      </c>
      <c r="E184" s="29">
        <v>0</v>
      </c>
      <c r="F184" s="27">
        <v>0</v>
      </c>
      <c r="G184" s="28">
        <v>-7678</v>
      </c>
      <c r="H184" s="29">
        <v>0</v>
      </c>
      <c r="I184" s="27">
        <v>0</v>
      </c>
      <c r="J184" s="28">
        <v>0</v>
      </c>
      <c r="K184" s="29">
        <v>0</v>
      </c>
      <c r="L184" s="27">
        <v>0</v>
      </c>
      <c r="M184" s="28">
        <v>-7700</v>
      </c>
      <c r="N184" s="29">
        <v>0</v>
      </c>
      <c r="O184" s="27">
        <v>0</v>
      </c>
      <c r="P184" s="28">
        <v>-22</v>
      </c>
      <c r="Q184" s="29">
        <v>0</v>
      </c>
      <c r="R184" s="27">
        <v>0</v>
      </c>
      <c r="S184" s="28">
        <v>0</v>
      </c>
      <c r="T184" s="29">
        <v>0</v>
      </c>
      <c r="U184" s="27">
        <v>625197</v>
      </c>
      <c r="V184" s="28">
        <v>1953953</v>
      </c>
      <c r="W184" s="29">
        <v>1161285</v>
      </c>
      <c r="X184" s="27">
        <v>754706</v>
      </c>
      <c r="Y184" s="28">
        <v>1985814</v>
      </c>
      <c r="Z184" s="29">
        <v>1236829</v>
      </c>
      <c r="AA184" s="27">
        <v>105000</v>
      </c>
      <c r="AB184" s="28">
        <v>-19673</v>
      </c>
      <c r="AC184" s="29">
        <v>51865</v>
      </c>
      <c r="AD184" s="27">
        <v>234509</v>
      </c>
      <c r="AE184" s="28">
        <v>12188</v>
      </c>
      <c r="AF184" s="29">
        <v>127409</v>
      </c>
      <c r="AG184" s="27">
        <v>43351.469999999987</v>
      </c>
      <c r="AH184" s="28">
        <v>39036.589999999997</v>
      </c>
      <c r="AI184" s="29">
        <v>39036.589999999997</v>
      </c>
      <c r="AJ184" s="27">
        <v>0</v>
      </c>
      <c r="AK184" s="28">
        <v>0</v>
      </c>
      <c r="AL184" s="29">
        <v>0</v>
      </c>
      <c r="AM184" s="27">
        <v>1075111.18</v>
      </c>
      <c r="AN184" s="28">
        <v>954282.37</v>
      </c>
      <c r="AO184" s="29">
        <v>1086118.8</v>
      </c>
      <c r="AP184" s="27">
        <v>39037</v>
      </c>
      <c r="AQ184" s="28">
        <v>39037</v>
      </c>
      <c r="AR184" s="29">
        <v>0</v>
      </c>
      <c r="AS184" s="24">
        <v>8.5393278656042406E-4</v>
      </c>
      <c r="AT184" s="25">
        <v>7.9029064991536016E-4</v>
      </c>
      <c r="AU184" s="26">
        <v>7.3740069014190872E-4</v>
      </c>
      <c r="AV184" s="24">
        <v>7.6894680131860084E-4</v>
      </c>
      <c r="AW184" s="25">
        <v>7.9029895031164138E-4</v>
      </c>
      <c r="AX184" s="26">
        <v>0</v>
      </c>
    </row>
    <row r="185" spans="1:50" x14ac:dyDescent="0.2">
      <c r="A185" s="22">
        <v>6904</v>
      </c>
      <c r="B185" s="23" t="s">
        <v>201</v>
      </c>
      <c r="C185" s="27">
        <v>13112</v>
      </c>
      <c r="D185" s="28">
        <v>29016</v>
      </c>
      <c r="E185" s="29">
        <v>19661</v>
      </c>
      <c r="F185" s="27">
        <v>55052</v>
      </c>
      <c r="G185" s="28">
        <v>1402624</v>
      </c>
      <c r="H185" s="29">
        <v>118812</v>
      </c>
      <c r="I185" s="27">
        <v>1231503</v>
      </c>
      <c r="J185" s="28">
        <v>1475043</v>
      </c>
      <c r="K185" s="29">
        <v>2514</v>
      </c>
      <c r="L185" s="27">
        <v>0</v>
      </c>
      <c r="M185" s="28">
        <v>-19757</v>
      </c>
      <c r="N185" s="29">
        <v>595</v>
      </c>
      <c r="O185" s="27">
        <v>1189563</v>
      </c>
      <c r="P185" s="28">
        <v>81678</v>
      </c>
      <c r="Q185" s="29">
        <v>-96042</v>
      </c>
      <c r="R185" s="27">
        <v>0</v>
      </c>
      <c r="S185" s="28">
        <v>0</v>
      </c>
      <c r="T185" s="29">
        <v>0</v>
      </c>
      <c r="U185" s="27">
        <v>961205</v>
      </c>
      <c r="V185" s="28">
        <v>1835710</v>
      </c>
      <c r="W185" s="29">
        <v>1080699</v>
      </c>
      <c r="X185" s="27">
        <v>281640</v>
      </c>
      <c r="Y185" s="28">
        <v>1462898</v>
      </c>
      <c r="Z185" s="29">
        <v>1340202</v>
      </c>
      <c r="AA185" s="27">
        <v>701696</v>
      </c>
      <c r="AB185" s="28">
        <v>381899</v>
      </c>
      <c r="AC185" s="29">
        <v>-223116</v>
      </c>
      <c r="AD185" s="27">
        <v>22131</v>
      </c>
      <c r="AE185" s="28">
        <v>9087</v>
      </c>
      <c r="AF185" s="29">
        <v>36387</v>
      </c>
      <c r="AG185" s="27">
        <v>44963.01</v>
      </c>
      <c r="AH185" s="28">
        <v>59127.280000000028</v>
      </c>
      <c r="AI185" s="29">
        <v>1456918.55</v>
      </c>
      <c r="AJ185" s="27">
        <v>0</v>
      </c>
      <c r="AK185" s="28">
        <v>0</v>
      </c>
      <c r="AL185" s="29">
        <v>0</v>
      </c>
      <c r="AM185" s="27">
        <v>2829819.69</v>
      </c>
      <c r="AN185" s="28">
        <v>1815197.9400000002</v>
      </c>
      <c r="AO185" s="29">
        <v>99803.870000000112</v>
      </c>
      <c r="AP185" s="27">
        <v>0</v>
      </c>
      <c r="AQ185" s="28">
        <v>0</v>
      </c>
      <c r="AR185" s="29">
        <v>0</v>
      </c>
      <c r="AS185" s="24">
        <v>2.4850158765635528E-3</v>
      </c>
      <c r="AT185" s="25">
        <v>3.6795352607235277E-3</v>
      </c>
      <c r="AU185" s="26">
        <v>7.0634923713168943E-2</v>
      </c>
      <c r="AV185" s="24">
        <v>0</v>
      </c>
      <c r="AW185" s="25">
        <v>0</v>
      </c>
      <c r="AX185" s="26">
        <v>0</v>
      </c>
    </row>
    <row r="186" spans="1:50" x14ac:dyDescent="0.2">
      <c r="A186" s="22">
        <v>6905</v>
      </c>
      <c r="B186" s="23" t="s">
        <v>202</v>
      </c>
      <c r="C186" s="27">
        <v>8000</v>
      </c>
      <c r="D186" s="28">
        <v>18621</v>
      </c>
      <c r="E186" s="29">
        <v>8149</v>
      </c>
      <c r="F186" s="27">
        <v>8359</v>
      </c>
      <c r="G186" s="28">
        <v>18634</v>
      </c>
      <c r="H186" s="29">
        <v>10807</v>
      </c>
      <c r="I186" s="27">
        <v>0</v>
      </c>
      <c r="J186" s="28">
        <v>0</v>
      </c>
      <c r="K186" s="29">
        <v>0</v>
      </c>
      <c r="L186" s="27">
        <v>0</v>
      </c>
      <c r="M186" s="28">
        <v>0</v>
      </c>
      <c r="N186" s="29">
        <v>657</v>
      </c>
      <c r="O186" s="27">
        <v>-359</v>
      </c>
      <c r="P186" s="28">
        <v>-13</v>
      </c>
      <c r="Q186" s="29">
        <v>-2001</v>
      </c>
      <c r="R186" s="27">
        <v>0</v>
      </c>
      <c r="S186" s="28">
        <v>20204</v>
      </c>
      <c r="T186" s="29">
        <v>40408</v>
      </c>
      <c r="U186" s="27">
        <v>1480267</v>
      </c>
      <c r="V186" s="28">
        <v>4511610</v>
      </c>
      <c r="W186" s="29">
        <v>2275069</v>
      </c>
      <c r="X186" s="27">
        <v>1338952</v>
      </c>
      <c r="Y186" s="28">
        <v>3555363</v>
      </c>
      <c r="Z186" s="29">
        <v>6260498</v>
      </c>
      <c r="AA186" s="27">
        <v>449464</v>
      </c>
      <c r="AB186" s="28">
        <v>1168107</v>
      </c>
      <c r="AC186" s="29">
        <v>-686819</v>
      </c>
      <c r="AD186" s="27">
        <v>308149</v>
      </c>
      <c r="AE186" s="28">
        <v>232064</v>
      </c>
      <c r="AF186" s="29">
        <v>3339018</v>
      </c>
      <c r="AG186" s="27">
        <v>13096.339999999967</v>
      </c>
      <c r="AH186" s="28">
        <v>51377.749999999767</v>
      </c>
      <c r="AI186" s="29">
        <v>41337.739999999991</v>
      </c>
      <c r="AJ186" s="27">
        <v>0</v>
      </c>
      <c r="AK186" s="28">
        <v>0</v>
      </c>
      <c r="AL186" s="29">
        <v>0</v>
      </c>
      <c r="AM186" s="27">
        <v>2069500.51</v>
      </c>
      <c r="AN186" s="28">
        <v>4803773.1499999994</v>
      </c>
      <c r="AO186" s="29">
        <v>23442068.539999999</v>
      </c>
      <c r="AP186" s="27">
        <v>0</v>
      </c>
      <c r="AQ186" s="28">
        <v>0</v>
      </c>
      <c r="AR186" s="29">
        <v>0</v>
      </c>
      <c r="AS186" s="24">
        <v>1.3809345653826351E-4</v>
      </c>
      <c r="AT186" s="25">
        <v>5.1813560593918086E-4</v>
      </c>
      <c r="AU186" s="26">
        <v>3.7245056869706896E-4</v>
      </c>
      <c r="AV186" s="24">
        <v>0</v>
      </c>
      <c r="AW186" s="25">
        <v>0</v>
      </c>
      <c r="AX186" s="26">
        <v>0</v>
      </c>
    </row>
    <row r="187" spans="1:50" x14ac:dyDescent="0.2">
      <c r="A187" s="22">
        <v>6906</v>
      </c>
      <c r="B187" s="23" t="s">
        <v>203</v>
      </c>
      <c r="C187" s="27">
        <v>22966</v>
      </c>
      <c r="D187" s="28">
        <v>145045</v>
      </c>
      <c r="E187" s="29">
        <v>39184</v>
      </c>
      <c r="F187" s="27">
        <v>928691</v>
      </c>
      <c r="G187" s="28">
        <v>1385403</v>
      </c>
      <c r="H187" s="29">
        <v>170456</v>
      </c>
      <c r="I187" s="27">
        <v>1166121</v>
      </c>
      <c r="J187" s="28">
        <v>1202777</v>
      </c>
      <c r="K187" s="29">
        <v>165432</v>
      </c>
      <c r="L187" s="27">
        <v>92540</v>
      </c>
      <c r="M187" s="28">
        <v>7848</v>
      </c>
      <c r="N187" s="29">
        <v>-15332</v>
      </c>
      <c r="O187" s="27">
        <v>352936</v>
      </c>
      <c r="P187" s="28">
        <v>-29733</v>
      </c>
      <c r="Q187" s="29">
        <v>18828</v>
      </c>
      <c r="R187" s="27">
        <v>0</v>
      </c>
      <c r="S187" s="28">
        <v>0</v>
      </c>
      <c r="T187" s="29">
        <v>0</v>
      </c>
      <c r="U187" s="27">
        <v>283751</v>
      </c>
      <c r="V187" s="28">
        <v>845069</v>
      </c>
      <c r="W187" s="29">
        <v>486651</v>
      </c>
      <c r="X187" s="27">
        <v>256455</v>
      </c>
      <c r="Y187" s="28">
        <v>881358</v>
      </c>
      <c r="Z187" s="29">
        <v>545742</v>
      </c>
      <c r="AA187" s="27">
        <v>57826</v>
      </c>
      <c r="AB187" s="28">
        <v>-5430</v>
      </c>
      <c r="AC187" s="29">
        <v>26940</v>
      </c>
      <c r="AD187" s="27">
        <v>30530</v>
      </c>
      <c r="AE187" s="28">
        <v>30859</v>
      </c>
      <c r="AF187" s="29">
        <v>86031</v>
      </c>
      <c r="AG187" s="27">
        <v>16354.969999999987</v>
      </c>
      <c r="AH187" s="28">
        <v>264845.82999999978</v>
      </c>
      <c r="AI187" s="29">
        <v>361217.10000000003</v>
      </c>
      <c r="AJ187" s="27">
        <v>0</v>
      </c>
      <c r="AK187" s="28">
        <v>0</v>
      </c>
      <c r="AL187" s="29">
        <v>0</v>
      </c>
      <c r="AM187" s="27">
        <v>16712256.389999999</v>
      </c>
      <c r="AN187" s="28">
        <v>16148569.889999999</v>
      </c>
      <c r="AO187" s="29">
        <v>16054289.800000001</v>
      </c>
      <c r="AP187" s="27">
        <v>0</v>
      </c>
      <c r="AQ187" s="28">
        <v>0</v>
      </c>
      <c r="AR187" s="29">
        <v>0</v>
      </c>
      <c r="AS187" s="24">
        <v>1.4459654836663941E-3</v>
      </c>
      <c r="AT187" s="25">
        <v>2.0332845905463852E-2</v>
      </c>
      <c r="AU187" s="26">
        <v>2.7295079161427867E-2</v>
      </c>
      <c r="AV187" s="24">
        <v>0</v>
      </c>
      <c r="AW187" s="25">
        <v>0</v>
      </c>
      <c r="AX187" s="26">
        <v>0</v>
      </c>
    </row>
    <row r="188" spans="1:50" x14ac:dyDescent="0.2">
      <c r="A188" s="22">
        <v>6907</v>
      </c>
      <c r="B188" s="23" t="s">
        <v>204</v>
      </c>
      <c r="C188" s="27">
        <v>0</v>
      </c>
      <c r="D188" s="28">
        <v>0</v>
      </c>
      <c r="E188" s="29">
        <v>0</v>
      </c>
      <c r="F188" s="27">
        <v>397134</v>
      </c>
      <c r="G188" s="28">
        <v>751870</v>
      </c>
      <c r="H188" s="29">
        <v>367414</v>
      </c>
      <c r="I188" s="27">
        <v>475231</v>
      </c>
      <c r="J188" s="28">
        <v>1065412</v>
      </c>
      <c r="K188" s="29">
        <v>44181</v>
      </c>
      <c r="L188" s="27">
        <v>204865</v>
      </c>
      <c r="M188" s="28">
        <v>-233020</v>
      </c>
      <c r="N188" s="29">
        <v>192396</v>
      </c>
      <c r="O188" s="27">
        <v>282962</v>
      </c>
      <c r="P188" s="28">
        <v>80522</v>
      </c>
      <c r="Q188" s="29">
        <v>-130837</v>
      </c>
      <c r="R188" s="27">
        <v>0</v>
      </c>
      <c r="S188" s="28">
        <v>0</v>
      </c>
      <c r="T188" s="29">
        <v>0</v>
      </c>
      <c r="U188" s="27">
        <v>820473</v>
      </c>
      <c r="V188" s="28">
        <v>1386970</v>
      </c>
      <c r="W188" s="29">
        <v>1953089</v>
      </c>
      <c r="X188" s="27">
        <v>-959063</v>
      </c>
      <c r="Y188" s="28">
        <v>567868</v>
      </c>
      <c r="Z188" s="29">
        <v>940345</v>
      </c>
      <c r="AA188" s="27">
        <v>-594591</v>
      </c>
      <c r="AB188" s="28">
        <v>-883672</v>
      </c>
      <c r="AC188" s="29">
        <v>624368</v>
      </c>
      <c r="AD188" s="27">
        <v>-2374127</v>
      </c>
      <c r="AE188" s="28">
        <v>-1702774</v>
      </c>
      <c r="AF188" s="29">
        <v>-388376</v>
      </c>
      <c r="AG188" s="27">
        <v>279379.26</v>
      </c>
      <c r="AH188" s="28">
        <v>231803.30000000005</v>
      </c>
      <c r="AI188" s="29">
        <v>213652.53000000003</v>
      </c>
      <c r="AJ188" s="27">
        <v>0</v>
      </c>
      <c r="AK188" s="28">
        <v>0</v>
      </c>
      <c r="AL188" s="29">
        <v>0</v>
      </c>
      <c r="AM188" s="27">
        <v>687427.8</v>
      </c>
      <c r="AN188" s="28">
        <v>3614365.59</v>
      </c>
      <c r="AO188" s="29">
        <v>6758472.5300000003</v>
      </c>
      <c r="AP188" s="27">
        <v>0</v>
      </c>
      <c r="AQ188" s="28">
        <v>0</v>
      </c>
      <c r="AR188" s="29">
        <v>0</v>
      </c>
      <c r="AS188" s="24">
        <v>8.9561260859708312E-3</v>
      </c>
      <c r="AT188" s="25">
        <v>7.1201478979260558E-3</v>
      </c>
      <c r="AU188" s="26">
        <v>6.5170853901639642E-3</v>
      </c>
      <c r="AV188" s="24">
        <v>0</v>
      </c>
      <c r="AW188" s="25">
        <v>0</v>
      </c>
      <c r="AX188" s="26">
        <v>0</v>
      </c>
    </row>
    <row r="189" spans="1:50" x14ac:dyDescent="0.2">
      <c r="A189" s="22">
        <v>7001</v>
      </c>
      <c r="B189" s="23" t="s">
        <v>205</v>
      </c>
      <c r="C189" s="27">
        <v>0</v>
      </c>
      <c r="D189" s="28">
        <v>-27</v>
      </c>
      <c r="E189" s="29">
        <v>0</v>
      </c>
      <c r="F189" s="27">
        <v>18500</v>
      </c>
      <c r="G189" s="28">
        <v>222824</v>
      </c>
      <c r="H189" s="29">
        <v>198948</v>
      </c>
      <c r="I189" s="27">
        <v>4265</v>
      </c>
      <c r="J189" s="28">
        <v>275762</v>
      </c>
      <c r="K189" s="29">
        <v>1241524</v>
      </c>
      <c r="L189" s="27">
        <v>14235</v>
      </c>
      <c r="M189" s="28">
        <v>91295</v>
      </c>
      <c r="N189" s="29">
        <v>-94974</v>
      </c>
      <c r="O189" s="27">
        <v>0</v>
      </c>
      <c r="P189" s="28">
        <v>144206</v>
      </c>
      <c r="Q189" s="29">
        <v>947602</v>
      </c>
      <c r="R189" s="27">
        <v>0</v>
      </c>
      <c r="S189" s="28">
        <v>0</v>
      </c>
      <c r="T189" s="29">
        <v>0</v>
      </c>
      <c r="U189" s="27">
        <v>1165200</v>
      </c>
      <c r="V189" s="28">
        <v>2843020</v>
      </c>
      <c r="W189" s="29">
        <v>1676166</v>
      </c>
      <c r="X189" s="27">
        <v>1563847</v>
      </c>
      <c r="Y189" s="28">
        <v>2784976</v>
      </c>
      <c r="Z189" s="29">
        <v>1252806</v>
      </c>
      <c r="AA189" s="27">
        <v>57325</v>
      </c>
      <c r="AB189" s="28">
        <v>10620</v>
      </c>
      <c r="AC189" s="29">
        <v>314997</v>
      </c>
      <c r="AD189" s="27">
        <v>455972</v>
      </c>
      <c r="AE189" s="28">
        <v>-47424</v>
      </c>
      <c r="AF189" s="29">
        <v>-108363</v>
      </c>
      <c r="AG189" s="27">
        <v>0</v>
      </c>
      <c r="AH189" s="28">
        <v>105837.85999999996</v>
      </c>
      <c r="AI189" s="29">
        <v>1094.3999999999942</v>
      </c>
      <c r="AJ189" s="27">
        <v>0</v>
      </c>
      <c r="AK189" s="28">
        <v>0</v>
      </c>
      <c r="AL189" s="29">
        <v>0</v>
      </c>
      <c r="AM189" s="27">
        <v>2524142.58</v>
      </c>
      <c r="AN189" s="28">
        <v>7823703.2300000004</v>
      </c>
      <c r="AO189" s="29">
        <v>7872445.0299999993</v>
      </c>
      <c r="AP189" s="27">
        <v>0</v>
      </c>
      <c r="AQ189" s="28">
        <v>0</v>
      </c>
      <c r="AR189" s="29">
        <v>0</v>
      </c>
      <c r="AS189" s="24">
        <v>0</v>
      </c>
      <c r="AT189" s="25">
        <v>3.1733930677289939E-3</v>
      </c>
      <c r="AU189" s="26">
        <v>2.3125800126481777E-5</v>
      </c>
      <c r="AV189" s="24">
        <v>0</v>
      </c>
      <c r="AW189" s="25">
        <v>0</v>
      </c>
      <c r="AX189" s="26">
        <v>0</v>
      </c>
    </row>
    <row r="190" spans="1:50" x14ac:dyDescent="0.2">
      <c r="A190" s="22">
        <v>7002</v>
      </c>
      <c r="B190" s="23" t="s">
        <v>206</v>
      </c>
      <c r="C190" s="27">
        <v>0</v>
      </c>
      <c r="D190" s="28">
        <v>0</v>
      </c>
      <c r="E190" s="29">
        <v>0</v>
      </c>
      <c r="F190" s="27">
        <v>0</v>
      </c>
      <c r="G190" s="28">
        <v>0</v>
      </c>
      <c r="H190" s="29">
        <v>580845</v>
      </c>
      <c r="I190" s="27">
        <v>0</v>
      </c>
      <c r="J190" s="28">
        <v>0</v>
      </c>
      <c r="K190" s="29">
        <v>12000</v>
      </c>
      <c r="L190" s="27">
        <v>0</v>
      </c>
      <c r="M190" s="28">
        <v>0</v>
      </c>
      <c r="N190" s="29">
        <v>568846</v>
      </c>
      <c r="O190" s="27">
        <v>0</v>
      </c>
      <c r="P190" s="28">
        <v>0</v>
      </c>
      <c r="Q190" s="29">
        <v>1</v>
      </c>
      <c r="R190" s="27">
        <v>0</v>
      </c>
      <c r="S190" s="28">
        <v>0</v>
      </c>
      <c r="T190" s="29">
        <v>0</v>
      </c>
      <c r="U190" s="27">
        <v>753919</v>
      </c>
      <c r="V190" s="28">
        <v>2491627</v>
      </c>
      <c r="W190" s="29">
        <v>3910050</v>
      </c>
      <c r="X190" s="27">
        <v>1250773</v>
      </c>
      <c r="Y190" s="28">
        <v>3080956</v>
      </c>
      <c r="Z190" s="29">
        <v>4316137</v>
      </c>
      <c r="AA190" s="27">
        <v>-314432</v>
      </c>
      <c r="AB190" s="28">
        <v>-444923</v>
      </c>
      <c r="AC190" s="29">
        <v>165352</v>
      </c>
      <c r="AD190" s="27">
        <v>182422</v>
      </c>
      <c r="AE190" s="28">
        <v>144406</v>
      </c>
      <c r="AF190" s="29">
        <v>571439</v>
      </c>
      <c r="AG190" s="27">
        <v>12160</v>
      </c>
      <c r="AH190" s="28">
        <v>238324.69999999995</v>
      </c>
      <c r="AI190" s="29">
        <v>14996.510000000184</v>
      </c>
      <c r="AJ190" s="27">
        <v>0</v>
      </c>
      <c r="AK190" s="28">
        <v>0</v>
      </c>
      <c r="AL190" s="29">
        <v>0</v>
      </c>
      <c r="AM190" s="27">
        <v>4851302.3</v>
      </c>
      <c r="AN190" s="28">
        <v>6432043.2000000002</v>
      </c>
      <c r="AO190" s="29">
        <v>4176218.61</v>
      </c>
      <c r="AP190" s="27">
        <v>0</v>
      </c>
      <c r="AQ190" s="28">
        <v>0</v>
      </c>
      <c r="AR190" s="29">
        <v>0</v>
      </c>
      <c r="AS190" s="24">
        <v>2.1034841551077386E-4</v>
      </c>
      <c r="AT190" s="25">
        <v>4.3229536785747424E-3</v>
      </c>
      <c r="AU190" s="26">
        <v>2.3230857125808649E-4</v>
      </c>
      <c r="AV190" s="24">
        <v>0</v>
      </c>
      <c r="AW190" s="25">
        <v>0</v>
      </c>
      <c r="AX190" s="26">
        <v>0</v>
      </c>
    </row>
    <row r="191" spans="1:50" x14ac:dyDescent="0.2">
      <c r="A191" s="22">
        <v>7003</v>
      </c>
      <c r="B191" s="23" t="s">
        <v>207</v>
      </c>
      <c r="C191" s="27">
        <v>0</v>
      </c>
      <c r="D191" s="28">
        <v>0</v>
      </c>
      <c r="E191" s="29">
        <v>0</v>
      </c>
      <c r="F191" s="27">
        <v>0</v>
      </c>
      <c r="G191" s="28">
        <v>0</v>
      </c>
      <c r="H191" s="29">
        <v>0</v>
      </c>
      <c r="I191" s="27">
        <v>0</v>
      </c>
      <c r="J191" s="28">
        <v>0</v>
      </c>
      <c r="K191" s="29">
        <v>0</v>
      </c>
      <c r="L191" s="27">
        <v>0</v>
      </c>
      <c r="M191" s="28">
        <v>0</v>
      </c>
      <c r="N191" s="29">
        <v>0</v>
      </c>
      <c r="O191" s="27">
        <v>0</v>
      </c>
      <c r="P191" s="28">
        <v>0</v>
      </c>
      <c r="Q191" s="29">
        <v>0</v>
      </c>
      <c r="R191" s="27">
        <v>0</v>
      </c>
      <c r="S191" s="28">
        <v>253</v>
      </c>
      <c r="T191" s="29">
        <v>0</v>
      </c>
      <c r="U191" s="27">
        <v>3760349</v>
      </c>
      <c r="V191" s="28">
        <v>9961517</v>
      </c>
      <c r="W191" s="29">
        <v>6722331</v>
      </c>
      <c r="X191" s="27">
        <v>6407092</v>
      </c>
      <c r="Y191" s="28">
        <v>16905727</v>
      </c>
      <c r="Z191" s="29">
        <v>10144916</v>
      </c>
      <c r="AA191" s="27">
        <v>-2790707</v>
      </c>
      <c r="AB191" s="28">
        <v>-5920936</v>
      </c>
      <c r="AC191" s="29">
        <v>-1334708</v>
      </c>
      <c r="AD191" s="27">
        <v>-143964</v>
      </c>
      <c r="AE191" s="28">
        <v>1023527</v>
      </c>
      <c r="AF191" s="29">
        <v>2087877</v>
      </c>
      <c r="AG191" s="27">
        <v>85.440000000176951</v>
      </c>
      <c r="AH191" s="28">
        <v>248042.04999999981</v>
      </c>
      <c r="AI191" s="29">
        <v>47.200000000186265</v>
      </c>
      <c r="AJ191" s="27">
        <v>0</v>
      </c>
      <c r="AK191" s="28">
        <v>0</v>
      </c>
      <c r="AL191" s="29">
        <v>0</v>
      </c>
      <c r="AM191" s="27">
        <v>6600787.419999999</v>
      </c>
      <c r="AN191" s="28">
        <v>13466961.399999999</v>
      </c>
      <c r="AO191" s="29">
        <v>43695598.590000004</v>
      </c>
      <c r="AP191" s="27">
        <v>0</v>
      </c>
      <c r="AQ191" s="28">
        <v>0</v>
      </c>
      <c r="AR191" s="29">
        <v>0</v>
      </c>
      <c r="AS191" s="24">
        <v>3.9871336727105678E-7</v>
      </c>
      <c r="AT191" s="25">
        <v>1.2492330732256553E-3</v>
      </c>
      <c r="AU191" s="26">
        <v>1.9725157429505521E-7</v>
      </c>
      <c r="AV191" s="24">
        <v>0</v>
      </c>
      <c r="AW191" s="25">
        <v>0</v>
      </c>
      <c r="AX191" s="26">
        <v>0</v>
      </c>
    </row>
    <row r="192" spans="1:50" x14ac:dyDescent="0.2">
      <c r="A192" s="22">
        <v>7004</v>
      </c>
      <c r="B192" s="23" t="s">
        <v>208</v>
      </c>
      <c r="C192" s="27">
        <v>0</v>
      </c>
      <c r="D192" s="28">
        <v>0</v>
      </c>
      <c r="E192" s="29">
        <v>0</v>
      </c>
      <c r="F192" s="27">
        <v>3140058</v>
      </c>
      <c r="G192" s="28">
        <v>5270117</v>
      </c>
      <c r="H192" s="29">
        <v>181631</v>
      </c>
      <c r="I192" s="27">
        <v>3136185</v>
      </c>
      <c r="J192" s="28">
        <v>5441001</v>
      </c>
      <c r="K192" s="29">
        <v>0</v>
      </c>
      <c r="L192" s="27">
        <v>0</v>
      </c>
      <c r="M192" s="28">
        <v>0</v>
      </c>
      <c r="N192" s="29">
        <v>0</v>
      </c>
      <c r="O192" s="27">
        <v>-3873</v>
      </c>
      <c r="P192" s="28">
        <v>170884</v>
      </c>
      <c r="Q192" s="29">
        <v>-181631</v>
      </c>
      <c r="R192" s="27">
        <v>0</v>
      </c>
      <c r="S192" s="28">
        <v>0</v>
      </c>
      <c r="T192" s="29">
        <v>0</v>
      </c>
      <c r="U192" s="27">
        <v>488525</v>
      </c>
      <c r="V192" s="28">
        <v>2850819</v>
      </c>
      <c r="W192" s="29">
        <v>1681859</v>
      </c>
      <c r="X192" s="27">
        <v>567265</v>
      </c>
      <c r="Y192" s="28">
        <v>2601209</v>
      </c>
      <c r="Z192" s="29">
        <v>1506369</v>
      </c>
      <c r="AA192" s="27">
        <v>82349</v>
      </c>
      <c r="AB192" s="28">
        <v>266843</v>
      </c>
      <c r="AC192" s="29">
        <v>128041</v>
      </c>
      <c r="AD192" s="27">
        <v>161089</v>
      </c>
      <c r="AE192" s="28">
        <v>17233</v>
      </c>
      <c r="AF192" s="29">
        <v>-47449</v>
      </c>
      <c r="AG192" s="27">
        <v>4087.5700000000179</v>
      </c>
      <c r="AH192" s="28">
        <v>223886.80999999982</v>
      </c>
      <c r="AI192" s="29">
        <v>2036.5299999999115</v>
      </c>
      <c r="AJ192" s="27">
        <v>0</v>
      </c>
      <c r="AK192" s="28">
        <v>0</v>
      </c>
      <c r="AL192" s="29">
        <v>0</v>
      </c>
      <c r="AM192" s="27">
        <v>2637696.5500000003</v>
      </c>
      <c r="AN192" s="28">
        <v>1648081.3800000001</v>
      </c>
      <c r="AO192" s="29">
        <v>1508306.3900000001</v>
      </c>
      <c r="AP192" s="27">
        <v>0</v>
      </c>
      <c r="AQ192" s="28">
        <v>0</v>
      </c>
      <c r="AR192" s="29">
        <v>0</v>
      </c>
      <c r="AS192" s="24">
        <v>1.0768913042338579E-4</v>
      </c>
      <c r="AT192" s="25">
        <v>6.7815259501942489E-3</v>
      </c>
      <c r="AU192" s="26">
        <v>4.7895960171089692E-5</v>
      </c>
      <c r="AV192" s="24">
        <v>0</v>
      </c>
      <c r="AW192" s="25">
        <v>0</v>
      </c>
      <c r="AX192" s="26">
        <v>0</v>
      </c>
    </row>
    <row r="193" spans="1:50" x14ac:dyDescent="0.2">
      <c r="A193" s="22">
        <v>7101</v>
      </c>
      <c r="B193" s="23" t="s">
        <v>209</v>
      </c>
      <c r="C193" s="27">
        <v>0</v>
      </c>
      <c r="D193" s="28">
        <v>0</v>
      </c>
      <c r="E193" s="29">
        <v>0</v>
      </c>
      <c r="F193" s="27">
        <v>243291</v>
      </c>
      <c r="G193" s="28">
        <v>3042955</v>
      </c>
      <c r="H193" s="29">
        <v>2523591</v>
      </c>
      <c r="I193" s="27">
        <v>0</v>
      </c>
      <c r="J193" s="28">
        <v>3003892</v>
      </c>
      <c r="K193" s="29">
        <v>2523591</v>
      </c>
      <c r="L193" s="27">
        <v>0</v>
      </c>
      <c r="M193" s="28">
        <v>-204228</v>
      </c>
      <c r="N193" s="29">
        <v>0</v>
      </c>
      <c r="O193" s="27">
        <v>-243291</v>
      </c>
      <c r="P193" s="28">
        <v>-243291</v>
      </c>
      <c r="Q193" s="29">
        <v>0</v>
      </c>
      <c r="R193" s="27">
        <v>0</v>
      </c>
      <c r="S193" s="28">
        <v>0</v>
      </c>
      <c r="T193" s="29">
        <v>0</v>
      </c>
      <c r="U193" s="27">
        <v>242188</v>
      </c>
      <c r="V193" s="28">
        <v>666373</v>
      </c>
      <c r="W193" s="29">
        <v>584575</v>
      </c>
      <c r="X193" s="27">
        <v>292225</v>
      </c>
      <c r="Y193" s="28">
        <v>641647</v>
      </c>
      <c r="Z193" s="29">
        <v>1170913</v>
      </c>
      <c r="AA193" s="27">
        <v>348</v>
      </c>
      <c r="AB193" s="28">
        <v>-42652</v>
      </c>
      <c r="AC193" s="29">
        <v>-516146</v>
      </c>
      <c r="AD193" s="27">
        <v>50385</v>
      </c>
      <c r="AE193" s="28">
        <v>-67378</v>
      </c>
      <c r="AF193" s="29">
        <v>70192</v>
      </c>
      <c r="AG193" s="27">
        <v>475012.4</v>
      </c>
      <c r="AH193" s="28">
        <v>2540897.96</v>
      </c>
      <c r="AI193" s="29">
        <v>4315.6899999999441</v>
      </c>
      <c r="AJ193" s="27">
        <v>0</v>
      </c>
      <c r="AK193" s="28">
        <v>0</v>
      </c>
      <c r="AL193" s="29">
        <v>0</v>
      </c>
      <c r="AM193" s="27">
        <v>12067682.020000001</v>
      </c>
      <c r="AN193" s="28">
        <v>5129257.3599999994</v>
      </c>
      <c r="AO193" s="29">
        <v>249106.12999999977</v>
      </c>
      <c r="AP193" s="27">
        <v>0</v>
      </c>
      <c r="AQ193" s="28">
        <v>0</v>
      </c>
      <c r="AR193" s="29">
        <v>0</v>
      </c>
      <c r="AS193" s="24">
        <v>3.1430605053790257E-2</v>
      </c>
      <c r="AT193" s="25">
        <v>0.21367071171686561</v>
      </c>
      <c r="AU193" s="26">
        <v>3.0299983662389172E-4</v>
      </c>
      <c r="AV193" s="24">
        <v>0</v>
      </c>
      <c r="AW193" s="25">
        <v>0</v>
      </c>
      <c r="AX193" s="26">
        <v>0</v>
      </c>
    </row>
    <row r="194" spans="1:50" x14ac:dyDescent="0.2">
      <c r="A194" s="22">
        <v>7102</v>
      </c>
      <c r="B194" s="23" t="s">
        <v>210</v>
      </c>
      <c r="C194" s="27">
        <v>0</v>
      </c>
      <c r="D194" s="28">
        <v>0</v>
      </c>
      <c r="E194" s="29">
        <v>0</v>
      </c>
      <c r="F194" s="27">
        <v>0</v>
      </c>
      <c r="G194" s="28">
        <v>284761</v>
      </c>
      <c r="H194" s="29">
        <v>143858</v>
      </c>
      <c r="I194" s="27">
        <v>0</v>
      </c>
      <c r="J194" s="28">
        <v>284761</v>
      </c>
      <c r="K194" s="29">
        <v>143858</v>
      </c>
      <c r="L194" s="27">
        <v>0</v>
      </c>
      <c r="M194" s="28">
        <v>0</v>
      </c>
      <c r="N194" s="29">
        <v>0</v>
      </c>
      <c r="O194" s="27">
        <v>0</v>
      </c>
      <c r="P194" s="28">
        <v>0</v>
      </c>
      <c r="Q194" s="29">
        <v>0</v>
      </c>
      <c r="R194" s="27">
        <v>0</v>
      </c>
      <c r="S194" s="28">
        <v>0</v>
      </c>
      <c r="T194" s="29">
        <v>0</v>
      </c>
      <c r="U194" s="27">
        <v>214946</v>
      </c>
      <c r="V194" s="28">
        <v>531991</v>
      </c>
      <c r="W194" s="29">
        <v>422564</v>
      </c>
      <c r="X194" s="27">
        <v>191538</v>
      </c>
      <c r="Y194" s="28">
        <v>456305</v>
      </c>
      <c r="Z194" s="29">
        <v>421588</v>
      </c>
      <c r="AA194" s="27">
        <v>46654</v>
      </c>
      <c r="AB194" s="28">
        <v>69638</v>
      </c>
      <c r="AC194" s="29">
        <v>18564</v>
      </c>
      <c r="AD194" s="27">
        <v>23246</v>
      </c>
      <c r="AE194" s="28">
        <v>-6048</v>
      </c>
      <c r="AF194" s="29">
        <v>17588</v>
      </c>
      <c r="AG194" s="27">
        <v>298291.48</v>
      </c>
      <c r="AH194" s="28">
        <v>195269.73000000004</v>
      </c>
      <c r="AI194" s="29">
        <v>23200.47</v>
      </c>
      <c r="AJ194" s="27">
        <v>0</v>
      </c>
      <c r="AK194" s="28">
        <v>0</v>
      </c>
      <c r="AL194" s="29">
        <v>0</v>
      </c>
      <c r="AM194" s="27">
        <v>721747.81</v>
      </c>
      <c r="AN194" s="28">
        <v>553198.55999999994</v>
      </c>
      <c r="AO194" s="29">
        <v>411985.76000000007</v>
      </c>
      <c r="AP194" s="27">
        <v>0</v>
      </c>
      <c r="AQ194" s="28">
        <v>0</v>
      </c>
      <c r="AR194" s="29">
        <v>0</v>
      </c>
      <c r="AS194" s="24">
        <v>3.4218863586957457E-2</v>
      </c>
      <c r="AT194" s="25">
        <v>2.2472660067143026E-2</v>
      </c>
      <c r="AU194" s="26">
        <v>3.1558751751509248E-3</v>
      </c>
      <c r="AV194" s="24">
        <v>0</v>
      </c>
      <c r="AW194" s="25">
        <v>0</v>
      </c>
      <c r="AX194" s="26">
        <v>0</v>
      </c>
    </row>
    <row r="195" spans="1:50" x14ac:dyDescent="0.2">
      <c r="A195" s="22">
        <v>7103</v>
      </c>
      <c r="B195" s="23" t="s">
        <v>211</v>
      </c>
      <c r="C195" s="27">
        <v>0</v>
      </c>
      <c r="D195" s="28">
        <v>0</v>
      </c>
      <c r="E195" s="29">
        <v>0</v>
      </c>
      <c r="F195" s="27">
        <v>0</v>
      </c>
      <c r="G195" s="28">
        <v>0</v>
      </c>
      <c r="H195" s="29">
        <v>0</v>
      </c>
      <c r="I195" s="27">
        <v>230418</v>
      </c>
      <c r="J195" s="28">
        <v>263107</v>
      </c>
      <c r="K195" s="29">
        <v>38649</v>
      </c>
      <c r="L195" s="27">
        <v>-230418</v>
      </c>
      <c r="M195" s="28">
        <v>-263107</v>
      </c>
      <c r="N195" s="29">
        <v>-38649</v>
      </c>
      <c r="O195" s="27">
        <v>0</v>
      </c>
      <c r="P195" s="28">
        <v>0</v>
      </c>
      <c r="Q195" s="29">
        <v>0</v>
      </c>
      <c r="R195" s="27">
        <v>0</v>
      </c>
      <c r="S195" s="28">
        <v>0</v>
      </c>
      <c r="T195" s="29">
        <v>0</v>
      </c>
      <c r="U195" s="27">
        <v>436837</v>
      </c>
      <c r="V195" s="28">
        <v>1318413</v>
      </c>
      <c r="W195" s="29">
        <v>2742429</v>
      </c>
      <c r="X195" s="27">
        <v>915283</v>
      </c>
      <c r="Y195" s="28">
        <v>2395204</v>
      </c>
      <c r="Z195" s="29">
        <v>2907299</v>
      </c>
      <c r="AA195" s="27">
        <v>-527873</v>
      </c>
      <c r="AB195" s="28">
        <v>-1225419</v>
      </c>
      <c r="AC195" s="29">
        <v>-114198</v>
      </c>
      <c r="AD195" s="27">
        <v>-49427</v>
      </c>
      <c r="AE195" s="28">
        <v>-148628</v>
      </c>
      <c r="AF195" s="29">
        <v>50672</v>
      </c>
      <c r="AG195" s="27">
        <v>7983.1999999999971</v>
      </c>
      <c r="AH195" s="28">
        <v>36624.429999999993</v>
      </c>
      <c r="AI195" s="29">
        <v>39046.080000000075</v>
      </c>
      <c r="AJ195" s="27">
        <v>0</v>
      </c>
      <c r="AK195" s="28">
        <v>0</v>
      </c>
      <c r="AL195" s="29">
        <v>0</v>
      </c>
      <c r="AM195" s="27">
        <v>338867.52</v>
      </c>
      <c r="AN195" s="28">
        <v>5397142.1099999994</v>
      </c>
      <c r="AO195" s="29">
        <v>3577048.96</v>
      </c>
      <c r="AP195" s="27">
        <v>0</v>
      </c>
      <c r="AQ195" s="28">
        <v>0</v>
      </c>
      <c r="AR195" s="29">
        <v>0</v>
      </c>
      <c r="AS195" s="24">
        <v>3.2247990569910672E-4</v>
      </c>
      <c r="AT195" s="25">
        <v>1.4800183900955989E-3</v>
      </c>
      <c r="AU195" s="26">
        <v>1.6342394862858295E-3</v>
      </c>
      <c r="AV195" s="24">
        <v>0</v>
      </c>
      <c r="AW195" s="25">
        <v>0</v>
      </c>
      <c r="AX195" s="26">
        <v>0</v>
      </c>
    </row>
    <row r="196" spans="1:50" x14ac:dyDescent="0.2">
      <c r="A196" s="22">
        <v>7104</v>
      </c>
      <c r="B196" s="23" t="s">
        <v>212</v>
      </c>
      <c r="C196" s="27">
        <v>0</v>
      </c>
      <c r="D196" s="28">
        <v>0</v>
      </c>
      <c r="E196" s="29">
        <v>0</v>
      </c>
      <c r="F196" s="27">
        <v>73089</v>
      </c>
      <c r="G196" s="28">
        <v>288279</v>
      </c>
      <c r="H196" s="29">
        <v>591012</v>
      </c>
      <c r="I196" s="27">
        <v>372372</v>
      </c>
      <c r="J196" s="28">
        <v>522168</v>
      </c>
      <c r="K196" s="29">
        <v>477905</v>
      </c>
      <c r="L196" s="27">
        <v>-113623</v>
      </c>
      <c r="M196" s="28">
        <v>-113623</v>
      </c>
      <c r="N196" s="29">
        <v>0</v>
      </c>
      <c r="O196" s="27">
        <v>185660</v>
      </c>
      <c r="P196" s="28">
        <v>120266</v>
      </c>
      <c r="Q196" s="29">
        <v>-113107</v>
      </c>
      <c r="R196" s="27">
        <v>0</v>
      </c>
      <c r="S196" s="28">
        <v>0</v>
      </c>
      <c r="T196" s="29">
        <v>0</v>
      </c>
      <c r="U196" s="27">
        <v>314602</v>
      </c>
      <c r="V196" s="28">
        <v>818828</v>
      </c>
      <c r="W196" s="29">
        <v>1460982</v>
      </c>
      <c r="X196" s="27">
        <v>559733</v>
      </c>
      <c r="Y196" s="28">
        <v>709741</v>
      </c>
      <c r="Z196" s="29">
        <v>1597439</v>
      </c>
      <c r="AA196" s="27">
        <v>127456</v>
      </c>
      <c r="AB196" s="28">
        <v>83123</v>
      </c>
      <c r="AC196" s="29">
        <v>-79952</v>
      </c>
      <c r="AD196" s="27">
        <v>372587</v>
      </c>
      <c r="AE196" s="28">
        <v>-25964</v>
      </c>
      <c r="AF196" s="29">
        <v>56505</v>
      </c>
      <c r="AG196" s="27">
        <v>266632.08</v>
      </c>
      <c r="AH196" s="28">
        <v>589382.61</v>
      </c>
      <c r="AI196" s="29">
        <v>68130.099999999977</v>
      </c>
      <c r="AJ196" s="27">
        <v>0</v>
      </c>
      <c r="AK196" s="28">
        <v>0</v>
      </c>
      <c r="AL196" s="29">
        <v>0</v>
      </c>
      <c r="AM196" s="27">
        <v>5998787.4500000002</v>
      </c>
      <c r="AN196" s="28">
        <v>6382736.6200000001</v>
      </c>
      <c r="AO196" s="29">
        <v>7313453.5599999996</v>
      </c>
      <c r="AP196" s="27">
        <v>0</v>
      </c>
      <c r="AQ196" s="28">
        <v>0</v>
      </c>
      <c r="AR196" s="29">
        <v>0</v>
      </c>
      <c r="AS196" s="24">
        <v>1.0559552512601822E-2</v>
      </c>
      <c r="AT196" s="25">
        <v>3.4960954567806617E-2</v>
      </c>
      <c r="AU196" s="26">
        <v>3.4964334429749876E-3</v>
      </c>
      <c r="AV196" s="24">
        <v>0</v>
      </c>
      <c r="AW196" s="25">
        <v>0</v>
      </c>
      <c r="AX196" s="26">
        <v>0</v>
      </c>
    </row>
    <row r="197" spans="1:50" x14ac:dyDescent="0.2">
      <c r="A197" s="22">
        <v>7105</v>
      </c>
      <c r="B197" s="23" t="s">
        <v>213</v>
      </c>
      <c r="C197" s="27">
        <v>0</v>
      </c>
      <c r="D197" s="28">
        <v>0</v>
      </c>
      <c r="E197" s="29">
        <v>0</v>
      </c>
      <c r="F197" s="27">
        <v>212653</v>
      </c>
      <c r="G197" s="28">
        <v>227193</v>
      </c>
      <c r="H197" s="29">
        <v>324055</v>
      </c>
      <c r="I197" s="27">
        <v>212653</v>
      </c>
      <c r="J197" s="28">
        <v>225607</v>
      </c>
      <c r="K197" s="29">
        <v>568159</v>
      </c>
      <c r="L197" s="27">
        <v>0</v>
      </c>
      <c r="M197" s="28">
        <v>0</v>
      </c>
      <c r="N197" s="29">
        <v>0</v>
      </c>
      <c r="O197" s="27">
        <v>0</v>
      </c>
      <c r="P197" s="28">
        <v>-1586</v>
      </c>
      <c r="Q197" s="29">
        <v>244104</v>
      </c>
      <c r="R197" s="27">
        <v>0</v>
      </c>
      <c r="S197" s="28">
        <v>0</v>
      </c>
      <c r="T197" s="29">
        <v>0</v>
      </c>
      <c r="U197" s="27">
        <v>416219</v>
      </c>
      <c r="V197" s="28">
        <v>1219944</v>
      </c>
      <c r="W197" s="29">
        <v>541871</v>
      </c>
      <c r="X197" s="27">
        <v>519014</v>
      </c>
      <c r="Y197" s="28">
        <v>1373380</v>
      </c>
      <c r="Z197" s="29">
        <v>406805</v>
      </c>
      <c r="AA197" s="27">
        <v>4736</v>
      </c>
      <c r="AB197" s="28">
        <v>-127187</v>
      </c>
      <c r="AC197" s="29">
        <v>43091</v>
      </c>
      <c r="AD197" s="27">
        <v>107531</v>
      </c>
      <c r="AE197" s="28">
        <v>26249</v>
      </c>
      <c r="AF197" s="29">
        <v>-91975</v>
      </c>
      <c r="AG197" s="27">
        <v>1500</v>
      </c>
      <c r="AH197" s="28">
        <v>59738.029999999912</v>
      </c>
      <c r="AI197" s="29">
        <v>0</v>
      </c>
      <c r="AJ197" s="27">
        <v>0</v>
      </c>
      <c r="AK197" s="28">
        <v>0</v>
      </c>
      <c r="AL197" s="29">
        <v>0</v>
      </c>
      <c r="AM197" s="27">
        <v>360811.01</v>
      </c>
      <c r="AN197" s="28">
        <v>181988.53000000003</v>
      </c>
      <c r="AO197" s="29">
        <v>1338435.06</v>
      </c>
      <c r="AP197" s="27">
        <v>1500</v>
      </c>
      <c r="AQ197" s="28">
        <v>0</v>
      </c>
      <c r="AR197" s="29">
        <v>0</v>
      </c>
      <c r="AS197" s="24">
        <v>7.4946023873606227E-5</v>
      </c>
      <c r="AT197" s="25">
        <v>2.8897367040880682E-3</v>
      </c>
      <c r="AU197" s="26">
        <v>0</v>
      </c>
      <c r="AV197" s="24">
        <v>7.4946023873606227E-5</v>
      </c>
      <c r="AW197" s="25">
        <v>0</v>
      </c>
      <c r="AX197" s="26">
        <v>0</v>
      </c>
    </row>
    <row r="198" spans="1:50" x14ac:dyDescent="0.2">
      <c r="A198" s="22">
        <v>7106</v>
      </c>
      <c r="B198" s="23" t="s">
        <v>214</v>
      </c>
      <c r="C198" s="27">
        <v>0</v>
      </c>
      <c r="D198" s="28">
        <v>0</v>
      </c>
      <c r="E198" s="29">
        <v>0</v>
      </c>
      <c r="F198" s="27">
        <v>0</v>
      </c>
      <c r="G198" s="28">
        <v>582143</v>
      </c>
      <c r="H198" s="29">
        <v>579031</v>
      </c>
      <c r="I198" s="27">
        <v>0</v>
      </c>
      <c r="J198" s="28">
        <v>582143</v>
      </c>
      <c r="K198" s="29">
        <v>579031</v>
      </c>
      <c r="L198" s="27">
        <v>0</v>
      </c>
      <c r="M198" s="28">
        <v>0</v>
      </c>
      <c r="N198" s="29">
        <v>0</v>
      </c>
      <c r="O198" s="27">
        <v>0</v>
      </c>
      <c r="P198" s="28">
        <v>0</v>
      </c>
      <c r="Q198" s="29">
        <v>0</v>
      </c>
      <c r="R198" s="27">
        <v>0</v>
      </c>
      <c r="S198" s="28">
        <v>0</v>
      </c>
      <c r="T198" s="29">
        <v>0</v>
      </c>
      <c r="U198" s="27">
        <v>507633</v>
      </c>
      <c r="V198" s="28">
        <v>1319275</v>
      </c>
      <c r="W198" s="29">
        <v>773127</v>
      </c>
      <c r="X198" s="27">
        <v>333411</v>
      </c>
      <c r="Y198" s="28">
        <v>1260040</v>
      </c>
      <c r="Z198" s="29">
        <v>691381</v>
      </c>
      <c r="AA198" s="27">
        <v>215747</v>
      </c>
      <c r="AB198" s="28">
        <v>45836</v>
      </c>
      <c r="AC198" s="29">
        <v>89695</v>
      </c>
      <c r="AD198" s="27">
        <v>41525</v>
      </c>
      <c r="AE198" s="28">
        <v>-13399</v>
      </c>
      <c r="AF198" s="29">
        <v>7949</v>
      </c>
      <c r="AG198" s="27">
        <v>1520.3799999999756</v>
      </c>
      <c r="AH198" s="28">
        <v>591388.75999999989</v>
      </c>
      <c r="AI198" s="29">
        <v>77641.099999999977</v>
      </c>
      <c r="AJ198" s="27">
        <v>0</v>
      </c>
      <c r="AK198" s="28">
        <v>0</v>
      </c>
      <c r="AL198" s="29">
        <v>0</v>
      </c>
      <c r="AM198" s="27">
        <v>247214.54</v>
      </c>
      <c r="AN198" s="28">
        <v>1581162.3499999999</v>
      </c>
      <c r="AO198" s="29">
        <v>8177598.54</v>
      </c>
      <c r="AP198" s="27">
        <v>0</v>
      </c>
      <c r="AQ198" s="28">
        <v>0</v>
      </c>
      <c r="AR198" s="29">
        <v>0</v>
      </c>
      <c r="AS198" s="24">
        <v>6.4741792292192162E-5</v>
      </c>
      <c r="AT198" s="25">
        <v>2.20351687082436E-2</v>
      </c>
      <c r="AU198" s="26">
        <v>2.9016088976628542E-3</v>
      </c>
      <c r="AV198" s="24">
        <v>0</v>
      </c>
      <c r="AW198" s="25">
        <v>0</v>
      </c>
      <c r="AX198" s="26">
        <v>0</v>
      </c>
    </row>
    <row r="199" spans="1:50" x14ac:dyDescent="0.2">
      <c r="A199" s="22">
        <v>7107</v>
      </c>
      <c r="B199" s="23" t="s">
        <v>215</v>
      </c>
      <c r="C199" s="27">
        <v>0</v>
      </c>
      <c r="D199" s="28">
        <v>0</v>
      </c>
      <c r="E199" s="29">
        <v>0</v>
      </c>
      <c r="F199" s="27">
        <v>0</v>
      </c>
      <c r="G199" s="28">
        <v>83729</v>
      </c>
      <c r="H199" s="29">
        <v>0</v>
      </c>
      <c r="I199" s="27">
        <v>0</v>
      </c>
      <c r="J199" s="28">
        <v>83729</v>
      </c>
      <c r="K199" s="29">
        <v>0</v>
      </c>
      <c r="L199" s="27">
        <v>0</v>
      </c>
      <c r="M199" s="28">
        <v>0</v>
      </c>
      <c r="N199" s="29">
        <v>0</v>
      </c>
      <c r="O199" s="27">
        <v>0</v>
      </c>
      <c r="P199" s="28">
        <v>0</v>
      </c>
      <c r="Q199" s="29">
        <v>0</v>
      </c>
      <c r="R199" s="27">
        <v>0</v>
      </c>
      <c r="S199" s="28">
        <v>0</v>
      </c>
      <c r="T199" s="29">
        <v>0</v>
      </c>
      <c r="U199" s="27">
        <v>318218</v>
      </c>
      <c r="V199" s="28">
        <v>859358</v>
      </c>
      <c r="W199" s="29">
        <v>615720</v>
      </c>
      <c r="X199" s="27">
        <v>275086</v>
      </c>
      <c r="Y199" s="28">
        <v>686218</v>
      </c>
      <c r="Z199" s="29">
        <v>728845</v>
      </c>
      <c r="AA199" s="27">
        <v>56900</v>
      </c>
      <c r="AB199" s="28">
        <v>173085</v>
      </c>
      <c r="AC199" s="29">
        <v>-89452</v>
      </c>
      <c r="AD199" s="27">
        <v>13768</v>
      </c>
      <c r="AE199" s="28">
        <v>-55</v>
      </c>
      <c r="AF199" s="29">
        <v>23673</v>
      </c>
      <c r="AG199" s="27">
        <v>191301.96999999997</v>
      </c>
      <c r="AH199" s="28">
        <v>301324.07</v>
      </c>
      <c r="AI199" s="29">
        <v>201455.34999999998</v>
      </c>
      <c r="AJ199" s="27">
        <v>0</v>
      </c>
      <c r="AK199" s="28">
        <v>0</v>
      </c>
      <c r="AL199" s="29">
        <v>0</v>
      </c>
      <c r="AM199" s="27">
        <v>232392.34999999998</v>
      </c>
      <c r="AN199" s="28">
        <v>193414.86</v>
      </c>
      <c r="AO199" s="29">
        <v>238186.81000000003</v>
      </c>
      <c r="AP199" s="27">
        <v>0</v>
      </c>
      <c r="AQ199" s="28">
        <v>0</v>
      </c>
      <c r="AR199" s="29">
        <v>0</v>
      </c>
      <c r="AS199" s="24">
        <v>1.6216320435260882E-2</v>
      </c>
      <c r="AT199" s="25">
        <v>2.3146197233017498E-2</v>
      </c>
      <c r="AU199" s="26">
        <v>1.5590743067043753E-2</v>
      </c>
      <c r="AV199" s="24">
        <v>0</v>
      </c>
      <c r="AW199" s="25">
        <v>0</v>
      </c>
      <c r="AX199" s="26">
        <v>0</v>
      </c>
    </row>
    <row r="200" spans="1:50" x14ac:dyDescent="0.2">
      <c r="A200" s="22">
        <v>7108</v>
      </c>
      <c r="B200" s="23" t="s">
        <v>216</v>
      </c>
      <c r="C200" s="27">
        <v>0</v>
      </c>
      <c r="D200" s="28">
        <v>0</v>
      </c>
      <c r="E200" s="29">
        <v>0</v>
      </c>
      <c r="F200" s="27">
        <v>0</v>
      </c>
      <c r="G200" s="28">
        <v>569354</v>
      </c>
      <c r="H200" s="29">
        <v>479414</v>
      </c>
      <c r="I200" s="27">
        <v>0</v>
      </c>
      <c r="J200" s="28">
        <v>586274</v>
      </c>
      <c r="K200" s="29">
        <v>0</v>
      </c>
      <c r="L200" s="27">
        <v>0</v>
      </c>
      <c r="M200" s="28">
        <v>-15100</v>
      </c>
      <c r="N200" s="29">
        <v>477614</v>
      </c>
      <c r="O200" s="27">
        <v>0</v>
      </c>
      <c r="P200" s="28">
        <v>1820</v>
      </c>
      <c r="Q200" s="29">
        <v>-1800</v>
      </c>
      <c r="R200" s="27">
        <v>127090</v>
      </c>
      <c r="S200" s="28">
        <v>3304</v>
      </c>
      <c r="T200" s="29">
        <v>0</v>
      </c>
      <c r="U200" s="27">
        <v>394778</v>
      </c>
      <c r="V200" s="28">
        <v>1048232</v>
      </c>
      <c r="W200" s="29">
        <v>524753</v>
      </c>
      <c r="X200" s="27">
        <v>427311</v>
      </c>
      <c r="Y200" s="28">
        <v>1019035</v>
      </c>
      <c r="Z200" s="29">
        <v>390900</v>
      </c>
      <c r="AA200" s="27">
        <v>27950</v>
      </c>
      <c r="AB200" s="28">
        <v>1625</v>
      </c>
      <c r="AC200" s="29">
        <v>153554</v>
      </c>
      <c r="AD200" s="27">
        <v>187573</v>
      </c>
      <c r="AE200" s="28">
        <v>-24268</v>
      </c>
      <c r="AF200" s="29">
        <v>19701</v>
      </c>
      <c r="AG200" s="27">
        <v>7000</v>
      </c>
      <c r="AH200" s="28">
        <v>12627.110000000044</v>
      </c>
      <c r="AI200" s="29">
        <v>186455.27999999997</v>
      </c>
      <c r="AJ200" s="27">
        <v>0</v>
      </c>
      <c r="AK200" s="28">
        <v>0</v>
      </c>
      <c r="AL200" s="29">
        <v>0</v>
      </c>
      <c r="AM200" s="27">
        <v>475001</v>
      </c>
      <c r="AN200" s="28">
        <v>919065.82000000007</v>
      </c>
      <c r="AO200" s="29">
        <v>7606733.4500000002</v>
      </c>
      <c r="AP200" s="27">
        <v>0</v>
      </c>
      <c r="AQ200" s="28">
        <v>0</v>
      </c>
      <c r="AR200" s="29">
        <v>0</v>
      </c>
      <c r="AS200" s="24">
        <v>3.4181757098574329E-4</v>
      </c>
      <c r="AT200" s="25">
        <v>6.1176841877094994E-4</v>
      </c>
      <c r="AU200" s="26">
        <v>8.4432420316188066E-3</v>
      </c>
      <c r="AV200" s="24">
        <v>0</v>
      </c>
      <c r="AW200" s="25">
        <v>0</v>
      </c>
      <c r="AX200" s="26">
        <v>0</v>
      </c>
    </row>
    <row r="201" spans="1:50" x14ac:dyDescent="0.2">
      <c r="A201" s="22">
        <v>7109</v>
      </c>
      <c r="B201" s="23" t="s">
        <v>217</v>
      </c>
      <c r="C201" s="27">
        <v>0</v>
      </c>
      <c r="D201" s="28">
        <v>0</v>
      </c>
      <c r="E201" s="29">
        <v>0</v>
      </c>
      <c r="F201" s="27">
        <v>0</v>
      </c>
      <c r="G201" s="28">
        <v>0</v>
      </c>
      <c r="H201" s="29">
        <v>0</v>
      </c>
      <c r="I201" s="27">
        <v>0</v>
      </c>
      <c r="J201" s="28">
        <v>0</v>
      </c>
      <c r="K201" s="29">
        <v>0</v>
      </c>
      <c r="L201" s="27">
        <v>0</v>
      </c>
      <c r="M201" s="28">
        <v>0</v>
      </c>
      <c r="N201" s="29">
        <v>0</v>
      </c>
      <c r="O201" s="27">
        <v>0</v>
      </c>
      <c r="P201" s="28">
        <v>0</v>
      </c>
      <c r="Q201" s="29">
        <v>0</v>
      </c>
      <c r="R201" s="27">
        <v>0</v>
      </c>
      <c r="S201" s="28">
        <v>0</v>
      </c>
      <c r="T201" s="29">
        <v>0</v>
      </c>
      <c r="U201" s="27">
        <v>2375622</v>
      </c>
      <c r="V201" s="28">
        <v>4450442</v>
      </c>
      <c r="W201" s="29">
        <v>5531249</v>
      </c>
      <c r="X201" s="27">
        <v>5866912</v>
      </c>
      <c r="Y201" s="28">
        <v>10423586</v>
      </c>
      <c r="Z201" s="29">
        <v>6599056</v>
      </c>
      <c r="AA201" s="27">
        <v>-2376258</v>
      </c>
      <c r="AB201" s="28">
        <v>-4769075</v>
      </c>
      <c r="AC201" s="29">
        <v>1355383</v>
      </c>
      <c r="AD201" s="27">
        <v>1115032</v>
      </c>
      <c r="AE201" s="28">
        <v>1204069</v>
      </c>
      <c r="AF201" s="29">
        <v>2423190</v>
      </c>
      <c r="AG201" s="27">
        <v>123355.90999999992</v>
      </c>
      <c r="AH201" s="28">
        <v>69060.149999999907</v>
      </c>
      <c r="AI201" s="29">
        <v>40480.189999999944</v>
      </c>
      <c r="AJ201" s="27">
        <v>0</v>
      </c>
      <c r="AK201" s="28">
        <v>0</v>
      </c>
      <c r="AL201" s="29">
        <v>0</v>
      </c>
      <c r="AM201" s="27">
        <v>726379.8600000001</v>
      </c>
      <c r="AN201" s="28">
        <v>12015513.630000001</v>
      </c>
      <c r="AO201" s="29">
        <v>13595723.640000001</v>
      </c>
      <c r="AP201" s="27">
        <v>0</v>
      </c>
      <c r="AQ201" s="28">
        <v>0</v>
      </c>
      <c r="AR201" s="29">
        <v>0</v>
      </c>
      <c r="AS201" s="24">
        <v>1.4165317236516325E-3</v>
      </c>
      <c r="AT201" s="25">
        <v>7.8745682295020371E-4</v>
      </c>
      <c r="AU201" s="26">
        <v>4.4268634197000648E-4</v>
      </c>
      <c r="AV201" s="24">
        <v>0</v>
      </c>
      <c r="AW201" s="25">
        <v>0</v>
      </c>
      <c r="AX201" s="26">
        <v>0</v>
      </c>
    </row>
    <row r="202" spans="1:50" x14ac:dyDescent="0.2">
      <c r="A202" s="22">
        <v>7110</v>
      </c>
      <c r="B202" s="23" t="s">
        <v>218</v>
      </c>
      <c r="C202" s="27">
        <v>0</v>
      </c>
      <c r="D202" s="28">
        <v>0</v>
      </c>
      <c r="E202" s="29">
        <v>0</v>
      </c>
      <c r="F202" s="27">
        <v>0</v>
      </c>
      <c r="G202" s="28">
        <v>15600</v>
      </c>
      <c r="H202" s="29">
        <v>278487</v>
      </c>
      <c r="I202" s="27">
        <v>43503</v>
      </c>
      <c r="J202" s="28">
        <v>43503</v>
      </c>
      <c r="K202" s="29">
        <v>148253</v>
      </c>
      <c r="L202" s="27">
        <v>-43680</v>
      </c>
      <c r="M202" s="28">
        <v>-28080</v>
      </c>
      <c r="N202" s="29">
        <v>130300</v>
      </c>
      <c r="O202" s="27">
        <v>-177</v>
      </c>
      <c r="P202" s="28">
        <v>-177</v>
      </c>
      <c r="Q202" s="29">
        <v>66</v>
      </c>
      <c r="R202" s="27">
        <v>3365</v>
      </c>
      <c r="S202" s="28">
        <v>3376</v>
      </c>
      <c r="T202" s="29">
        <v>3</v>
      </c>
      <c r="U202" s="27">
        <v>259047</v>
      </c>
      <c r="V202" s="28">
        <v>1018760</v>
      </c>
      <c r="W202" s="29">
        <v>663505</v>
      </c>
      <c r="X202" s="27">
        <v>228004</v>
      </c>
      <c r="Y202" s="28">
        <v>541931</v>
      </c>
      <c r="Z202" s="29">
        <v>857660</v>
      </c>
      <c r="AA202" s="27">
        <v>85527</v>
      </c>
      <c r="AB202" s="28">
        <v>455808</v>
      </c>
      <c r="AC202" s="29">
        <v>108864</v>
      </c>
      <c r="AD202" s="27">
        <v>57849</v>
      </c>
      <c r="AE202" s="28">
        <v>-17645</v>
      </c>
      <c r="AF202" s="29">
        <v>303022</v>
      </c>
      <c r="AG202" s="27">
        <v>0</v>
      </c>
      <c r="AH202" s="28">
        <v>42870.180000000051</v>
      </c>
      <c r="AI202" s="29">
        <v>1792.6000000000349</v>
      </c>
      <c r="AJ202" s="27">
        <v>0</v>
      </c>
      <c r="AK202" s="28">
        <v>0</v>
      </c>
      <c r="AL202" s="29">
        <v>0</v>
      </c>
      <c r="AM202" s="27">
        <v>222012.58999999997</v>
      </c>
      <c r="AN202" s="28">
        <v>1683280.49</v>
      </c>
      <c r="AO202" s="29">
        <v>1439341.96</v>
      </c>
      <c r="AP202" s="27">
        <v>0</v>
      </c>
      <c r="AQ202" s="28">
        <v>0</v>
      </c>
      <c r="AR202" s="29">
        <v>0</v>
      </c>
      <c r="AS202" s="24">
        <v>0</v>
      </c>
      <c r="AT202" s="25">
        <v>2.4443711193205628E-3</v>
      </c>
      <c r="AU202" s="26">
        <v>1.0223088714123152E-4</v>
      </c>
      <c r="AV202" s="24">
        <v>0</v>
      </c>
      <c r="AW202" s="25">
        <v>0</v>
      </c>
      <c r="AX202" s="26">
        <v>0</v>
      </c>
    </row>
    <row r="203" spans="1:50" x14ac:dyDescent="0.2">
      <c r="A203" s="22">
        <v>7200</v>
      </c>
      <c r="B203" s="23" t="s">
        <v>219</v>
      </c>
      <c r="C203" s="27">
        <v>8970</v>
      </c>
      <c r="D203" s="28">
        <v>16002</v>
      </c>
      <c r="E203" s="29">
        <v>11925</v>
      </c>
      <c r="F203" s="27">
        <v>0</v>
      </c>
      <c r="G203" s="28">
        <v>13724</v>
      </c>
      <c r="H203" s="29">
        <v>22372</v>
      </c>
      <c r="I203" s="27">
        <v>4349</v>
      </c>
      <c r="J203" s="28">
        <v>4349</v>
      </c>
      <c r="K203" s="29">
        <v>6321</v>
      </c>
      <c r="L203" s="27">
        <v>0</v>
      </c>
      <c r="M203" s="28">
        <v>0</v>
      </c>
      <c r="N203" s="29">
        <v>0</v>
      </c>
      <c r="O203" s="27">
        <v>13319</v>
      </c>
      <c r="P203" s="28">
        <v>6627</v>
      </c>
      <c r="Q203" s="29">
        <v>-4126</v>
      </c>
      <c r="R203" s="27">
        <v>10097</v>
      </c>
      <c r="S203" s="28">
        <v>10304</v>
      </c>
      <c r="T203" s="29">
        <v>218416</v>
      </c>
      <c r="U203" s="27">
        <v>4633184</v>
      </c>
      <c r="V203" s="28">
        <v>15246897</v>
      </c>
      <c r="W203" s="29">
        <v>19835475</v>
      </c>
      <c r="X203" s="27">
        <v>26656435</v>
      </c>
      <c r="Y203" s="28">
        <v>48203059</v>
      </c>
      <c r="Z203" s="29">
        <v>32281318</v>
      </c>
      <c r="AA203" s="27">
        <v>-31167097</v>
      </c>
      <c r="AB203" s="28">
        <v>-43473569</v>
      </c>
      <c r="AC203" s="29">
        <v>-3181422</v>
      </c>
      <c r="AD203" s="27">
        <v>-9133749</v>
      </c>
      <c r="AE203" s="28">
        <v>-10507103</v>
      </c>
      <c r="AF203" s="29">
        <v>9482837</v>
      </c>
      <c r="AG203" s="27">
        <v>173787.53000000003</v>
      </c>
      <c r="AH203" s="28">
        <v>788814.89000000048</v>
      </c>
      <c r="AI203" s="29">
        <v>3273677.4499999993</v>
      </c>
      <c r="AJ203" s="27">
        <v>6183298.8500000006</v>
      </c>
      <c r="AK203" s="28">
        <v>27646001.349999998</v>
      </c>
      <c r="AL203" s="29">
        <v>22018345.879999995</v>
      </c>
      <c r="AM203" s="27">
        <v>3916745.6999999997</v>
      </c>
      <c r="AN203" s="28">
        <v>57434175.590000004</v>
      </c>
      <c r="AO203" s="29">
        <v>96637612.129999995</v>
      </c>
      <c r="AP203" s="27">
        <v>0</v>
      </c>
      <c r="AQ203" s="28">
        <v>48840</v>
      </c>
      <c r="AR203" s="29">
        <v>0</v>
      </c>
      <c r="AS203" s="24">
        <v>6.2827090506621823E-5</v>
      </c>
      <c r="AT203" s="25">
        <v>3.0050835381053594E-4</v>
      </c>
      <c r="AU203" s="26">
        <v>1.1338028393232131E-3</v>
      </c>
      <c r="AV203" s="24">
        <v>0</v>
      </c>
      <c r="AW203" s="25">
        <v>1.8606175144724469E-5</v>
      </c>
      <c r="AX203" s="26">
        <v>0</v>
      </c>
    </row>
    <row r="204" spans="1:50" x14ac:dyDescent="0.2">
      <c r="A204" s="22">
        <v>7301</v>
      </c>
      <c r="B204" s="23" t="s">
        <v>220</v>
      </c>
      <c r="C204" s="27">
        <v>0</v>
      </c>
      <c r="D204" s="28">
        <v>0</v>
      </c>
      <c r="E204" s="29">
        <v>0</v>
      </c>
      <c r="F204" s="27">
        <v>0</v>
      </c>
      <c r="G204" s="28">
        <v>0</v>
      </c>
      <c r="H204" s="29">
        <v>40200</v>
      </c>
      <c r="I204" s="27">
        <v>0</v>
      </c>
      <c r="J204" s="28">
        <v>0</v>
      </c>
      <c r="K204" s="29">
        <v>42000</v>
      </c>
      <c r="L204" s="27">
        <v>0</v>
      </c>
      <c r="M204" s="28">
        <v>0</v>
      </c>
      <c r="N204" s="29">
        <v>0</v>
      </c>
      <c r="O204" s="27">
        <v>0</v>
      </c>
      <c r="P204" s="28">
        <v>0</v>
      </c>
      <c r="Q204" s="29">
        <v>1800</v>
      </c>
      <c r="R204" s="27">
        <v>0</v>
      </c>
      <c r="S204" s="28">
        <v>0</v>
      </c>
      <c r="T204" s="29">
        <v>0</v>
      </c>
      <c r="U204" s="27">
        <v>55135</v>
      </c>
      <c r="V204" s="28">
        <v>255211</v>
      </c>
      <c r="W204" s="29">
        <v>121411</v>
      </c>
      <c r="X204" s="27">
        <v>42351</v>
      </c>
      <c r="Y204" s="28">
        <v>257641</v>
      </c>
      <c r="Z204" s="29">
        <v>135495</v>
      </c>
      <c r="AA204" s="27">
        <v>0</v>
      </c>
      <c r="AB204" s="28">
        <v>0</v>
      </c>
      <c r="AC204" s="29">
        <v>0</v>
      </c>
      <c r="AD204" s="27">
        <v>-12784</v>
      </c>
      <c r="AE204" s="28">
        <v>2430</v>
      </c>
      <c r="AF204" s="29">
        <v>14084</v>
      </c>
      <c r="AG204" s="27">
        <v>10573.29</v>
      </c>
      <c r="AH204" s="28">
        <v>5282.7199999999993</v>
      </c>
      <c r="AI204" s="29">
        <v>5863.6699999999983</v>
      </c>
      <c r="AJ204" s="27">
        <v>0</v>
      </c>
      <c r="AK204" s="28">
        <v>0</v>
      </c>
      <c r="AL204" s="29">
        <v>0</v>
      </c>
      <c r="AM204" s="27">
        <v>62034.680000000008</v>
      </c>
      <c r="AN204" s="28">
        <v>0</v>
      </c>
      <c r="AO204" s="29">
        <v>40800</v>
      </c>
      <c r="AP204" s="27">
        <v>10573</v>
      </c>
      <c r="AQ204" s="28">
        <v>5283</v>
      </c>
      <c r="AR204" s="29">
        <v>5864</v>
      </c>
      <c r="AS204" s="24">
        <v>3.215570195313237E-3</v>
      </c>
      <c r="AT204" s="25">
        <v>1.2062227312540357E-3</v>
      </c>
      <c r="AU204" s="26">
        <v>1.5609247455634656E-3</v>
      </c>
      <c r="AV204" s="24">
        <v>3.21548199993066E-3</v>
      </c>
      <c r="AW204" s="25">
        <v>1.2062866646755973E-3</v>
      </c>
      <c r="AX204" s="26">
        <v>1.5610125924521952E-3</v>
      </c>
    </row>
    <row r="205" spans="1:50" x14ac:dyDescent="0.2">
      <c r="A205" s="22">
        <v>7302</v>
      </c>
      <c r="B205" s="23" t="s">
        <v>221</v>
      </c>
      <c r="C205" s="27">
        <v>0</v>
      </c>
      <c r="D205" s="28">
        <v>0</v>
      </c>
      <c r="E205" s="29">
        <v>0</v>
      </c>
      <c r="F205" s="27">
        <v>0</v>
      </c>
      <c r="G205" s="28">
        <v>0</v>
      </c>
      <c r="H205" s="29">
        <v>0</v>
      </c>
      <c r="I205" s="27">
        <v>0</v>
      </c>
      <c r="J205" s="28">
        <v>0</v>
      </c>
      <c r="K205" s="29">
        <v>0</v>
      </c>
      <c r="L205" s="27">
        <v>0</v>
      </c>
      <c r="M205" s="28">
        <v>0</v>
      </c>
      <c r="N205" s="29">
        <v>0</v>
      </c>
      <c r="O205" s="27">
        <v>0</v>
      </c>
      <c r="P205" s="28">
        <v>0</v>
      </c>
      <c r="Q205" s="29">
        <v>0</v>
      </c>
      <c r="R205" s="27">
        <v>0</v>
      </c>
      <c r="S205" s="28">
        <v>0</v>
      </c>
      <c r="T205" s="29">
        <v>0</v>
      </c>
      <c r="U205" s="27">
        <v>3167</v>
      </c>
      <c r="V205" s="28">
        <v>37736</v>
      </c>
      <c r="W205" s="29">
        <v>0</v>
      </c>
      <c r="X205" s="27">
        <v>3852</v>
      </c>
      <c r="Y205" s="28">
        <v>37664</v>
      </c>
      <c r="Z205" s="29">
        <v>18150</v>
      </c>
      <c r="AA205" s="27">
        <v>0</v>
      </c>
      <c r="AB205" s="28">
        <v>0</v>
      </c>
      <c r="AC205" s="29">
        <v>0</v>
      </c>
      <c r="AD205" s="27">
        <v>685</v>
      </c>
      <c r="AE205" s="28">
        <v>-72</v>
      </c>
      <c r="AF205" s="29">
        <v>18150</v>
      </c>
      <c r="AG205" s="27">
        <v>0</v>
      </c>
      <c r="AH205" s="28">
        <v>0</v>
      </c>
      <c r="AI205" s="29">
        <v>0</v>
      </c>
      <c r="AJ205" s="27">
        <v>0</v>
      </c>
      <c r="AK205" s="28">
        <v>0</v>
      </c>
      <c r="AL205" s="29">
        <v>0</v>
      </c>
      <c r="AM205" s="27">
        <v>0</v>
      </c>
      <c r="AN205" s="28">
        <v>2919480</v>
      </c>
      <c r="AO205" s="29">
        <v>3070130.24</v>
      </c>
      <c r="AP205" s="27">
        <v>0</v>
      </c>
      <c r="AQ205" s="28">
        <v>0</v>
      </c>
      <c r="AR205" s="29">
        <v>0</v>
      </c>
      <c r="AS205" s="24">
        <v>0</v>
      </c>
      <c r="AT205" s="25">
        <v>0</v>
      </c>
      <c r="AU205" s="26">
        <v>0</v>
      </c>
      <c r="AV205" s="24">
        <v>0</v>
      </c>
      <c r="AW205" s="25">
        <v>0</v>
      </c>
      <c r="AX205" s="26">
        <v>0</v>
      </c>
    </row>
    <row r="206" spans="1:50" x14ac:dyDescent="0.2">
      <c r="A206" s="22">
        <v>7303</v>
      </c>
      <c r="B206" s="23" t="s">
        <v>222</v>
      </c>
      <c r="C206" s="27">
        <v>0</v>
      </c>
      <c r="D206" s="28">
        <v>0</v>
      </c>
      <c r="E206" s="29">
        <v>0</v>
      </c>
      <c r="F206" s="27">
        <v>215704</v>
      </c>
      <c r="G206" s="28">
        <v>1770890</v>
      </c>
      <c r="H206" s="29">
        <v>30000</v>
      </c>
      <c r="I206" s="27">
        <v>502240</v>
      </c>
      <c r="J206" s="28">
        <v>502242</v>
      </c>
      <c r="K206" s="29">
        <v>0</v>
      </c>
      <c r="L206" s="27">
        <v>0</v>
      </c>
      <c r="M206" s="28">
        <v>0</v>
      </c>
      <c r="N206" s="29">
        <v>0</v>
      </c>
      <c r="O206" s="27">
        <v>286536</v>
      </c>
      <c r="P206" s="28">
        <v>-1268648</v>
      </c>
      <c r="Q206" s="29">
        <v>-30000</v>
      </c>
      <c r="R206" s="27">
        <v>0</v>
      </c>
      <c r="S206" s="28">
        <v>0</v>
      </c>
      <c r="T206" s="29">
        <v>0</v>
      </c>
      <c r="U206" s="27">
        <v>636799</v>
      </c>
      <c r="V206" s="28">
        <v>4044052</v>
      </c>
      <c r="W206" s="29">
        <v>2946996</v>
      </c>
      <c r="X206" s="27">
        <v>729143</v>
      </c>
      <c r="Y206" s="28">
        <v>4149355</v>
      </c>
      <c r="Z206" s="29">
        <v>3435711</v>
      </c>
      <c r="AA206" s="27">
        <v>-57535</v>
      </c>
      <c r="AB206" s="28">
        <v>-40831</v>
      </c>
      <c r="AC206" s="29">
        <v>-34916</v>
      </c>
      <c r="AD206" s="27">
        <v>34809</v>
      </c>
      <c r="AE206" s="28">
        <v>64472</v>
      </c>
      <c r="AF206" s="29">
        <v>453799</v>
      </c>
      <c r="AG206" s="27">
        <v>0</v>
      </c>
      <c r="AH206" s="28">
        <v>59384.799999999814</v>
      </c>
      <c r="AI206" s="29">
        <v>231110.62</v>
      </c>
      <c r="AJ206" s="27">
        <v>0</v>
      </c>
      <c r="AK206" s="28">
        <v>0</v>
      </c>
      <c r="AL206" s="29">
        <v>0</v>
      </c>
      <c r="AM206" s="27">
        <v>6324402.7299999995</v>
      </c>
      <c r="AN206" s="28">
        <v>28568906.879999999</v>
      </c>
      <c r="AO206" s="29">
        <v>37402232.399999999</v>
      </c>
      <c r="AP206" s="27">
        <v>0</v>
      </c>
      <c r="AQ206" s="28">
        <v>0</v>
      </c>
      <c r="AR206" s="29">
        <v>0</v>
      </c>
      <c r="AS206" s="24">
        <v>0</v>
      </c>
      <c r="AT206" s="25">
        <v>7.1686503681295515E-4</v>
      </c>
      <c r="AU206" s="26">
        <v>3.0506716508646014E-3</v>
      </c>
      <c r="AV206" s="24">
        <v>0</v>
      </c>
      <c r="AW206" s="25">
        <v>0</v>
      </c>
      <c r="AX206" s="26">
        <v>0</v>
      </c>
    </row>
    <row r="207" spans="1:50" x14ac:dyDescent="0.2">
      <c r="A207" s="22">
        <v>7304</v>
      </c>
      <c r="B207" s="23" t="s">
        <v>223</v>
      </c>
      <c r="C207" s="27">
        <v>0</v>
      </c>
      <c r="D207" s="28">
        <v>0</v>
      </c>
      <c r="E207" s="29">
        <v>0</v>
      </c>
      <c r="F207" s="27">
        <v>0</v>
      </c>
      <c r="G207" s="28">
        <v>241289</v>
      </c>
      <c r="H207" s="29">
        <v>85329</v>
      </c>
      <c r="I207" s="27">
        <v>0</v>
      </c>
      <c r="J207" s="28">
        <v>241289</v>
      </c>
      <c r="K207" s="29">
        <v>85329</v>
      </c>
      <c r="L207" s="27">
        <v>0</v>
      </c>
      <c r="M207" s="28">
        <v>0</v>
      </c>
      <c r="N207" s="29">
        <v>0</v>
      </c>
      <c r="O207" s="27">
        <v>0</v>
      </c>
      <c r="P207" s="28">
        <v>0</v>
      </c>
      <c r="Q207" s="29">
        <v>0</v>
      </c>
      <c r="R207" s="27">
        <v>0</v>
      </c>
      <c r="S207" s="28">
        <v>0</v>
      </c>
      <c r="T207" s="29">
        <v>0</v>
      </c>
      <c r="U207" s="27">
        <v>130898</v>
      </c>
      <c r="V207" s="28">
        <v>275681</v>
      </c>
      <c r="W207" s="29">
        <v>58975</v>
      </c>
      <c r="X207" s="27">
        <v>126704</v>
      </c>
      <c r="Y207" s="28">
        <v>199675</v>
      </c>
      <c r="Z207" s="29">
        <v>101840</v>
      </c>
      <c r="AA207" s="27">
        <v>20800</v>
      </c>
      <c r="AB207" s="28">
        <v>48800</v>
      </c>
      <c r="AC207" s="29">
        <v>-48800</v>
      </c>
      <c r="AD207" s="27">
        <v>16606</v>
      </c>
      <c r="AE207" s="28">
        <v>-27206</v>
      </c>
      <c r="AF207" s="29">
        <v>-5935</v>
      </c>
      <c r="AG207" s="27">
        <v>33795.9</v>
      </c>
      <c r="AH207" s="28">
        <v>7710.109999999986</v>
      </c>
      <c r="AI207" s="29">
        <v>0</v>
      </c>
      <c r="AJ207" s="27">
        <v>0</v>
      </c>
      <c r="AK207" s="28">
        <v>0</v>
      </c>
      <c r="AL207" s="29">
        <v>0</v>
      </c>
      <c r="AM207" s="27">
        <v>55047.850000000006</v>
      </c>
      <c r="AN207" s="28">
        <v>111166.02999999997</v>
      </c>
      <c r="AO207" s="29">
        <v>0</v>
      </c>
      <c r="AP207" s="27">
        <v>0</v>
      </c>
      <c r="AQ207" s="28">
        <v>0</v>
      </c>
      <c r="AR207" s="29">
        <v>0</v>
      </c>
      <c r="AS207" s="24">
        <v>1.8623896310726159E-3</v>
      </c>
      <c r="AT207" s="25">
        <v>5.1585184758969733E-4</v>
      </c>
      <c r="AU207" s="26">
        <v>0</v>
      </c>
      <c r="AV207" s="24">
        <v>0</v>
      </c>
      <c r="AW207" s="25">
        <v>0</v>
      </c>
      <c r="AX207" s="26">
        <v>0</v>
      </c>
    </row>
    <row r="208" spans="1:50" x14ac:dyDescent="0.2">
      <c r="A208" s="22">
        <v>7305</v>
      </c>
      <c r="B208" s="23" t="s">
        <v>224</v>
      </c>
      <c r="C208" s="27">
        <v>0</v>
      </c>
      <c r="D208" s="28">
        <v>0</v>
      </c>
      <c r="E208" s="29">
        <v>0</v>
      </c>
      <c r="F208" s="27">
        <v>0</v>
      </c>
      <c r="G208" s="28">
        <v>0</v>
      </c>
      <c r="H208" s="29">
        <v>0</v>
      </c>
      <c r="I208" s="27">
        <v>0</v>
      </c>
      <c r="J208" s="28">
        <v>1063474</v>
      </c>
      <c r="K208" s="29">
        <v>212695</v>
      </c>
      <c r="L208" s="27">
        <v>0</v>
      </c>
      <c r="M208" s="28">
        <v>0</v>
      </c>
      <c r="N208" s="29">
        <v>0</v>
      </c>
      <c r="O208" s="27">
        <v>0</v>
      </c>
      <c r="P208" s="28">
        <v>1063474</v>
      </c>
      <c r="Q208" s="29">
        <v>212695</v>
      </c>
      <c r="R208" s="27">
        <v>0</v>
      </c>
      <c r="S208" s="28">
        <v>0</v>
      </c>
      <c r="T208" s="29">
        <v>0</v>
      </c>
      <c r="U208" s="27">
        <v>211677</v>
      </c>
      <c r="V208" s="28">
        <v>486620</v>
      </c>
      <c r="W208" s="29">
        <v>754001</v>
      </c>
      <c r="X208" s="27">
        <v>99526</v>
      </c>
      <c r="Y208" s="28">
        <v>363309</v>
      </c>
      <c r="Z208" s="29">
        <v>446299</v>
      </c>
      <c r="AA208" s="27">
        <v>48702</v>
      </c>
      <c r="AB208" s="28">
        <v>52935</v>
      </c>
      <c r="AC208" s="29">
        <v>348392</v>
      </c>
      <c r="AD208" s="27">
        <v>-63449</v>
      </c>
      <c r="AE208" s="28">
        <v>-70376</v>
      </c>
      <c r="AF208" s="29">
        <v>40690</v>
      </c>
      <c r="AG208" s="27">
        <v>0</v>
      </c>
      <c r="AH208" s="28">
        <v>-2.9103830456733704E-11</v>
      </c>
      <c r="AI208" s="29">
        <v>0</v>
      </c>
      <c r="AJ208" s="27">
        <v>11696.1</v>
      </c>
      <c r="AK208" s="28">
        <v>11696.1</v>
      </c>
      <c r="AL208" s="29">
        <v>11696.1</v>
      </c>
      <c r="AM208" s="27">
        <v>370749.5</v>
      </c>
      <c r="AN208" s="28">
        <v>578533.59</v>
      </c>
      <c r="AO208" s="29">
        <v>4675796.95</v>
      </c>
      <c r="AP208" s="27">
        <v>0</v>
      </c>
      <c r="AQ208" s="28">
        <v>0</v>
      </c>
      <c r="AR208" s="29">
        <v>0</v>
      </c>
      <c r="AS208" s="24">
        <v>0</v>
      </c>
      <c r="AT208" s="25">
        <v>-1.8329924346886329E-18</v>
      </c>
      <c r="AU208" s="26">
        <v>0</v>
      </c>
      <c r="AV208" s="24">
        <v>0</v>
      </c>
      <c r="AW208" s="25">
        <v>0</v>
      </c>
      <c r="AX208" s="26">
        <v>0</v>
      </c>
    </row>
    <row r="209" spans="1:50" x14ac:dyDescent="0.2">
      <c r="A209" s="22">
        <v>7306</v>
      </c>
      <c r="B209" s="23" t="s">
        <v>225</v>
      </c>
      <c r="C209" s="27">
        <v>0</v>
      </c>
      <c r="D209" s="28">
        <v>0</v>
      </c>
      <c r="E209" s="29">
        <v>0</v>
      </c>
      <c r="F209" s="27">
        <v>0</v>
      </c>
      <c r="G209" s="28">
        <v>0</v>
      </c>
      <c r="H209" s="29">
        <v>26100</v>
      </c>
      <c r="I209" s="27">
        <v>0</v>
      </c>
      <c r="J209" s="28">
        <v>0</v>
      </c>
      <c r="K209" s="29">
        <v>39100</v>
      </c>
      <c r="L209" s="27">
        <v>0</v>
      </c>
      <c r="M209" s="28">
        <v>0</v>
      </c>
      <c r="N209" s="29">
        <v>13820</v>
      </c>
      <c r="O209" s="27">
        <v>0</v>
      </c>
      <c r="P209" s="28">
        <v>0</v>
      </c>
      <c r="Q209" s="29">
        <v>26820</v>
      </c>
      <c r="R209" s="27">
        <v>0</v>
      </c>
      <c r="S209" s="28">
        <v>0</v>
      </c>
      <c r="T209" s="29">
        <v>0</v>
      </c>
      <c r="U209" s="27">
        <v>97603</v>
      </c>
      <c r="V209" s="28">
        <v>440886</v>
      </c>
      <c r="W209" s="29">
        <v>303742</v>
      </c>
      <c r="X209" s="27">
        <v>55676</v>
      </c>
      <c r="Y209" s="28">
        <v>395086</v>
      </c>
      <c r="Z209" s="29">
        <v>528460</v>
      </c>
      <c r="AA209" s="27">
        <v>39851</v>
      </c>
      <c r="AB209" s="28">
        <v>51636</v>
      </c>
      <c r="AC209" s="29">
        <v>-173229</v>
      </c>
      <c r="AD209" s="27">
        <v>-2076</v>
      </c>
      <c r="AE209" s="28">
        <v>5836</v>
      </c>
      <c r="AF209" s="29">
        <v>51489</v>
      </c>
      <c r="AG209" s="27">
        <v>15368.039999999994</v>
      </c>
      <c r="AH209" s="28">
        <v>1922.5899999999965</v>
      </c>
      <c r="AI209" s="29">
        <v>13387.639999999985</v>
      </c>
      <c r="AJ209" s="27">
        <v>0</v>
      </c>
      <c r="AK209" s="28">
        <v>0</v>
      </c>
      <c r="AL209" s="29">
        <v>0</v>
      </c>
      <c r="AM209" s="27">
        <v>85788.390000000014</v>
      </c>
      <c r="AN209" s="28">
        <v>126356.70000000001</v>
      </c>
      <c r="AO209" s="29">
        <v>131685.82</v>
      </c>
      <c r="AP209" s="27">
        <v>0</v>
      </c>
      <c r="AQ209" s="28">
        <v>0</v>
      </c>
      <c r="AR209" s="29">
        <v>0</v>
      </c>
      <c r="AS209" s="24">
        <v>8.5103903965301052E-4</v>
      </c>
      <c r="AT209" s="25">
        <v>9.6332887625643842E-5</v>
      </c>
      <c r="AU209" s="26">
        <v>7.0298496239653879E-4</v>
      </c>
      <c r="AV209" s="24">
        <v>0</v>
      </c>
      <c r="AW209" s="25">
        <v>0</v>
      </c>
      <c r="AX209" s="26">
        <v>0</v>
      </c>
    </row>
    <row r="210" spans="1:50" x14ac:dyDescent="0.2">
      <c r="A210" s="22">
        <v>7307</v>
      </c>
      <c r="B210" s="23" t="s">
        <v>226</v>
      </c>
      <c r="C210" s="27">
        <v>0</v>
      </c>
      <c r="D210" s="28">
        <v>0</v>
      </c>
      <c r="E210" s="29">
        <v>0</v>
      </c>
      <c r="F210" s="27">
        <v>0</v>
      </c>
      <c r="G210" s="28">
        <v>0</v>
      </c>
      <c r="H210" s="29">
        <v>0</v>
      </c>
      <c r="I210" s="27">
        <v>0</v>
      </c>
      <c r="J210" s="28">
        <v>0</v>
      </c>
      <c r="K210" s="29">
        <v>0</v>
      </c>
      <c r="L210" s="27">
        <v>0</v>
      </c>
      <c r="M210" s="28">
        <v>0</v>
      </c>
      <c r="N210" s="29">
        <v>0</v>
      </c>
      <c r="O210" s="27">
        <v>0</v>
      </c>
      <c r="P210" s="28">
        <v>0</v>
      </c>
      <c r="Q210" s="29">
        <v>0</v>
      </c>
      <c r="R210" s="27">
        <v>0</v>
      </c>
      <c r="S210" s="28">
        <v>0</v>
      </c>
      <c r="T210" s="29">
        <v>0</v>
      </c>
      <c r="U210" s="27">
        <v>153148</v>
      </c>
      <c r="V210" s="28">
        <v>344056</v>
      </c>
      <c r="W210" s="29">
        <v>31542</v>
      </c>
      <c r="X210" s="27">
        <v>136423</v>
      </c>
      <c r="Y210" s="28">
        <v>301867</v>
      </c>
      <c r="Z210" s="29">
        <v>138060</v>
      </c>
      <c r="AA210" s="27">
        <v>49000</v>
      </c>
      <c r="AB210" s="28">
        <v>51500</v>
      </c>
      <c r="AC210" s="29">
        <v>-75800</v>
      </c>
      <c r="AD210" s="27">
        <v>32275</v>
      </c>
      <c r="AE210" s="28">
        <v>9311</v>
      </c>
      <c r="AF210" s="29">
        <v>30718</v>
      </c>
      <c r="AG210" s="27">
        <v>0</v>
      </c>
      <c r="AH210" s="28">
        <v>0</v>
      </c>
      <c r="AI210" s="29">
        <v>0</v>
      </c>
      <c r="AJ210" s="27">
        <v>0</v>
      </c>
      <c r="AK210" s="28">
        <v>0</v>
      </c>
      <c r="AL210" s="29">
        <v>0</v>
      </c>
      <c r="AM210" s="27">
        <v>0</v>
      </c>
      <c r="AN210" s="28">
        <v>416100</v>
      </c>
      <c r="AO210" s="29">
        <v>2571721</v>
      </c>
      <c r="AP210" s="27">
        <v>0</v>
      </c>
      <c r="AQ210" s="28">
        <v>0</v>
      </c>
      <c r="AR210" s="29">
        <v>0</v>
      </c>
      <c r="AS210" s="24">
        <v>0</v>
      </c>
      <c r="AT210" s="25">
        <v>0</v>
      </c>
      <c r="AU210" s="26">
        <v>0</v>
      </c>
      <c r="AV210" s="24">
        <v>0</v>
      </c>
      <c r="AW210" s="25">
        <v>0</v>
      </c>
      <c r="AX210" s="26">
        <v>0</v>
      </c>
    </row>
    <row r="211" spans="1:50" x14ac:dyDescent="0.2">
      <c r="A211" s="22">
        <v>7308</v>
      </c>
      <c r="B211" s="23" t="s">
        <v>227</v>
      </c>
      <c r="C211" s="27">
        <v>0</v>
      </c>
      <c r="D211" s="28">
        <v>0</v>
      </c>
      <c r="E211" s="29">
        <v>0</v>
      </c>
      <c r="F211" s="27">
        <v>1940591</v>
      </c>
      <c r="G211" s="28">
        <v>1977670</v>
      </c>
      <c r="H211" s="29">
        <v>996</v>
      </c>
      <c r="I211" s="27">
        <v>1637518</v>
      </c>
      <c r="J211" s="28">
        <v>1637518</v>
      </c>
      <c r="K211" s="29">
        <v>0</v>
      </c>
      <c r="L211" s="27">
        <v>0</v>
      </c>
      <c r="M211" s="28">
        <v>0</v>
      </c>
      <c r="N211" s="29">
        <v>0</v>
      </c>
      <c r="O211" s="27">
        <v>-303073</v>
      </c>
      <c r="P211" s="28">
        <v>-340152</v>
      </c>
      <c r="Q211" s="29">
        <v>-996</v>
      </c>
      <c r="R211" s="27">
        <v>0</v>
      </c>
      <c r="S211" s="28">
        <v>0</v>
      </c>
      <c r="T211" s="29">
        <v>0</v>
      </c>
      <c r="U211" s="27">
        <v>307920</v>
      </c>
      <c r="V211" s="28">
        <v>470566</v>
      </c>
      <c r="W211" s="29">
        <v>750653</v>
      </c>
      <c r="X211" s="27">
        <v>329599</v>
      </c>
      <c r="Y211" s="28">
        <v>965786</v>
      </c>
      <c r="Z211" s="29">
        <v>1012695</v>
      </c>
      <c r="AA211" s="27">
        <v>266980</v>
      </c>
      <c r="AB211" s="28">
        <v>-520530</v>
      </c>
      <c r="AC211" s="29">
        <v>0</v>
      </c>
      <c r="AD211" s="27">
        <v>288659</v>
      </c>
      <c r="AE211" s="28">
        <v>-25310</v>
      </c>
      <c r="AF211" s="29">
        <v>262042</v>
      </c>
      <c r="AG211" s="27">
        <v>15202.43</v>
      </c>
      <c r="AH211" s="28">
        <v>14223.279999999999</v>
      </c>
      <c r="AI211" s="29">
        <v>1759683.21</v>
      </c>
      <c r="AJ211" s="27">
        <v>0</v>
      </c>
      <c r="AK211" s="28">
        <v>0</v>
      </c>
      <c r="AL211" s="29">
        <v>0</v>
      </c>
      <c r="AM211" s="27">
        <v>5989939.5600000005</v>
      </c>
      <c r="AN211" s="28">
        <v>5264184.92</v>
      </c>
      <c r="AO211" s="29">
        <v>6250170.6699999999</v>
      </c>
      <c r="AP211" s="27">
        <v>0</v>
      </c>
      <c r="AQ211" s="28">
        <v>0</v>
      </c>
      <c r="AR211" s="29">
        <v>0</v>
      </c>
      <c r="AS211" s="24">
        <v>2.4099577232577124E-4</v>
      </c>
      <c r="AT211" s="25">
        <v>2.3846991406567219E-4</v>
      </c>
      <c r="AU211" s="26">
        <v>2.9258034634414651E-2</v>
      </c>
      <c r="AV211" s="24">
        <v>0</v>
      </c>
      <c r="AW211" s="25">
        <v>0</v>
      </c>
      <c r="AX211" s="26">
        <v>0</v>
      </c>
    </row>
    <row r="212" spans="1:50" x14ac:dyDescent="0.2">
      <c r="A212" s="22">
        <v>7309</v>
      </c>
      <c r="B212" s="23" t="s">
        <v>228</v>
      </c>
      <c r="C212" s="27">
        <v>0</v>
      </c>
      <c r="D212" s="28">
        <v>0</v>
      </c>
      <c r="E212" s="29">
        <v>0</v>
      </c>
      <c r="F212" s="27">
        <v>0</v>
      </c>
      <c r="G212" s="28">
        <v>0</v>
      </c>
      <c r="H212" s="29">
        <v>0</v>
      </c>
      <c r="I212" s="27">
        <v>0</v>
      </c>
      <c r="J212" s="28">
        <v>0</v>
      </c>
      <c r="K212" s="29">
        <v>0</v>
      </c>
      <c r="L212" s="27">
        <v>0</v>
      </c>
      <c r="M212" s="28">
        <v>0</v>
      </c>
      <c r="N212" s="29">
        <v>0</v>
      </c>
      <c r="O212" s="27">
        <v>0</v>
      </c>
      <c r="P212" s="28">
        <v>0</v>
      </c>
      <c r="Q212" s="29">
        <v>0</v>
      </c>
      <c r="R212" s="27">
        <v>0</v>
      </c>
      <c r="S212" s="28">
        <v>0</v>
      </c>
      <c r="T212" s="29">
        <v>0</v>
      </c>
      <c r="U212" s="27">
        <v>305964</v>
      </c>
      <c r="V212" s="28">
        <v>759642</v>
      </c>
      <c r="W212" s="29">
        <v>749471</v>
      </c>
      <c r="X212" s="27">
        <v>261894</v>
      </c>
      <c r="Y212" s="28">
        <v>1471763</v>
      </c>
      <c r="Z212" s="29">
        <v>784128</v>
      </c>
      <c r="AA212" s="27">
        <v>63761</v>
      </c>
      <c r="AB212" s="28">
        <v>-105513</v>
      </c>
      <c r="AC212" s="29">
        <v>38710</v>
      </c>
      <c r="AD212" s="27">
        <v>19691</v>
      </c>
      <c r="AE212" s="28">
        <v>606608</v>
      </c>
      <c r="AF212" s="29">
        <v>73367</v>
      </c>
      <c r="AG212" s="27">
        <v>28797.58</v>
      </c>
      <c r="AH212" s="28">
        <v>37980.299999999988</v>
      </c>
      <c r="AI212" s="29">
        <v>1061943.19</v>
      </c>
      <c r="AJ212" s="27">
        <v>0</v>
      </c>
      <c r="AK212" s="28">
        <v>0</v>
      </c>
      <c r="AL212" s="29">
        <v>0</v>
      </c>
      <c r="AM212" s="27">
        <v>1188214.07</v>
      </c>
      <c r="AN212" s="28">
        <v>1164609.33</v>
      </c>
      <c r="AO212" s="29">
        <v>6420040.4000000004</v>
      </c>
      <c r="AP212" s="27">
        <v>0</v>
      </c>
      <c r="AQ212" s="28">
        <v>0</v>
      </c>
      <c r="AR212" s="29">
        <v>0</v>
      </c>
      <c r="AS212" s="24">
        <v>9.5848748083529622E-4</v>
      </c>
      <c r="AT212" s="25">
        <v>1.2407218147585598E-3</v>
      </c>
      <c r="AU212" s="26">
        <v>3.3975207649373736E-2</v>
      </c>
      <c r="AV212" s="24">
        <v>0</v>
      </c>
      <c r="AW212" s="25">
        <v>0</v>
      </c>
      <c r="AX212" s="26">
        <v>0</v>
      </c>
    </row>
    <row r="213" spans="1:50" x14ac:dyDescent="0.2">
      <c r="A213" s="22">
        <v>7310</v>
      </c>
      <c r="B213" s="23" t="s">
        <v>229</v>
      </c>
      <c r="C213" s="27">
        <v>0</v>
      </c>
      <c r="D213" s="28">
        <v>0</v>
      </c>
      <c r="E213" s="29">
        <v>0</v>
      </c>
      <c r="F213" s="27">
        <v>0</v>
      </c>
      <c r="G213" s="28">
        <v>0</v>
      </c>
      <c r="H213" s="29">
        <v>0</v>
      </c>
      <c r="I213" s="27">
        <v>0</v>
      </c>
      <c r="J213" s="28">
        <v>0</v>
      </c>
      <c r="K213" s="29">
        <v>0</v>
      </c>
      <c r="L213" s="27">
        <v>0</v>
      </c>
      <c r="M213" s="28">
        <v>0</v>
      </c>
      <c r="N213" s="29">
        <v>0</v>
      </c>
      <c r="O213" s="27">
        <v>0</v>
      </c>
      <c r="P213" s="28">
        <v>0</v>
      </c>
      <c r="Q213" s="29">
        <v>0</v>
      </c>
      <c r="R213" s="27">
        <v>0</v>
      </c>
      <c r="S213" s="28">
        <v>0</v>
      </c>
      <c r="T213" s="29">
        <v>0</v>
      </c>
      <c r="U213" s="27">
        <v>100558</v>
      </c>
      <c r="V213" s="28">
        <v>217673</v>
      </c>
      <c r="W213" s="29">
        <v>83276</v>
      </c>
      <c r="X213" s="27">
        <v>101400</v>
      </c>
      <c r="Y213" s="28">
        <v>212838</v>
      </c>
      <c r="Z213" s="29">
        <v>107924</v>
      </c>
      <c r="AA213" s="27">
        <v>0</v>
      </c>
      <c r="AB213" s="28">
        <v>-4675</v>
      </c>
      <c r="AC213" s="29">
        <v>-2250</v>
      </c>
      <c r="AD213" s="27">
        <v>842</v>
      </c>
      <c r="AE213" s="28">
        <v>-9510</v>
      </c>
      <c r="AF213" s="29">
        <v>22398</v>
      </c>
      <c r="AG213" s="27">
        <v>10360.620000000003</v>
      </c>
      <c r="AH213" s="28">
        <v>182205.12000000002</v>
      </c>
      <c r="AI213" s="29">
        <v>1369.6800000000067</v>
      </c>
      <c r="AJ213" s="27">
        <v>0</v>
      </c>
      <c r="AK213" s="28">
        <v>0</v>
      </c>
      <c r="AL213" s="29">
        <v>0</v>
      </c>
      <c r="AM213" s="27">
        <v>38141.820000000007</v>
      </c>
      <c r="AN213" s="28">
        <v>197481.84000000003</v>
      </c>
      <c r="AO213" s="29">
        <v>2090232</v>
      </c>
      <c r="AP213" s="27">
        <v>0</v>
      </c>
      <c r="AQ213" s="28">
        <v>0</v>
      </c>
      <c r="AR213" s="29">
        <v>0</v>
      </c>
      <c r="AS213" s="24">
        <v>7.1879820247375292E-4</v>
      </c>
      <c r="AT213" s="25">
        <v>1.1560041498240792E-2</v>
      </c>
      <c r="AU213" s="26">
        <v>9.8810726253211403E-5</v>
      </c>
      <c r="AV213" s="24">
        <v>0</v>
      </c>
      <c r="AW213" s="25">
        <v>0</v>
      </c>
      <c r="AX213" s="26">
        <v>0</v>
      </c>
    </row>
    <row r="214" spans="1:50" x14ac:dyDescent="0.2">
      <c r="A214" s="22">
        <v>7311</v>
      </c>
      <c r="B214" s="23" t="s">
        <v>230</v>
      </c>
      <c r="C214" s="27">
        <v>0</v>
      </c>
      <c r="D214" s="28">
        <v>0</v>
      </c>
      <c r="E214" s="29">
        <v>0</v>
      </c>
      <c r="F214" s="27">
        <v>0</v>
      </c>
      <c r="G214" s="28">
        <v>1597715</v>
      </c>
      <c r="H214" s="29">
        <v>518426</v>
      </c>
      <c r="I214" s="27">
        <v>0</v>
      </c>
      <c r="J214" s="28">
        <v>1682656</v>
      </c>
      <c r="K214" s="29">
        <v>554779</v>
      </c>
      <c r="L214" s="27">
        <v>0</v>
      </c>
      <c r="M214" s="28">
        <v>0</v>
      </c>
      <c r="N214" s="29">
        <v>-4080</v>
      </c>
      <c r="O214" s="27">
        <v>0</v>
      </c>
      <c r="P214" s="28">
        <v>84941</v>
      </c>
      <c r="Q214" s="29">
        <v>32273</v>
      </c>
      <c r="R214" s="27">
        <v>1485</v>
      </c>
      <c r="S214" s="28">
        <v>1484</v>
      </c>
      <c r="T214" s="29">
        <v>0</v>
      </c>
      <c r="U214" s="27">
        <v>83411</v>
      </c>
      <c r="V214" s="28">
        <v>816459</v>
      </c>
      <c r="W214" s="29">
        <v>582131</v>
      </c>
      <c r="X214" s="27">
        <v>10651</v>
      </c>
      <c r="Y214" s="28">
        <v>693654</v>
      </c>
      <c r="Z214" s="29">
        <v>588298</v>
      </c>
      <c r="AA214" s="27">
        <v>32289</v>
      </c>
      <c r="AB214" s="28">
        <v>19286</v>
      </c>
      <c r="AC214" s="29">
        <v>22760</v>
      </c>
      <c r="AD214" s="27">
        <v>-38986</v>
      </c>
      <c r="AE214" s="28">
        <v>-102035</v>
      </c>
      <c r="AF214" s="29">
        <v>28927</v>
      </c>
      <c r="AG214" s="27">
        <v>0</v>
      </c>
      <c r="AH214" s="28">
        <v>0</v>
      </c>
      <c r="AI214" s="29">
        <v>0</v>
      </c>
      <c r="AJ214" s="27">
        <v>0</v>
      </c>
      <c r="AK214" s="28">
        <v>0</v>
      </c>
      <c r="AL214" s="29">
        <v>0</v>
      </c>
      <c r="AM214" s="27">
        <v>4996083.4400000004</v>
      </c>
      <c r="AN214" s="28">
        <v>4607442.62</v>
      </c>
      <c r="AO214" s="29">
        <v>5840161.9000000004</v>
      </c>
      <c r="AP214" s="27">
        <v>0</v>
      </c>
      <c r="AQ214" s="28">
        <v>0</v>
      </c>
      <c r="AR214" s="29">
        <v>0</v>
      </c>
      <c r="AS214" s="24">
        <v>0</v>
      </c>
      <c r="AT214" s="25">
        <v>0</v>
      </c>
      <c r="AU214" s="26">
        <v>0</v>
      </c>
      <c r="AV214" s="24">
        <v>0</v>
      </c>
      <c r="AW214" s="25">
        <v>0</v>
      </c>
      <c r="AX214" s="26">
        <v>0</v>
      </c>
    </row>
    <row r="215" spans="1:50" x14ac:dyDescent="0.2">
      <c r="A215" s="22">
        <v>7312</v>
      </c>
      <c r="B215" s="23" t="s">
        <v>231</v>
      </c>
      <c r="C215" s="27">
        <v>0</v>
      </c>
      <c r="D215" s="28">
        <v>0</v>
      </c>
      <c r="E215" s="29">
        <v>0</v>
      </c>
      <c r="F215" s="27">
        <v>0</v>
      </c>
      <c r="G215" s="28">
        <v>426636</v>
      </c>
      <c r="H215" s="29">
        <v>15050</v>
      </c>
      <c r="I215" s="27">
        <v>0</v>
      </c>
      <c r="J215" s="28">
        <v>451642</v>
      </c>
      <c r="K215" s="29">
        <v>103496</v>
      </c>
      <c r="L215" s="27">
        <v>0</v>
      </c>
      <c r="M215" s="28">
        <v>10824</v>
      </c>
      <c r="N215" s="29">
        <v>-10825</v>
      </c>
      <c r="O215" s="27">
        <v>0</v>
      </c>
      <c r="P215" s="28">
        <v>35830</v>
      </c>
      <c r="Q215" s="29">
        <v>77621</v>
      </c>
      <c r="R215" s="27">
        <v>0</v>
      </c>
      <c r="S215" s="28">
        <v>0</v>
      </c>
      <c r="T215" s="29">
        <v>0</v>
      </c>
      <c r="U215" s="27">
        <v>64151</v>
      </c>
      <c r="V215" s="28">
        <v>1089760</v>
      </c>
      <c r="W215" s="29">
        <v>223751</v>
      </c>
      <c r="X215" s="27">
        <v>79100</v>
      </c>
      <c r="Y215" s="28">
        <v>1235660</v>
      </c>
      <c r="Z215" s="29">
        <v>183446</v>
      </c>
      <c r="AA215" s="27">
        <v>4389</v>
      </c>
      <c r="AB215" s="28">
        <v>-82269</v>
      </c>
      <c r="AC215" s="29">
        <v>41307</v>
      </c>
      <c r="AD215" s="27">
        <v>19338</v>
      </c>
      <c r="AE215" s="28">
        <v>63631</v>
      </c>
      <c r="AF215" s="29">
        <v>1002</v>
      </c>
      <c r="AG215" s="27">
        <v>1507066.7699999998</v>
      </c>
      <c r="AH215" s="28">
        <v>92671.72</v>
      </c>
      <c r="AI215" s="29">
        <v>77621.820000000007</v>
      </c>
      <c r="AJ215" s="27">
        <v>0</v>
      </c>
      <c r="AK215" s="28">
        <v>0</v>
      </c>
      <c r="AL215" s="29">
        <v>0</v>
      </c>
      <c r="AM215" s="27">
        <v>3271312.59</v>
      </c>
      <c r="AN215" s="28">
        <v>1805936.9600000002</v>
      </c>
      <c r="AO215" s="29">
        <v>1910765.8</v>
      </c>
      <c r="AP215" s="27">
        <v>0</v>
      </c>
      <c r="AQ215" s="28">
        <v>0</v>
      </c>
      <c r="AR215" s="29">
        <v>0</v>
      </c>
      <c r="AS215" s="24">
        <v>0.12764838721672014</v>
      </c>
      <c r="AT215" s="25">
        <v>1.0716520284283758E-2</v>
      </c>
      <c r="AU215" s="26">
        <v>6.2461803193443743E-3</v>
      </c>
      <c r="AV215" s="24">
        <v>0</v>
      </c>
      <c r="AW215" s="25">
        <v>0</v>
      </c>
      <c r="AX215" s="26">
        <v>0</v>
      </c>
    </row>
    <row r="216" spans="1:50" x14ac:dyDescent="0.2">
      <c r="A216" s="22">
        <v>7313</v>
      </c>
      <c r="B216" s="23" t="s">
        <v>232</v>
      </c>
      <c r="C216" s="27">
        <v>31</v>
      </c>
      <c r="D216" s="28">
        <v>-791</v>
      </c>
      <c r="E216" s="29">
        <v>0</v>
      </c>
      <c r="F216" s="27">
        <v>541881</v>
      </c>
      <c r="G216" s="28">
        <v>1258578</v>
      </c>
      <c r="H216" s="29">
        <v>48292</v>
      </c>
      <c r="I216" s="27">
        <v>245470</v>
      </c>
      <c r="J216" s="28">
        <v>849056</v>
      </c>
      <c r="K216" s="29">
        <v>128445</v>
      </c>
      <c r="L216" s="27">
        <v>0</v>
      </c>
      <c r="M216" s="28">
        <v>0</v>
      </c>
      <c r="N216" s="29">
        <v>0</v>
      </c>
      <c r="O216" s="27">
        <v>-296380</v>
      </c>
      <c r="P216" s="28">
        <v>-410313</v>
      </c>
      <c r="Q216" s="29">
        <v>80153</v>
      </c>
      <c r="R216" s="27">
        <v>0</v>
      </c>
      <c r="S216" s="28">
        <v>0</v>
      </c>
      <c r="T216" s="29">
        <v>0</v>
      </c>
      <c r="U216" s="27">
        <v>413536</v>
      </c>
      <c r="V216" s="28">
        <v>1101342</v>
      </c>
      <c r="W216" s="29">
        <v>915106</v>
      </c>
      <c r="X216" s="27">
        <v>304830</v>
      </c>
      <c r="Y216" s="28">
        <v>949310</v>
      </c>
      <c r="Z216" s="29">
        <v>1011699</v>
      </c>
      <c r="AA216" s="27">
        <v>0</v>
      </c>
      <c r="AB216" s="28">
        <v>0</v>
      </c>
      <c r="AC216" s="29">
        <v>0</v>
      </c>
      <c r="AD216" s="27">
        <v>-108706</v>
      </c>
      <c r="AE216" s="28">
        <v>-152032</v>
      </c>
      <c r="AF216" s="29">
        <v>96593</v>
      </c>
      <c r="AG216" s="27">
        <v>33811.62000000001</v>
      </c>
      <c r="AH216" s="28">
        <v>326719.29000000004</v>
      </c>
      <c r="AI216" s="29">
        <v>304031.33000000007</v>
      </c>
      <c r="AJ216" s="27">
        <v>0</v>
      </c>
      <c r="AK216" s="28">
        <v>0</v>
      </c>
      <c r="AL216" s="29">
        <v>0</v>
      </c>
      <c r="AM216" s="27">
        <v>559222.08999999985</v>
      </c>
      <c r="AN216" s="28">
        <v>820132.05</v>
      </c>
      <c r="AO216" s="29">
        <v>1509148.15</v>
      </c>
      <c r="AP216" s="27">
        <v>0</v>
      </c>
      <c r="AQ216" s="28">
        <v>0</v>
      </c>
      <c r="AR216" s="29">
        <v>0</v>
      </c>
      <c r="AS216" s="24">
        <v>1.5423424564228168E-3</v>
      </c>
      <c r="AT216" s="25">
        <v>1.2852024772614807E-2</v>
      </c>
      <c r="AU216" s="26">
        <v>1.2919451906240794E-2</v>
      </c>
      <c r="AV216" s="24">
        <v>0</v>
      </c>
      <c r="AW216" s="25">
        <v>0</v>
      </c>
      <c r="AX216" s="26">
        <v>0</v>
      </c>
    </row>
    <row r="217" spans="1:50" x14ac:dyDescent="0.2">
      <c r="A217" s="22">
        <v>7314</v>
      </c>
      <c r="B217" s="23" t="s">
        <v>233</v>
      </c>
      <c r="C217" s="27">
        <v>0</v>
      </c>
      <c r="D217" s="28">
        <v>0</v>
      </c>
      <c r="E217" s="29">
        <v>0</v>
      </c>
      <c r="F217" s="27">
        <v>184767</v>
      </c>
      <c r="G217" s="28">
        <v>1915357</v>
      </c>
      <c r="H217" s="29">
        <v>528872</v>
      </c>
      <c r="I217" s="27">
        <v>149222</v>
      </c>
      <c r="J217" s="28">
        <v>1912972</v>
      </c>
      <c r="K217" s="29">
        <v>524478</v>
      </c>
      <c r="L217" s="27">
        <v>0</v>
      </c>
      <c r="M217" s="28">
        <v>0</v>
      </c>
      <c r="N217" s="29">
        <v>0</v>
      </c>
      <c r="O217" s="27">
        <v>-35545</v>
      </c>
      <c r="P217" s="28">
        <v>-2385</v>
      </c>
      <c r="Q217" s="29">
        <v>-4394</v>
      </c>
      <c r="R217" s="27">
        <v>0</v>
      </c>
      <c r="S217" s="28">
        <v>0</v>
      </c>
      <c r="T217" s="29">
        <v>0</v>
      </c>
      <c r="U217" s="27">
        <v>294623</v>
      </c>
      <c r="V217" s="28">
        <v>1921283</v>
      </c>
      <c r="W217" s="29">
        <v>1986388</v>
      </c>
      <c r="X217" s="27">
        <v>4983716</v>
      </c>
      <c r="Y217" s="28">
        <v>4093401</v>
      </c>
      <c r="Z217" s="29">
        <v>2325612</v>
      </c>
      <c r="AA217" s="27">
        <v>0</v>
      </c>
      <c r="AB217" s="28">
        <v>0</v>
      </c>
      <c r="AC217" s="29">
        <v>0</v>
      </c>
      <c r="AD217" s="27">
        <v>4689093</v>
      </c>
      <c r="AE217" s="28">
        <v>2172118</v>
      </c>
      <c r="AF217" s="29">
        <v>339224</v>
      </c>
      <c r="AG217" s="27">
        <v>86537.140000000014</v>
      </c>
      <c r="AH217" s="28">
        <v>2.9103830456733704E-11</v>
      </c>
      <c r="AI217" s="29">
        <v>22385.789999999804</v>
      </c>
      <c r="AJ217" s="27">
        <v>0</v>
      </c>
      <c r="AK217" s="28">
        <v>0</v>
      </c>
      <c r="AL217" s="29">
        <v>0</v>
      </c>
      <c r="AM217" s="27">
        <v>7806728.5800000001</v>
      </c>
      <c r="AN217" s="28">
        <v>17201344.179999996</v>
      </c>
      <c r="AO217" s="29">
        <v>16467966.530000001</v>
      </c>
      <c r="AP217" s="27">
        <v>0</v>
      </c>
      <c r="AQ217" s="28">
        <v>0</v>
      </c>
      <c r="AR217" s="29">
        <v>0</v>
      </c>
      <c r="AS217" s="24">
        <v>1.9919972651602415E-3</v>
      </c>
      <c r="AT217" s="25">
        <v>6.4037369439232117E-19</v>
      </c>
      <c r="AU217" s="26">
        <v>4.8798127212064217E-4</v>
      </c>
      <c r="AV217" s="24">
        <v>0</v>
      </c>
      <c r="AW217" s="25">
        <v>0</v>
      </c>
      <c r="AX217" s="26">
        <v>0</v>
      </c>
    </row>
    <row r="218" spans="1:50" x14ac:dyDescent="0.2">
      <c r="A218" s="22">
        <v>7315</v>
      </c>
      <c r="B218" s="23" t="s">
        <v>234</v>
      </c>
      <c r="C218" s="27">
        <v>0</v>
      </c>
      <c r="D218" s="28">
        <v>0</v>
      </c>
      <c r="E218" s="29">
        <v>0</v>
      </c>
      <c r="F218" s="27">
        <v>0</v>
      </c>
      <c r="G218" s="28">
        <v>370215</v>
      </c>
      <c r="H218" s="29">
        <v>67462</v>
      </c>
      <c r="I218" s="27">
        <v>0</v>
      </c>
      <c r="J218" s="28">
        <v>351218</v>
      </c>
      <c r="K218" s="29">
        <v>69384</v>
      </c>
      <c r="L218" s="27">
        <v>0</v>
      </c>
      <c r="M218" s="28">
        <v>9499</v>
      </c>
      <c r="N218" s="29">
        <v>-9499</v>
      </c>
      <c r="O218" s="27">
        <v>0</v>
      </c>
      <c r="P218" s="28">
        <v>-9498</v>
      </c>
      <c r="Q218" s="29">
        <v>-7577</v>
      </c>
      <c r="R218" s="27">
        <v>2759</v>
      </c>
      <c r="S218" s="28">
        <v>2759</v>
      </c>
      <c r="T218" s="29">
        <v>0</v>
      </c>
      <c r="U218" s="27">
        <v>76524</v>
      </c>
      <c r="V218" s="28">
        <v>166251</v>
      </c>
      <c r="W218" s="29">
        <v>66156</v>
      </c>
      <c r="X218" s="27">
        <v>60379</v>
      </c>
      <c r="Y218" s="28">
        <v>127442</v>
      </c>
      <c r="Z218" s="29">
        <v>88910</v>
      </c>
      <c r="AA218" s="27">
        <v>35</v>
      </c>
      <c r="AB218" s="28">
        <v>14246</v>
      </c>
      <c r="AC218" s="29">
        <v>1395</v>
      </c>
      <c r="AD218" s="27">
        <v>-13351</v>
      </c>
      <c r="AE218" s="28">
        <v>-21804</v>
      </c>
      <c r="AF218" s="29">
        <v>24149</v>
      </c>
      <c r="AG218" s="27">
        <v>-3.637978807091713E-12</v>
      </c>
      <c r="AH218" s="28">
        <v>67461.950000000012</v>
      </c>
      <c r="AI218" s="29">
        <v>0</v>
      </c>
      <c r="AJ218" s="27">
        <v>0</v>
      </c>
      <c r="AK218" s="28">
        <v>0</v>
      </c>
      <c r="AL218" s="29">
        <v>0</v>
      </c>
      <c r="AM218" s="27">
        <v>481963.58</v>
      </c>
      <c r="AN218" s="28">
        <v>100795.02999999998</v>
      </c>
      <c r="AO218" s="29">
        <v>2860.8600000000006</v>
      </c>
      <c r="AP218" s="27">
        <v>0</v>
      </c>
      <c r="AQ218" s="28">
        <v>0</v>
      </c>
      <c r="AR218" s="29">
        <v>0</v>
      </c>
      <c r="AS218" s="24">
        <v>-4.9376918925988931E-19</v>
      </c>
      <c r="AT218" s="25">
        <v>6.4513446782295987E-3</v>
      </c>
      <c r="AU218" s="26">
        <v>0</v>
      </c>
      <c r="AV218" s="24">
        <v>0</v>
      </c>
      <c r="AW218" s="25">
        <v>0</v>
      </c>
      <c r="AX218" s="26">
        <v>0</v>
      </c>
    </row>
    <row r="219" spans="1:50" x14ac:dyDescent="0.2">
      <c r="A219" s="22">
        <v>7316</v>
      </c>
      <c r="B219" s="23" t="s">
        <v>235</v>
      </c>
      <c r="C219" s="27">
        <v>0</v>
      </c>
      <c r="D219" s="28">
        <v>0</v>
      </c>
      <c r="E219" s="29">
        <v>0</v>
      </c>
      <c r="F219" s="27">
        <v>0</v>
      </c>
      <c r="G219" s="28">
        <v>0</v>
      </c>
      <c r="H219" s="29">
        <v>0</v>
      </c>
      <c r="I219" s="27">
        <v>0</v>
      </c>
      <c r="J219" s="28">
        <v>0</v>
      </c>
      <c r="K219" s="29">
        <v>0</v>
      </c>
      <c r="L219" s="27">
        <v>0</v>
      </c>
      <c r="M219" s="28">
        <v>0</v>
      </c>
      <c r="N219" s="29">
        <v>0</v>
      </c>
      <c r="O219" s="27">
        <v>0</v>
      </c>
      <c r="P219" s="28">
        <v>0</v>
      </c>
      <c r="Q219" s="29">
        <v>0</v>
      </c>
      <c r="R219" s="27">
        <v>0</v>
      </c>
      <c r="S219" s="28">
        <v>0</v>
      </c>
      <c r="T219" s="29">
        <v>0</v>
      </c>
      <c r="U219" s="27">
        <v>225993</v>
      </c>
      <c r="V219" s="28">
        <v>455104</v>
      </c>
      <c r="W219" s="29">
        <v>498279</v>
      </c>
      <c r="X219" s="27">
        <v>1882007</v>
      </c>
      <c r="Y219" s="28">
        <v>2078186</v>
      </c>
      <c r="Z219" s="29">
        <v>429097</v>
      </c>
      <c r="AA219" s="27">
        <v>-1634222</v>
      </c>
      <c r="AB219" s="28">
        <v>-1634222</v>
      </c>
      <c r="AC219" s="29">
        <v>0</v>
      </c>
      <c r="AD219" s="27">
        <v>21792</v>
      </c>
      <c r="AE219" s="28">
        <v>-11140</v>
      </c>
      <c r="AF219" s="29">
        <v>-69182</v>
      </c>
      <c r="AG219" s="27">
        <v>22209.599999999999</v>
      </c>
      <c r="AH219" s="28">
        <v>253.7599999999984</v>
      </c>
      <c r="AI219" s="29">
        <v>18294.450000000004</v>
      </c>
      <c r="AJ219" s="27">
        <v>0</v>
      </c>
      <c r="AK219" s="28">
        <v>0</v>
      </c>
      <c r="AL219" s="29">
        <v>0</v>
      </c>
      <c r="AM219" s="27">
        <v>82259.179999999993</v>
      </c>
      <c r="AN219" s="28">
        <v>84259.18</v>
      </c>
      <c r="AO219" s="29">
        <v>3287998.7800000003</v>
      </c>
      <c r="AP219" s="27">
        <v>0</v>
      </c>
      <c r="AQ219" s="28">
        <v>0</v>
      </c>
      <c r="AR219" s="29">
        <v>0</v>
      </c>
      <c r="AS219" s="24">
        <v>1.3409976260110646E-3</v>
      </c>
      <c r="AT219" s="25">
        <v>1.4798154709295709E-5</v>
      </c>
      <c r="AU219" s="26">
        <v>1.1954518273973127E-3</v>
      </c>
      <c r="AV219" s="24">
        <v>0</v>
      </c>
      <c r="AW219" s="25">
        <v>0</v>
      </c>
      <c r="AX219" s="26">
        <v>0</v>
      </c>
    </row>
    <row r="220" spans="1:50" x14ac:dyDescent="0.2">
      <c r="A220" s="22">
        <v>7317</v>
      </c>
      <c r="B220" s="23" t="s">
        <v>236</v>
      </c>
      <c r="C220" s="27">
        <v>0</v>
      </c>
      <c r="D220" s="28">
        <v>0</v>
      </c>
      <c r="E220" s="29">
        <v>0</v>
      </c>
      <c r="F220" s="27">
        <v>0</v>
      </c>
      <c r="G220" s="28">
        <v>4083</v>
      </c>
      <c r="H220" s="29">
        <v>0</v>
      </c>
      <c r="I220" s="27">
        <v>0</v>
      </c>
      <c r="J220" s="28">
        <v>3368</v>
      </c>
      <c r="K220" s="29">
        <v>0</v>
      </c>
      <c r="L220" s="27">
        <v>0</v>
      </c>
      <c r="M220" s="28">
        <v>0</v>
      </c>
      <c r="N220" s="29">
        <v>0</v>
      </c>
      <c r="O220" s="27">
        <v>0</v>
      </c>
      <c r="P220" s="28">
        <v>-715</v>
      </c>
      <c r="Q220" s="29">
        <v>0</v>
      </c>
      <c r="R220" s="27">
        <v>0</v>
      </c>
      <c r="S220" s="28">
        <v>0</v>
      </c>
      <c r="T220" s="29">
        <v>0</v>
      </c>
      <c r="U220" s="27">
        <v>378683</v>
      </c>
      <c r="V220" s="28">
        <v>1832216</v>
      </c>
      <c r="W220" s="29">
        <v>587403</v>
      </c>
      <c r="X220" s="27">
        <v>341925</v>
      </c>
      <c r="Y220" s="28">
        <v>745113</v>
      </c>
      <c r="Z220" s="29">
        <v>1527564</v>
      </c>
      <c r="AA220" s="27">
        <v>0</v>
      </c>
      <c r="AB220" s="28">
        <v>960000</v>
      </c>
      <c r="AC220" s="29">
        <v>-847710</v>
      </c>
      <c r="AD220" s="27">
        <v>-36758</v>
      </c>
      <c r="AE220" s="28">
        <v>-127103</v>
      </c>
      <c r="AF220" s="29">
        <v>92451</v>
      </c>
      <c r="AG220" s="27">
        <v>4083.05</v>
      </c>
      <c r="AH220" s="28">
        <v>9342</v>
      </c>
      <c r="AI220" s="29">
        <v>0</v>
      </c>
      <c r="AJ220" s="27">
        <v>0</v>
      </c>
      <c r="AK220" s="28">
        <v>0</v>
      </c>
      <c r="AL220" s="29">
        <v>0</v>
      </c>
      <c r="AM220" s="27">
        <v>1363267.6700000002</v>
      </c>
      <c r="AN220" s="28">
        <v>209368.61999999988</v>
      </c>
      <c r="AO220" s="29">
        <v>144458.82</v>
      </c>
      <c r="AP220" s="27">
        <v>0</v>
      </c>
      <c r="AQ220" s="28">
        <v>0</v>
      </c>
      <c r="AR220" s="29">
        <v>0</v>
      </c>
      <c r="AS220" s="24">
        <v>1.1708890997209057E-4</v>
      </c>
      <c r="AT220" s="25">
        <v>3.8813767827607706E-4</v>
      </c>
      <c r="AU220" s="26">
        <v>0</v>
      </c>
      <c r="AV220" s="24">
        <v>0</v>
      </c>
      <c r="AW220" s="25">
        <v>0</v>
      </c>
      <c r="AX220" s="26">
        <v>0</v>
      </c>
    </row>
    <row r="221" spans="1:50" x14ac:dyDescent="0.2">
      <c r="A221" s="22">
        <v>7318</v>
      </c>
      <c r="B221" s="23" t="s">
        <v>237</v>
      </c>
      <c r="C221" s="27">
        <v>0</v>
      </c>
      <c r="D221" s="28">
        <v>0</v>
      </c>
      <c r="E221" s="29">
        <v>0</v>
      </c>
      <c r="F221" s="27">
        <v>-161823</v>
      </c>
      <c r="G221" s="28">
        <v>1561996</v>
      </c>
      <c r="H221" s="29">
        <v>1759198</v>
      </c>
      <c r="I221" s="27">
        <v>350738</v>
      </c>
      <c r="J221" s="28">
        <v>1998187</v>
      </c>
      <c r="K221" s="29">
        <v>1510512</v>
      </c>
      <c r="L221" s="27">
        <v>-287743</v>
      </c>
      <c r="M221" s="28">
        <v>-318122</v>
      </c>
      <c r="N221" s="29">
        <v>-23492</v>
      </c>
      <c r="O221" s="27">
        <v>224818</v>
      </c>
      <c r="P221" s="28">
        <v>118069</v>
      </c>
      <c r="Q221" s="29">
        <v>-272178</v>
      </c>
      <c r="R221" s="27">
        <v>0</v>
      </c>
      <c r="S221" s="28">
        <v>0</v>
      </c>
      <c r="T221" s="29">
        <v>0</v>
      </c>
      <c r="U221" s="27">
        <v>1361308</v>
      </c>
      <c r="V221" s="28">
        <v>3563128</v>
      </c>
      <c r="W221" s="29">
        <v>1662237</v>
      </c>
      <c r="X221" s="27">
        <v>1470047</v>
      </c>
      <c r="Y221" s="28">
        <v>6003553</v>
      </c>
      <c r="Z221" s="29">
        <v>2180121</v>
      </c>
      <c r="AA221" s="27">
        <v>-134267</v>
      </c>
      <c r="AB221" s="28">
        <v>-1867294</v>
      </c>
      <c r="AC221" s="29">
        <v>-383990</v>
      </c>
      <c r="AD221" s="27">
        <v>-25528</v>
      </c>
      <c r="AE221" s="28">
        <v>573131</v>
      </c>
      <c r="AF221" s="29">
        <v>133894</v>
      </c>
      <c r="AG221" s="27">
        <v>271207.98</v>
      </c>
      <c r="AH221" s="28">
        <v>95909.100000000035</v>
      </c>
      <c r="AI221" s="29">
        <v>12399</v>
      </c>
      <c r="AJ221" s="27">
        <v>0</v>
      </c>
      <c r="AK221" s="28">
        <v>0</v>
      </c>
      <c r="AL221" s="29">
        <v>0</v>
      </c>
      <c r="AM221" s="27">
        <v>776694.36999999988</v>
      </c>
      <c r="AN221" s="28">
        <v>10083540.91</v>
      </c>
      <c r="AO221" s="29">
        <v>28467009.649999999</v>
      </c>
      <c r="AP221" s="27">
        <v>0</v>
      </c>
      <c r="AQ221" s="28">
        <v>0</v>
      </c>
      <c r="AR221" s="29">
        <v>0</v>
      </c>
      <c r="AS221" s="24">
        <v>2.7859820984139352E-3</v>
      </c>
      <c r="AT221" s="25">
        <v>1.1076571936623216E-3</v>
      </c>
      <c r="AU221" s="26">
        <v>1.2454666880904215E-4</v>
      </c>
      <c r="AV221" s="24">
        <v>0</v>
      </c>
      <c r="AW221" s="25">
        <v>0</v>
      </c>
      <c r="AX221" s="26">
        <v>0</v>
      </c>
    </row>
    <row r="222" spans="1:50" x14ac:dyDescent="0.2">
      <c r="A222" s="22">
        <v>7319</v>
      </c>
      <c r="B222" s="23" t="s">
        <v>238</v>
      </c>
      <c r="C222" s="27">
        <v>0</v>
      </c>
      <c r="D222" s="28">
        <v>1</v>
      </c>
      <c r="E222" s="29">
        <v>0</v>
      </c>
      <c r="F222" s="27">
        <v>245943</v>
      </c>
      <c r="G222" s="28">
        <v>460695</v>
      </c>
      <c r="H222" s="29">
        <v>841544</v>
      </c>
      <c r="I222" s="27">
        <v>55221</v>
      </c>
      <c r="J222" s="28">
        <v>469366</v>
      </c>
      <c r="K222" s="29">
        <v>617160</v>
      </c>
      <c r="L222" s="27">
        <v>190151</v>
      </c>
      <c r="M222" s="28">
        <v>477</v>
      </c>
      <c r="N222" s="29">
        <v>259523</v>
      </c>
      <c r="O222" s="27">
        <v>-571</v>
      </c>
      <c r="P222" s="28">
        <v>9149</v>
      </c>
      <c r="Q222" s="29">
        <v>35139</v>
      </c>
      <c r="R222" s="27">
        <v>0</v>
      </c>
      <c r="S222" s="28">
        <v>44</v>
      </c>
      <c r="T222" s="29">
        <v>17</v>
      </c>
      <c r="U222" s="27">
        <v>596348</v>
      </c>
      <c r="V222" s="28">
        <v>1514757</v>
      </c>
      <c r="W222" s="29">
        <v>2556145</v>
      </c>
      <c r="X222" s="27">
        <v>1506523</v>
      </c>
      <c r="Y222" s="28">
        <v>3356531</v>
      </c>
      <c r="Z222" s="29">
        <v>2561742</v>
      </c>
      <c r="AA222" s="27">
        <v>-1004169</v>
      </c>
      <c r="AB222" s="28">
        <v>-2021309</v>
      </c>
      <c r="AC222" s="29">
        <v>56866</v>
      </c>
      <c r="AD222" s="27">
        <v>-93994</v>
      </c>
      <c r="AE222" s="28">
        <v>-179491</v>
      </c>
      <c r="AF222" s="29">
        <v>62480</v>
      </c>
      <c r="AG222" s="27">
        <v>6590.6200000000827</v>
      </c>
      <c r="AH222" s="28">
        <v>129642.27000000008</v>
      </c>
      <c r="AI222" s="29">
        <v>7159.4700000000885</v>
      </c>
      <c r="AJ222" s="27">
        <v>0</v>
      </c>
      <c r="AK222" s="28">
        <v>0</v>
      </c>
      <c r="AL222" s="29">
        <v>0</v>
      </c>
      <c r="AM222" s="27">
        <v>596637.43000000017</v>
      </c>
      <c r="AN222" s="28">
        <v>2062390.4400000004</v>
      </c>
      <c r="AO222" s="29">
        <v>2589583.23</v>
      </c>
      <c r="AP222" s="27">
        <v>0</v>
      </c>
      <c r="AQ222" s="28">
        <v>0</v>
      </c>
      <c r="AR222" s="29">
        <v>0</v>
      </c>
      <c r="AS222" s="24">
        <v>1.6361433408751245E-4</v>
      </c>
      <c r="AT222" s="25">
        <v>3.2095638674201022E-3</v>
      </c>
      <c r="AU222" s="26">
        <v>1.8620290873075374E-4</v>
      </c>
      <c r="AV222" s="24">
        <v>0</v>
      </c>
      <c r="AW222" s="25">
        <v>0</v>
      </c>
      <c r="AX222" s="26">
        <v>0</v>
      </c>
    </row>
    <row r="223" spans="1:50" x14ac:dyDescent="0.2">
      <c r="A223" s="22">
        <v>7320</v>
      </c>
      <c r="B223" s="23" t="s">
        <v>239</v>
      </c>
      <c r="C223" s="27">
        <v>0</v>
      </c>
      <c r="D223" s="28">
        <v>0</v>
      </c>
      <c r="E223" s="29">
        <v>0</v>
      </c>
      <c r="F223" s="27">
        <v>247392</v>
      </c>
      <c r="G223" s="28">
        <v>277229</v>
      </c>
      <c r="H223" s="29">
        <v>247286</v>
      </c>
      <c r="I223" s="27">
        <v>252770</v>
      </c>
      <c r="J223" s="28">
        <v>252770</v>
      </c>
      <c r="K223" s="29">
        <v>113881</v>
      </c>
      <c r="L223" s="27">
        <v>25632</v>
      </c>
      <c r="M223" s="28">
        <v>24459</v>
      </c>
      <c r="N223" s="29">
        <v>169376</v>
      </c>
      <c r="O223" s="27">
        <v>31010</v>
      </c>
      <c r="P223" s="28">
        <v>0</v>
      </c>
      <c r="Q223" s="29">
        <v>35971</v>
      </c>
      <c r="R223" s="27">
        <v>0</v>
      </c>
      <c r="S223" s="28">
        <v>-74</v>
      </c>
      <c r="T223" s="29">
        <v>0</v>
      </c>
      <c r="U223" s="27">
        <v>334561</v>
      </c>
      <c r="V223" s="28">
        <v>2869987</v>
      </c>
      <c r="W223" s="29">
        <v>836045</v>
      </c>
      <c r="X223" s="27">
        <v>286438</v>
      </c>
      <c r="Y223" s="28">
        <v>3176778</v>
      </c>
      <c r="Z223" s="29">
        <v>522057</v>
      </c>
      <c r="AA223" s="27">
        <v>38150</v>
      </c>
      <c r="AB223" s="28">
        <v>-225720</v>
      </c>
      <c r="AC223" s="29">
        <v>306114</v>
      </c>
      <c r="AD223" s="27">
        <v>-9973</v>
      </c>
      <c r="AE223" s="28">
        <v>80997</v>
      </c>
      <c r="AF223" s="29">
        <v>-7874</v>
      </c>
      <c r="AG223" s="27">
        <v>6705.1599999999908</v>
      </c>
      <c r="AH223" s="28">
        <v>100593.52000000005</v>
      </c>
      <c r="AI223" s="29">
        <v>8711.12000000017</v>
      </c>
      <c r="AJ223" s="27">
        <v>0</v>
      </c>
      <c r="AK223" s="28">
        <v>0</v>
      </c>
      <c r="AL223" s="29">
        <v>0</v>
      </c>
      <c r="AM223" s="27">
        <v>765813.05</v>
      </c>
      <c r="AN223" s="28">
        <v>4090363.06</v>
      </c>
      <c r="AO223" s="29">
        <v>8421084.3800000008</v>
      </c>
      <c r="AP223" s="27">
        <v>0</v>
      </c>
      <c r="AQ223" s="28">
        <v>0</v>
      </c>
      <c r="AR223" s="29">
        <v>0</v>
      </c>
      <c r="AS223" s="24">
        <v>3.5025561258819404E-4</v>
      </c>
      <c r="AT223" s="25">
        <v>3.9090540027852463E-3</v>
      </c>
      <c r="AU223" s="26">
        <v>4.013504651242801E-4</v>
      </c>
      <c r="AV223" s="24">
        <v>0</v>
      </c>
      <c r="AW223" s="25">
        <v>0</v>
      </c>
      <c r="AX223" s="26">
        <v>0</v>
      </c>
    </row>
    <row r="224" spans="1:50" x14ac:dyDescent="0.2">
      <c r="A224" s="22">
        <v>7321</v>
      </c>
      <c r="B224" s="23" t="s">
        <v>240</v>
      </c>
      <c r="C224" s="27">
        <v>0</v>
      </c>
      <c r="D224" s="28">
        <v>0</v>
      </c>
      <c r="E224" s="29">
        <v>0</v>
      </c>
      <c r="F224" s="27">
        <v>0</v>
      </c>
      <c r="G224" s="28">
        <v>0</v>
      </c>
      <c r="H224" s="29">
        <v>0</v>
      </c>
      <c r="I224" s="27">
        <v>0</v>
      </c>
      <c r="J224" s="28">
        <v>0</v>
      </c>
      <c r="K224" s="29">
        <v>0</v>
      </c>
      <c r="L224" s="27">
        <v>0</v>
      </c>
      <c r="M224" s="28">
        <v>0</v>
      </c>
      <c r="N224" s="29">
        <v>0</v>
      </c>
      <c r="O224" s="27">
        <v>0</v>
      </c>
      <c r="P224" s="28">
        <v>0</v>
      </c>
      <c r="Q224" s="29">
        <v>0</v>
      </c>
      <c r="R224" s="27">
        <v>0</v>
      </c>
      <c r="S224" s="28">
        <v>0</v>
      </c>
      <c r="T224" s="29">
        <v>0</v>
      </c>
      <c r="U224" s="27">
        <v>51213</v>
      </c>
      <c r="V224" s="28">
        <v>162075</v>
      </c>
      <c r="W224" s="29">
        <v>221275</v>
      </c>
      <c r="X224" s="27">
        <v>45102</v>
      </c>
      <c r="Y224" s="28">
        <v>154942</v>
      </c>
      <c r="Z224" s="29">
        <v>200662</v>
      </c>
      <c r="AA224" s="27">
        <v>35881</v>
      </c>
      <c r="AB224" s="28">
        <v>6812</v>
      </c>
      <c r="AC224" s="29">
        <v>21656</v>
      </c>
      <c r="AD224" s="27">
        <v>29770</v>
      </c>
      <c r="AE224" s="28">
        <v>-321</v>
      </c>
      <c r="AF224" s="29">
        <v>1043</v>
      </c>
      <c r="AG224" s="27">
        <v>0</v>
      </c>
      <c r="AH224" s="28">
        <v>0</v>
      </c>
      <c r="AI224" s="29">
        <v>0</v>
      </c>
      <c r="AJ224" s="27">
        <v>0</v>
      </c>
      <c r="AK224" s="28">
        <v>0</v>
      </c>
      <c r="AL224" s="29">
        <v>0</v>
      </c>
      <c r="AM224" s="27">
        <v>0</v>
      </c>
      <c r="AN224" s="28">
        <v>0</v>
      </c>
      <c r="AO224" s="29">
        <v>136499.32</v>
      </c>
      <c r="AP224" s="27">
        <v>0</v>
      </c>
      <c r="AQ224" s="28">
        <v>0</v>
      </c>
      <c r="AR224" s="29">
        <v>0</v>
      </c>
      <c r="AS224" s="24">
        <v>0</v>
      </c>
      <c r="AT224" s="25">
        <v>0</v>
      </c>
      <c r="AU224" s="26">
        <v>0</v>
      </c>
      <c r="AV224" s="24">
        <v>0</v>
      </c>
      <c r="AW224" s="25">
        <v>0</v>
      </c>
      <c r="AX224" s="26">
        <v>0</v>
      </c>
    </row>
    <row r="225" spans="1:50" x14ac:dyDescent="0.2">
      <c r="A225" s="22">
        <v>7322</v>
      </c>
      <c r="B225" s="23" t="s">
        <v>241</v>
      </c>
      <c r="C225" s="27">
        <v>0</v>
      </c>
      <c r="D225" s="28">
        <v>0</v>
      </c>
      <c r="E225" s="29">
        <v>0</v>
      </c>
      <c r="F225" s="27">
        <v>0</v>
      </c>
      <c r="G225" s="28">
        <v>1494138</v>
      </c>
      <c r="H225" s="29">
        <v>898100</v>
      </c>
      <c r="I225" s="27">
        <v>0</v>
      </c>
      <c r="J225" s="28">
        <v>1495457</v>
      </c>
      <c r="K225" s="29">
        <v>0</v>
      </c>
      <c r="L225" s="27">
        <v>0</v>
      </c>
      <c r="M225" s="28">
        <v>0</v>
      </c>
      <c r="N225" s="29">
        <v>898100</v>
      </c>
      <c r="O225" s="27">
        <v>0</v>
      </c>
      <c r="P225" s="28">
        <v>1319</v>
      </c>
      <c r="Q225" s="29">
        <v>0</v>
      </c>
      <c r="R225" s="27">
        <v>0</v>
      </c>
      <c r="S225" s="28">
        <v>0</v>
      </c>
      <c r="T225" s="29">
        <v>0</v>
      </c>
      <c r="U225" s="27">
        <v>38278</v>
      </c>
      <c r="V225" s="28">
        <v>104742</v>
      </c>
      <c r="W225" s="29">
        <v>41960</v>
      </c>
      <c r="X225" s="27">
        <v>56907</v>
      </c>
      <c r="Y225" s="28">
        <v>124298</v>
      </c>
      <c r="Z225" s="29">
        <v>23326</v>
      </c>
      <c r="AA225" s="27">
        <v>0</v>
      </c>
      <c r="AB225" s="28">
        <v>0</v>
      </c>
      <c r="AC225" s="29">
        <v>14000</v>
      </c>
      <c r="AD225" s="27">
        <v>18629</v>
      </c>
      <c r="AE225" s="28">
        <v>19556</v>
      </c>
      <c r="AF225" s="29">
        <v>-4634</v>
      </c>
      <c r="AG225" s="27">
        <v>-4.7293724492192268E-11</v>
      </c>
      <c r="AH225" s="28">
        <v>-5.0931703299283981E-11</v>
      </c>
      <c r="AI225" s="29">
        <v>0</v>
      </c>
      <c r="AJ225" s="27">
        <v>0</v>
      </c>
      <c r="AK225" s="28">
        <v>0</v>
      </c>
      <c r="AL225" s="29">
        <v>0</v>
      </c>
      <c r="AM225" s="27">
        <v>362876.24000000005</v>
      </c>
      <c r="AN225" s="28">
        <v>1907453.0000000002</v>
      </c>
      <c r="AO225" s="29">
        <v>990271.2300000001</v>
      </c>
      <c r="AP225" s="27">
        <v>0</v>
      </c>
      <c r="AQ225" s="28">
        <v>0</v>
      </c>
      <c r="AR225" s="29">
        <v>0</v>
      </c>
      <c r="AS225" s="24">
        <v>-2.4821490901082613E-18</v>
      </c>
      <c r="AT225" s="25">
        <v>-3.7933599800040813E-18</v>
      </c>
      <c r="AU225" s="26">
        <v>0</v>
      </c>
      <c r="AV225" s="24">
        <v>0</v>
      </c>
      <c r="AW225" s="25">
        <v>0</v>
      </c>
      <c r="AX225" s="26">
        <v>0</v>
      </c>
    </row>
    <row r="226" spans="1:50" x14ac:dyDescent="0.2">
      <c r="A226" s="22">
        <v>7401</v>
      </c>
      <c r="B226" s="23" t="s">
        <v>242</v>
      </c>
      <c r="C226" s="27">
        <v>0</v>
      </c>
      <c r="D226" s="28">
        <v>0</v>
      </c>
      <c r="E226" s="29">
        <v>0</v>
      </c>
      <c r="F226" s="27">
        <v>671885</v>
      </c>
      <c r="G226" s="28">
        <v>1383476</v>
      </c>
      <c r="H226" s="29">
        <v>138325</v>
      </c>
      <c r="I226" s="27">
        <v>164110</v>
      </c>
      <c r="J226" s="28">
        <v>888168</v>
      </c>
      <c r="K226" s="29">
        <v>138325</v>
      </c>
      <c r="L226" s="27">
        <v>-64427</v>
      </c>
      <c r="M226" s="28">
        <v>-81063</v>
      </c>
      <c r="N226" s="29">
        <v>0</v>
      </c>
      <c r="O226" s="27">
        <v>-572202</v>
      </c>
      <c r="P226" s="28">
        <v>-576371</v>
      </c>
      <c r="Q226" s="29">
        <v>0</v>
      </c>
      <c r="R226" s="27">
        <v>0</v>
      </c>
      <c r="S226" s="28">
        <v>0</v>
      </c>
      <c r="T226" s="29">
        <v>0</v>
      </c>
      <c r="U226" s="27">
        <v>347304</v>
      </c>
      <c r="V226" s="28">
        <v>940082</v>
      </c>
      <c r="W226" s="29">
        <v>179035</v>
      </c>
      <c r="X226" s="27">
        <v>32642</v>
      </c>
      <c r="Y226" s="28">
        <v>695205</v>
      </c>
      <c r="Z226" s="29">
        <v>207188</v>
      </c>
      <c r="AA226" s="27">
        <v>231071</v>
      </c>
      <c r="AB226" s="28">
        <v>171337</v>
      </c>
      <c r="AC226" s="29">
        <v>-21818</v>
      </c>
      <c r="AD226" s="27">
        <v>-83591</v>
      </c>
      <c r="AE226" s="28">
        <v>-73540</v>
      </c>
      <c r="AF226" s="29">
        <v>6335</v>
      </c>
      <c r="AG226" s="27">
        <v>122.19999999999709</v>
      </c>
      <c r="AH226" s="28">
        <v>38488.410000000003</v>
      </c>
      <c r="AI226" s="29">
        <v>7.2759576141834259E-12</v>
      </c>
      <c r="AJ226" s="27">
        <v>0</v>
      </c>
      <c r="AK226" s="28">
        <v>0</v>
      </c>
      <c r="AL226" s="29">
        <v>0</v>
      </c>
      <c r="AM226" s="27">
        <v>924774.85000000009</v>
      </c>
      <c r="AN226" s="28">
        <v>331720.22000000003</v>
      </c>
      <c r="AO226" s="29">
        <v>96492.180000000008</v>
      </c>
      <c r="AP226" s="27">
        <v>0</v>
      </c>
      <c r="AQ226" s="28">
        <v>0</v>
      </c>
      <c r="AR226" s="29">
        <v>0</v>
      </c>
      <c r="AS226" s="24">
        <v>6.4434705418182076E-6</v>
      </c>
      <c r="AT226" s="25">
        <v>2.3039553226110684E-3</v>
      </c>
      <c r="AU226" s="26">
        <v>4.3814679051893396E-19</v>
      </c>
      <c r="AV226" s="24">
        <v>0</v>
      </c>
      <c r="AW226" s="25">
        <v>0</v>
      </c>
      <c r="AX226" s="26">
        <v>0</v>
      </c>
    </row>
    <row r="227" spans="1:50" x14ac:dyDescent="0.2">
      <c r="A227" s="22">
        <v>7402</v>
      </c>
      <c r="B227" s="23" t="s">
        <v>243</v>
      </c>
      <c r="C227" s="27">
        <v>0</v>
      </c>
      <c r="D227" s="28">
        <v>0</v>
      </c>
      <c r="E227" s="29">
        <v>0</v>
      </c>
      <c r="F227" s="27">
        <v>490650</v>
      </c>
      <c r="G227" s="28">
        <v>518329</v>
      </c>
      <c r="H227" s="29">
        <v>0</v>
      </c>
      <c r="I227" s="27">
        <v>490650</v>
      </c>
      <c r="J227" s="28">
        <v>518329</v>
      </c>
      <c r="K227" s="29">
        <v>0</v>
      </c>
      <c r="L227" s="27">
        <v>0</v>
      </c>
      <c r="M227" s="28">
        <v>0</v>
      </c>
      <c r="N227" s="29">
        <v>0</v>
      </c>
      <c r="O227" s="27">
        <v>0</v>
      </c>
      <c r="P227" s="28">
        <v>0</v>
      </c>
      <c r="Q227" s="29">
        <v>0</v>
      </c>
      <c r="R227" s="27">
        <v>0</v>
      </c>
      <c r="S227" s="28">
        <v>0</v>
      </c>
      <c r="T227" s="29">
        <v>0</v>
      </c>
      <c r="U227" s="27">
        <v>105396</v>
      </c>
      <c r="V227" s="28">
        <v>389330</v>
      </c>
      <c r="W227" s="29">
        <v>211342</v>
      </c>
      <c r="X227" s="27">
        <v>91764</v>
      </c>
      <c r="Y227" s="28">
        <v>457059</v>
      </c>
      <c r="Z227" s="29">
        <v>1865568</v>
      </c>
      <c r="AA227" s="27">
        <v>0</v>
      </c>
      <c r="AB227" s="28">
        <v>0</v>
      </c>
      <c r="AC227" s="29">
        <v>20065</v>
      </c>
      <c r="AD227" s="27">
        <v>-13632</v>
      </c>
      <c r="AE227" s="28">
        <v>67729</v>
      </c>
      <c r="AF227" s="29">
        <v>1674291</v>
      </c>
      <c r="AG227" s="27">
        <v>85737.020000000048</v>
      </c>
      <c r="AH227" s="28">
        <v>4.6611603465862572E-12</v>
      </c>
      <c r="AI227" s="29">
        <v>22070.360000000015</v>
      </c>
      <c r="AJ227" s="27">
        <v>0</v>
      </c>
      <c r="AK227" s="28">
        <v>0</v>
      </c>
      <c r="AL227" s="29">
        <v>0</v>
      </c>
      <c r="AM227" s="27">
        <v>395335.12999999995</v>
      </c>
      <c r="AN227" s="28">
        <v>240126.37999999998</v>
      </c>
      <c r="AO227" s="29">
        <v>470828.62</v>
      </c>
      <c r="AP227" s="27">
        <v>0</v>
      </c>
      <c r="AQ227" s="28">
        <v>0</v>
      </c>
      <c r="AR227" s="29">
        <v>0</v>
      </c>
      <c r="AS227" s="24">
        <v>7.2576523108181168E-3</v>
      </c>
      <c r="AT227" s="25">
        <v>4.7277147509933662E-19</v>
      </c>
      <c r="AU227" s="26">
        <v>1.8509663446636022E-3</v>
      </c>
      <c r="AV227" s="24">
        <v>0</v>
      </c>
      <c r="AW227" s="25">
        <v>0</v>
      </c>
      <c r="AX227" s="26">
        <v>0</v>
      </c>
    </row>
    <row r="228" spans="1:50" x14ac:dyDescent="0.2">
      <c r="A228" s="22">
        <v>7403</v>
      </c>
      <c r="B228" s="23" t="s">
        <v>244</v>
      </c>
      <c r="C228" s="27">
        <v>0</v>
      </c>
      <c r="D228" s="28">
        <v>0</v>
      </c>
      <c r="E228" s="29">
        <v>0</v>
      </c>
      <c r="F228" s="27">
        <v>62774</v>
      </c>
      <c r="G228" s="28">
        <v>62774</v>
      </c>
      <c r="H228" s="29">
        <v>18000</v>
      </c>
      <c r="I228" s="27">
        <v>63426</v>
      </c>
      <c r="J228" s="28">
        <v>63426</v>
      </c>
      <c r="K228" s="29">
        <v>60648</v>
      </c>
      <c r="L228" s="27">
        <v>-660</v>
      </c>
      <c r="M228" s="28">
        <v>-660</v>
      </c>
      <c r="N228" s="29">
        <v>0</v>
      </c>
      <c r="O228" s="27">
        <v>-8</v>
      </c>
      <c r="P228" s="28">
        <v>-8</v>
      </c>
      <c r="Q228" s="29">
        <v>42648</v>
      </c>
      <c r="R228" s="27">
        <v>0</v>
      </c>
      <c r="S228" s="28">
        <v>19</v>
      </c>
      <c r="T228" s="29">
        <v>0</v>
      </c>
      <c r="U228" s="27">
        <v>155873</v>
      </c>
      <c r="V228" s="28">
        <v>430551</v>
      </c>
      <c r="W228" s="29">
        <v>1237342</v>
      </c>
      <c r="X228" s="27">
        <v>134076</v>
      </c>
      <c r="Y228" s="28">
        <v>1295065</v>
      </c>
      <c r="Z228" s="29">
        <v>559746</v>
      </c>
      <c r="AA228" s="27">
        <v>33952</v>
      </c>
      <c r="AB228" s="28">
        <v>-149147</v>
      </c>
      <c r="AC228" s="29">
        <v>17184</v>
      </c>
      <c r="AD228" s="27">
        <v>12155</v>
      </c>
      <c r="AE228" s="28">
        <v>715386</v>
      </c>
      <c r="AF228" s="29">
        <v>-660412</v>
      </c>
      <c r="AG228" s="27">
        <v>21233.440000000002</v>
      </c>
      <c r="AH228" s="28">
        <v>22797.72000000003</v>
      </c>
      <c r="AI228" s="29">
        <v>293276.11</v>
      </c>
      <c r="AJ228" s="27">
        <v>0</v>
      </c>
      <c r="AK228" s="28">
        <v>0</v>
      </c>
      <c r="AL228" s="29">
        <v>0</v>
      </c>
      <c r="AM228" s="27">
        <v>278561.78999999998</v>
      </c>
      <c r="AN228" s="28">
        <v>6241862.8399999999</v>
      </c>
      <c r="AO228" s="29">
        <v>5630528.2299999995</v>
      </c>
      <c r="AP228" s="27">
        <v>0</v>
      </c>
      <c r="AQ228" s="28">
        <v>0</v>
      </c>
      <c r="AR228" s="29">
        <v>0</v>
      </c>
      <c r="AS228" s="24">
        <v>7.5721303306623352E-4</v>
      </c>
      <c r="AT228" s="25">
        <v>7.7900023567113947E-4</v>
      </c>
      <c r="AU228" s="26">
        <v>9.6676841142527871E-3</v>
      </c>
      <c r="AV228" s="24">
        <v>0</v>
      </c>
      <c r="AW228" s="25">
        <v>0</v>
      </c>
      <c r="AX228" s="26">
        <v>0</v>
      </c>
    </row>
    <row r="229" spans="1:50" x14ac:dyDescent="0.2">
      <c r="A229" s="22">
        <v>7404</v>
      </c>
      <c r="B229" s="23" t="s">
        <v>245</v>
      </c>
      <c r="C229" s="27">
        <v>0</v>
      </c>
      <c r="D229" s="28">
        <v>0</v>
      </c>
      <c r="E229" s="29">
        <v>0</v>
      </c>
      <c r="F229" s="27">
        <v>0</v>
      </c>
      <c r="G229" s="28">
        <v>0</v>
      </c>
      <c r="H229" s="29">
        <v>0</v>
      </c>
      <c r="I229" s="27">
        <v>0</v>
      </c>
      <c r="J229" s="28">
        <v>0</v>
      </c>
      <c r="K229" s="29">
        <v>0</v>
      </c>
      <c r="L229" s="27">
        <v>0</v>
      </c>
      <c r="M229" s="28">
        <v>0</v>
      </c>
      <c r="N229" s="29">
        <v>0</v>
      </c>
      <c r="O229" s="27">
        <v>0</v>
      </c>
      <c r="P229" s="28">
        <v>0</v>
      </c>
      <c r="Q229" s="29">
        <v>0</v>
      </c>
      <c r="R229" s="27">
        <v>75767</v>
      </c>
      <c r="S229" s="28">
        <v>123927</v>
      </c>
      <c r="T229" s="29">
        <v>50378</v>
      </c>
      <c r="U229" s="27">
        <v>1995447</v>
      </c>
      <c r="V229" s="28">
        <v>5046840</v>
      </c>
      <c r="W229" s="29">
        <v>10273335</v>
      </c>
      <c r="X229" s="27">
        <v>3515909</v>
      </c>
      <c r="Y229" s="28">
        <v>8774317</v>
      </c>
      <c r="Z229" s="29">
        <v>12470265</v>
      </c>
      <c r="AA229" s="27">
        <v>-1773275</v>
      </c>
      <c r="AB229" s="28">
        <v>-2775680</v>
      </c>
      <c r="AC229" s="29">
        <v>-172310</v>
      </c>
      <c r="AD229" s="27">
        <v>-177046</v>
      </c>
      <c r="AE229" s="28">
        <v>1075724</v>
      </c>
      <c r="AF229" s="29">
        <v>2074998</v>
      </c>
      <c r="AG229" s="27">
        <v>30881.569999999832</v>
      </c>
      <c r="AH229" s="28">
        <v>40324.579999999609</v>
      </c>
      <c r="AI229" s="29">
        <v>832081.43000000156</v>
      </c>
      <c r="AJ229" s="27">
        <v>116.44000000000233</v>
      </c>
      <c r="AK229" s="28">
        <v>116.44000000000233</v>
      </c>
      <c r="AL229" s="29">
        <v>116.44000000000233</v>
      </c>
      <c r="AM229" s="27">
        <v>8311315.6999999993</v>
      </c>
      <c r="AN229" s="28">
        <v>16969858.289999999</v>
      </c>
      <c r="AO229" s="29">
        <v>33719517.349999994</v>
      </c>
      <c r="AP229" s="27">
        <v>0</v>
      </c>
      <c r="AQ229" s="28">
        <v>0</v>
      </c>
      <c r="AR229" s="29">
        <v>0</v>
      </c>
      <c r="AS229" s="24">
        <v>2.4482751078202906E-4</v>
      </c>
      <c r="AT229" s="25">
        <v>3.2449460113416012E-4</v>
      </c>
      <c r="AU229" s="26">
        <v>5.8088385367102468E-3</v>
      </c>
      <c r="AV229" s="24">
        <v>0</v>
      </c>
      <c r="AW229" s="25">
        <v>0</v>
      </c>
      <c r="AX229" s="26">
        <v>0</v>
      </c>
    </row>
    <row r="230" spans="1:50" x14ac:dyDescent="0.2">
      <c r="A230" s="22">
        <v>7405</v>
      </c>
      <c r="B230" s="23" t="s">
        <v>246</v>
      </c>
      <c r="C230" s="27">
        <v>11096</v>
      </c>
      <c r="D230" s="28">
        <v>17988</v>
      </c>
      <c r="E230" s="29">
        <v>11111</v>
      </c>
      <c r="F230" s="27">
        <v>635020</v>
      </c>
      <c r="G230" s="28">
        <v>6694495</v>
      </c>
      <c r="H230" s="29">
        <v>570978</v>
      </c>
      <c r="I230" s="27">
        <v>589925</v>
      </c>
      <c r="J230" s="28">
        <v>6946567</v>
      </c>
      <c r="K230" s="29">
        <v>136382</v>
      </c>
      <c r="L230" s="27">
        <v>0</v>
      </c>
      <c r="M230" s="28">
        <v>0</v>
      </c>
      <c r="N230" s="29">
        <v>0</v>
      </c>
      <c r="O230" s="27">
        <v>-33999</v>
      </c>
      <c r="P230" s="28">
        <v>270060</v>
      </c>
      <c r="Q230" s="29">
        <v>-423485</v>
      </c>
      <c r="R230" s="27">
        <v>0</v>
      </c>
      <c r="S230" s="28">
        <v>0</v>
      </c>
      <c r="T230" s="29">
        <v>0</v>
      </c>
      <c r="U230" s="27">
        <v>385502</v>
      </c>
      <c r="V230" s="28">
        <v>1216778</v>
      </c>
      <c r="W230" s="29">
        <v>650561</v>
      </c>
      <c r="X230" s="27">
        <v>281216</v>
      </c>
      <c r="Y230" s="28">
        <v>1172993</v>
      </c>
      <c r="Z230" s="29">
        <v>1074817</v>
      </c>
      <c r="AA230" s="27">
        <v>88213</v>
      </c>
      <c r="AB230" s="28">
        <v>119786</v>
      </c>
      <c r="AC230" s="29">
        <v>-30091</v>
      </c>
      <c r="AD230" s="27">
        <v>-16073</v>
      </c>
      <c r="AE230" s="28">
        <v>76001</v>
      </c>
      <c r="AF230" s="29">
        <v>394165</v>
      </c>
      <c r="AG230" s="27">
        <v>4183698.1700000004</v>
      </c>
      <c r="AH230" s="28">
        <v>50167.350000000559</v>
      </c>
      <c r="AI230" s="29">
        <v>342865.97</v>
      </c>
      <c r="AJ230" s="27">
        <v>0</v>
      </c>
      <c r="AK230" s="28">
        <v>0</v>
      </c>
      <c r="AL230" s="29">
        <v>0</v>
      </c>
      <c r="AM230" s="27">
        <v>4277438.2699999996</v>
      </c>
      <c r="AN230" s="28">
        <v>4641918.0500000007</v>
      </c>
      <c r="AO230" s="29">
        <v>5127180.29</v>
      </c>
      <c r="AP230" s="27">
        <v>0</v>
      </c>
      <c r="AQ230" s="28">
        <v>0</v>
      </c>
      <c r="AR230" s="29">
        <v>0</v>
      </c>
      <c r="AS230" s="24">
        <v>0.16177508570560642</v>
      </c>
      <c r="AT230" s="25">
        <v>1.8404429593597048E-3</v>
      </c>
      <c r="AU230" s="26">
        <v>1.224447592191413E-2</v>
      </c>
      <c r="AV230" s="24">
        <v>0</v>
      </c>
      <c r="AW230" s="25">
        <v>0</v>
      </c>
      <c r="AX230" s="26">
        <v>0</v>
      </c>
    </row>
    <row r="231" spans="1:50" x14ac:dyDescent="0.2">
      <c r="A231" s="22">
        <v>7406</v>
      </c>
      <c r="B231" s="23" t="s">
        <v>247</v>
      </c>
      <c r="C231" s="27">
        <v>0</v>
      </c>
      <c r="D231" s="28">
        <v>0</v>
      </c>
      <c r="E231" s="29">
        <v>0</v>
      </c>
      <c r="F231" s="27">
        <v>12204</v>
      </c>
      <c r="G231" s="28">
        <v>621793</v>
      </c>
      <c r="H231" s="29">
        <v>578480</v>
      </c>
      <c r="I231" s="27">
        <v>-124709</v>
      </c>
      <c r="J231" s="28">
        <v>1040867</v>
      </c>
      <c r="K231" s="29">
        <v>0</v>
      </c>
      <c r="L231" s="27">
        <v>0</v>
      </c>
      <c r="M231" s="28">
        <v>0</v>
      </c>
      <c r="N231" s="29">
        <v>24400</v>
      </c>
      <c r="O231" s="27">
        <v>-136913</v>
      </c>
      <c r="P231" s="28">
        <v>419074</v>
      </c>
      <c r="Q231" s="29">
        <v>-554080</v>
      </c>
      <c r="R231" s="27">
        <v>0</v>
      </c>
      <c r="S231" s="28">
        <v>0</v>
      </c>
      <c r="T231" s="29">
        <v>0</v>
      </c>
      <c r="U231" s="27">
        <v>209938</v>
      </c>
      <c r="V231" s="28">
        <v>576894</v>
      </c>
      <c r="W231" s="29">
        <v>785936</v>
      </c>
      <c r="X231" s="27">
        <v>202636</v>
      </c>
      <c r="Y231" s="28">
        <v>631832</v>
      </c>
      <c r="Z231" s="29">
        <v>645123</v>
      </c>
      <c r="AA231" s="27">
        <v>10167</v>
      </c>
      <c r="AB231" s="28">
        <v>85494</v>
      </c>
      <c r="AC231" s="29">
        <v>47798</v>
      </c>
      <c r="AD231" s="27">
        <v>2865</v>
      </c>
      <c r="AE231" s="28">
        <v>140432</v>
      </c>
      <c r="AF231" s="29">
        <v>-93015</v>
      </c>
      <c r="AG231" s="27">
        <v>0</v>
      </c>
      <c r="AH231" s="28">
        <v>75356.280000000028</v>
      </c>
      <c r="AI231" s="29">
        <v>50956.280000000028</v>
      </c>
      <c r="AJ231" s="27">
        <v>2271.7399999999998</v>
      </c>
      <c r="AK231" s="28">
        <v>0</v>
      </c>
      <c r="AL231" s="29">
        <v>0</v>
      </c>
      <c r="AM231" s="27">
        <v>511557.91000000003</v>
      </c>
      <c r="AN231" s="28">
        <v>1945468.2699999998</v>
      </c>
      <c r="AO231" s="29">
        <v>1541809.67</v>
      </c>
      <c r="AP231" s="27">
        <v>0</v>
      </c>
      <c r="AQ231" s="28">
        <v>0</v>
      </c>
      <c r="AR231" s="29">
        <v>0</v>
      </c>
      <c r="AS231" s="24">
        <v>0</v>
      </c>
      <c r="AT231" s="25">
        <v>6.5442756081956531E-3</v>
      </c>
      <c r="AU231" s="26">
        <v>3.9835085092343103E-3</v>
      </c>
      <c r="AV231" s="24">
        <v>0</v>
      </c>
      <c r="AW231" s="25">
        <v>0</v>
      </c>
      <c r="AX231" s="26">
        <v>0</v>
      </c>
    </row>
    <row r="232" spans="1:50" x14ac:dyDescent="0.2">
      <c r="A232" s="22">
        <v>7407</v>
      </c>
      <c r="B232" s="23" t="s">
        <v>248</v>
      </c>
      <c r="C232" s="27">
        <v>0</v>
      </c>
      <c r="D232" s="28">
        <v>0</v>
      </c>
      <c r="E232" s="29">
        <v>0</v>
      </c>
      <c r="F232" s="27">
        <v>154800</v>
      </c>
      <c r="G232" s="28">
        <v>343281</v>
      </c>
      <c r="H232" s="29">
        <v>0</v>
      </c>
      <c r="I232" s="27">
        <v>170363</v>
      </c>
      <c r="J232" s="28">
        <v>343281</v>
      </c>
      <c r="K232" s="29">
        <v>0</v>
      </c>
      <c r="L232" s="27">
        <v>0</v>
      </c>
      <c r="M232" s="28">
        <v>0</v>
      </c>
      <c r="N232" s="29">
        <v>0</v>
      </c>
      <c r="O232" s="27">
        <v>15563</v>
      </c>
      <c r="P232" s="28">
        <v>0</v>
      </c>
      <c r="Q232" s="29">
        <v>0</v>
      </c>
      <c r="R232" s="27">
        <v>0</v>
      </c>
      <c r="S232" s="28">
        <v>0</v>
      </c>
      <c r="T232" s="29">
        <v>0</v>
      </c>
      <c r="U232" s="27">
        <v>37982</v>
      </c>
      <c r="V232" s="28">
        <v>134747</v>
      </c>
      <c r="W232" s="29">
        <v>35934</v>
      </c>
      <c r="X232" s="27">
        <v>62021</v>
      </c>
      <c r="Y232" s="28">
        <v>167290</v>
      </c>
      <c r="Z232" s="29">
        <v>68753</v>
      </c>
      <c r="AA232" s="27">
        <v>-9751</v>
      </c>
      <c r="AB232" s="28">
        <v>-54044</v>
      </c>
      <c r="AC232" s="29">
        <v>-3727</v>
      </c>
      <c r="AD232" s="27">
        <v>14288</v>
      </c>
      <c r="AE232" s="28">
        <v>-21501</v>
      </c>
      <c r="AF232" s="29">
        <v>29092</v>
      </c>
      <c r="AG232" s="27">
        <v>5014.59</v>
      </c>
      <c r="AH232" s="28">
        <v>468.59999999999127</v>
      </c>
      <c r="AI232" s="29">
        <v>40416.989999999991</v>
      </c>
      <c r="AJ232" s="27">
        <v>0</v>
      </c>
      <c r="AK232" s="28">
        <v>0</v>
      </c>
      <c r="AL232" s="29">
        <v>0</v>
      </c>
      <c r="AM232" s="27">
        <v>215580.94</v>
      </c>
      <c r="AN232" s="28">
        <v>21015.11</v>
      </c>
      <c r="AO232" s="29">
        <v>157933.65</v>
      </c>
      <c r="AP232" s="27">
        <v>0</v>
      </c>
      <c r="AQ232" s="28">
        <v>0</v>
      </c>
      <c r="AR232" s="29">
        <v>0</v>
      </c>
      <c r="AS232" s="24">
        <v>5.879113664341404E-4</v>
      </c>
      <c r="AT232" s="25">
        <v>5.744288686423513E-5</v>
      </c>
      <c r="AU232" s="26">
        <v>4.5779002115595938E-3</v>
      </c>
      <c r="AV232" s="24">
        <v>0</v>
      </c>
      <c r="AW232" s="25">
        <v>0</v>
      </c>
      <c r="AX232" s="26">
        <v>0</v>
      </c>
    </row>
    <row r="233" spans="1:50" x14ac:dyDescent="0.2">
      <c r="A233" s="22">
        <v>7408</v>
      </c>
      <c r="B233" s="23" t="s">
        <v>249</v>
      </c>
      <c r="C233" s="27">
        <v>0</v>
      </c>
      <c r="D233" s="28">
        <v>0</v>
      </c>
      <c r="E233" s="29">
        <v>0</v>
      </c>
      <c r="F233" s="27">
        <v>364691</v>
      </c>
      <c r="G233" s="28">
        <v>617157</v>
      </c>
      <c r="H233" s="29">
        <v>75694</v>
      </c>
      <c r="I233" s="27">
        <v>371413</v>
      </c>
      <c r="J233" s="28">
        <v>623879</v>
      </c>
      <c r="K233" s="29">
        <v>1801772</v>
      </c>
      <c r="L233" s="27">
        <v>0</v>
      </c>
      <c r="M233" s="28">
        <v>0</v>
      </c>
      <c r="N233" s="29">
        <v>0</v>
      </c>
      <c r="O233" s="27">
        <v>6722</v>
      </c>
      <c r="P233" s="28">
        <v>6722</v>
      </c>
      <c r="Q233" s="29">
        <v>1726078</v>
      </c>
      <c r="R233" s="27">
        <v>0</v>
      </c>
      <c r="S233" s="28">
        <v>0</v>
      </c>
      <c r="T233" s="29">
        <v>0</v>
      </c>
      <c r="U233" s="27">
        <v>423862</v>
      </c>
      <c r="V233" s="28">
        <v>1091487</v>
      </c>
      <c r="W233" s="29">
        <v>1807446</v>
      </c>
      <c r="X233" s="27">
        <v>224204</v>
      </c>
      <c r="Y233" s="28">
        <v>943645</v>
      </c>
      <c r="Z233" s="29">
        <v>2389062</v>
      </c>
      <c r="AA233" s="27">
        <v>103770</v>
      </c>
      <c r="AB233" s="28">
        <v>78867</v>
      </c>
      <c r="AC233" s="29">
        <v>-69004</v>
      </c>
      <c r="AD233" s="27">
        <v>-95888</v>
      </c>
      <c r="AE233" s="28">
        <v>-68975</v>
      </c>
      <c r="AF233" s="29">
        <v>512612</v>
      </c>
      <c r="AG233" s="27">
        <v>7352.7199999999993</v>
      </c>
      <c r="AH233" s="28">
        <v>105482.4699999999</v>
      </c>
      <c r="AI233" s="29">
        <v>14178.739999999991</v>
      </c>
      <c r="AJ233" s="27">
        <v>0</v>
      </c>
      <c r="AK233" s="28">
        <v>0</v>
      </c>
      <c r="AL233" s="29">
        <v>0</v>
      </c>
      <c r="AM233" s="27">
        <v>787898.38</v>
      </c>
      <c r="AN233" s="28">
        <v>8632781.3100000005</v>
      </c>
      <c r="AO233" s="29">
        <v>7790911.9299999997</v>
      </c>
      <c r="AP233" s="27">
        <v>0</v>
      </c>
      <c r="AQ233" s="28">
        <v>0</v>
      </c>
      <c r="AR233" s="29">
        <v>0</v>
      </c>
      <c r="AS233" s="24">
        <v>2.298313440062951E-4</v>
      </c>
      <c r="AT233" s="25">
        <v>3.1161852876780507E-3</v>
      </c>
      <c r="AU233" s="26">
        <v>4.1289890838522785E-4</v>
      </c>
      <c r="AV233" s="24">
        <v>0</v>
      </c>
      <c r="AW233" s="25">
        <v>0</v>
      </c>
      <c r="AX233" s="26">
        <v>0</v>
      </c>
    </row>
    <row r="234" spans="1:50" x14ac:dyDescent="0.2">
      <c r="A234" s="22">
        <v>7409</v>
      </c>
      <c r="B234" s="23" t="s">
        <v>250</v>
      </c>
      <c r="C234" s="27">
        <v>0</v>
      </c>
      <c r="D234" s="28">
        <v>0</v>
      </c>
      <c r="E234" s="29">
        <v>0</v>
      </c>
      <c r="F234" s="27">
        <v>0</v>
      </c>
      <c r="G234" s="28">
        <v>300007</v>
      </c>
      <c r="H234" s="29">
        <v>261845</v>
      </c>
      <c r="I234" s="27">
        <v>0</v>
      </c>
      <c r="J234" s="28">
        <v>561852</v>
      </c>
      <c r="K234" s="29">
        <v>0</v>
      </c>
      <c r="L234" s="27">
        <v>0</v>
      </c>
      <c r="M234" s="28">
        <v>0</v>
      </c>
      <c r="N234" s="29">
        <v>0</v>
      </c>
      <c r="O234" s="27">
        <v>0</v>
      </c>
      <c r="P234" s="28">
        <v>261845</v>
      </c>
      <c r="Q234" s="29">
        <v>-261845</v>
      </c>
      <c r="R234" s="27">
        <v>0</v>
      </c>
      <c r="S234" s="28">
        <v>0</v>
      </c>
      <c r="T234" s="29">
        <v>0</v>
      </c>
      <c r="U234" s="27">
        <v>303919</v>
      </c>
      <c r="V234" s="28">
        <v>1368225</v>
      </c>
      <c r="W234" s="29">
        <v>1098179</v>
      </c>
      <c r="X234" s="27">
        <v>354229</v>
      </c>
      <c r="Y234" s="28">
        <v>1286562</v>
      </c>
      <c r="Z234" s="29">
        <v>1467788</v>
      </c>
      <c r="AA234" s="27">
        <v>9697</v>
      </c>
      <c r="AB234" s="28">
        <v>41168</v>
      </c>
      <c r="AC234" s="29">
        <v>-6392</v>
      </c>
      <c r="AD234" s="27">
        <v>60007</v>
      </c>
      <c r="AE234" s="28">
        <v>-40495</v>
      </c>
      <c r="AF234" s="29">
        <v>363217</v>
      </c>
      <c r="AG234" s="27">
        <v>0</v>
      </c>
      <c r="AH234" s="28">
        <v>0</v>
      </c>
      <c r="AI234" s="29">
        <v>26067.670000000042</v>
      </c>
      <c r="AJ234" s="27">
        <v>0</v>
      </c>
      <c r="AK234" s="28">
        <v>0</v>
      </c>
      <c r="AL234" s="29">
        <v>0</v>
      </c>
      <c r="AM234" s="27">
        <v>209278.49</v>
      </c>
      <c r="AN234" s="28">
        <v>3375859.7199999997</v>
      </c>
      <c r="AO234" s="29">
        <v>6088213.7299999995</v>
      </c>
      <c r="AP234" s="27">
        <v>0</v>
      </c>
      <c r="AQ234" s="28">
        <v>0</v>
      </c>
      <c r="AR234" s="29">
        <v>0</v>
      </c>
      <c r="AS234" s="24">
        <v>0</v>
      </c>
      <c r="AT234" s="25">
        <v>0</v>
      </c>
      <c r="AU234" s="26">
        <v>6.876806213326369E-4</v>
      </c>
      <c r="AV234" s="24">
        <v>0</v>
      </c>
      <c r="AW234" s="25">
        <v>0</v>
      </c>
      <c r="AX234" s="26">
        <v>0</v>
      </c>
    </row>
    <row r="235" spans="1:50" x14ac:dyDescent="0.2">
      <c r="A235" s="22">
        <v>7410</v>
      </c>
      <c r="B235" s="23" t="s">
        <v>251</v>
      </c>
      <c r="C235" s="27">
        <v>0</v>
      </c>
      <c r="D235" s="28">
        <v>0</v>
      </c>
      <c r="E235" s="29">
        <v>0</v>
      </c>
      <c r="F235" s="27">
        <v>0</v>
      </c>
      <c r="G235" s="28">
        <v>0</v>
      </c>
      <c r="H235" s="29">
        <v>0</v>
      </c>
      <c r="I235" s="27">
        <v>0</v>
      </c>
      <c r="J235" s="28">
        <v>0</v>
      </c>
      <c r="K235" s="29">
        <v>0</v>
      </c>
      <c r="L235" s="27">
        <v>0</v>
      </c>
      <c r="M235" s="28">
        <v>0</v>
      </c>
      <c r="N235" s="29">
        <v>0</v>
      </c>
      <c r="O235" s="27">
        <v>0</v>
      </c>
      <c r="P235" s="28">
        <v>0</v>
      </c>
      <c r="Q235" s="29">
        <v>0</v>
      </c>
      <c r="R235" s="27">
        <v>0</v>
      </c>
      <c r="S235" s="28">
        <v>0</v>
      </c>
      <c r="T235" s="29">
        <v>0</v>
      </c>
      <c r="U235" s="27">
        <v>586358</v>
      </c>
      <c r="V235" s="28">
        <v>2918458</v>
      </c>
      <c r="W235" s="29">
        <v>6506462</v>
      </c>
      <c r="X235" s="27">
        <v>8567457</v>
      </c>
      <c r="Y235" s="28">
        <v>12009349</v>
      </c>
      <c r="Z235" s="29">
        <v>4423497</v>
      </c>
      <c r="AA235" s="27">
        <v>-7682092</v>
      </c>
      <c r="AB235" s="28">
        <v>-7502997</v>
      </c>
      <c r="AC235" s="29">
        <v>1168236</v>
      </c>
      <c r="AD235" s="27">
        <v>299007</v>
      </c>
      <c r="AE235" s="28">
        <v>1587894</v>
      </c>
      <c r="AF235" s="29">
        <v>-914729</v>
      </c>
      <c r="AG235" s="27">
        <v>0</v>
      </c>
      <c r="AH235" s="28">
        <v>284461.68999999994</v>
      </c>
      <c r="AI235" s="29">
        <v>68709.120000001043</v>
      </c>
      <c r="AJ235" s="27">
        <v>0</v>
      </c>
      <c r="AK235" s="28">
        <v>0</v>
      </c>
      <c r="AL235" s="29">
        <v>0</v>
      </c>
      <c r="AM235" s="27">
        <v>4117867.0300000003</v>
      </c>
      <c r="AN235" s="28">
        <v>2814759.6</v>
      </c>
      <c r="AO235" s="29">
        <v>26562236.420000002</v>
      </c>
      <c r="AP235" s="27">
        <v>0</v>
      </c>
      <c r="AQ235" s="28">
        <v>0</v>
      </c>
      <c r="AR235" s="29">
        <v>0</v>
      </c>
      <c r="AS235" s="24">
        <v>0</v>
      </c>
      <c r="AT235" s="25">
        <v>1.0227697702116833E-3</v>
      </c>
      <c r="AU235" s="26">
        <v>2.2763288055720207E-4</v>
      </c>
      <c r="AV235" s="24">
        <v>0</v>
      </c>
      <c r="AW235" s="25">
        <v>0</v>
      </c>
      <c r="AX235" s="26">
        <v>0</v>
      </c>
    </row>
    <row r="236" spans="1:50" x14ac:dyDescent="0.2">
      <c r="A236" s="22">
        <v>7411</v>
      </c>
      <c r="B236" s="23" t="s">
        <v>252</v>
      </c>
      <c r="C236" s="27">
        <v>2570</v>
      </c>
      <c r="D236" s="28">
        <v>4427</v>
      </c>
      <c r="E236" s="29">
        <v>2592</v>
      </c>
      <c r="F236" s="27">
        <v>557618</v>
      </c>
      <c r="G236" s="28">
        <v>1299482</v>
      </c>
      <c r="H236" s="29">
        <v>2471172</v>
      </c>
      <c r="I236" s="27">
        <v>467978</v>
      </c>
      <c r="J236" s="28">
        <v>1326900</v>
      </c>
      <c r="K236" s="29">
        <v>2543755</v>
      </c>
      <c r="L236" s="27">
        <v>89640</v>
      </c>
      <c r="M236" s="28">
        <v>5864</v>
      </c>
      <c r="N236" s="29">
        <v>-5864</v>
      </c>
      <c r="O236" s="27">
        <v>2570</v>
      </c>
      <c r="P236" s="28">
        <v>37709</v>
      </c>
      <c r="Q236" s="29">
        <v>69311</v>
      </c>
      <c r="R236" s="27">
        <v>0</v>
      </c>
      <c r="S236" s="28">
        <v>0</v>
      </c>
      <c r="T236" s="29">
        <v>0</v>
      </c>
      <c r="U236" s="27">
        <v>519839</v>
      </c>
      <c r="V236" s="28">
        <v>1199847</v>
      </c>
      <c r="W236" s="29">
        <v>1902106</v>
      </c>
      <c r="X236" s="27">
        <v>364812</v>
      </c>
      <c r="Y236" s="28">
        <v>1119247</v>
      </c>
      <c r="Z236" s="29">
        <v>1969535</v>
      </c>
      <c r="AA236" s="27">
        <v>53544</v>
      </c>
      <c r="AB236" s="28">
        <v>-108535</v>
      </c>
      <c r="AC236" s="29">
        <v>-31599</v>
      </c>
      <c r="AD236" s="27">
        <v>-101483</v>
      </c>
      <c r="AE236" s="28">
        <v>-189135</v>
      </c>
      <c r="AF236" s="29">
        <v>35830</v>
      </c>
      <c r="AG236" s="27">
        <v>75449.739999999991</v>
      </c>
      <c r="AH236" s="28">
        <v>177606.71000000014</v>
      </c>
      <c r="AI236" s="29">
        <v>507787.93999999971</v>
      </c>
      <c r="AJ236" s="27">
        <v>0</v>
      </c>
      <c r="AK236" s="28">
        <v>0</v>
      </c>
      <c r="AL236" s="29">
        <v>0</v>
      </c>
      <c r="AM236" s="27">
        <v>581003.24</v>
      </c>
      <c r="AN236" s="28">
        <v>170523.96000000005</v>
      </c>
      <c r="AO236" s="29">
        <v>75839.749999999971</v>
      </c>
      <c r="AP236" s="27">
        <v>0</v>
      </c>
      <c r="AQ236" s="28">
        <v>0</v>
      </c>
      <c r="AR236" s="29">
        <v>0</v>
      </c>
      <c r="AS236" s="24">
        <v>1.9655758104491672E-3</v>
      </c>
      <c r="AT236" s="25">
        <v>4.4173287248606384E-3</v>
      </c>
      <c r="AU236" s="26">
        <v>1.1775366493797176E-2</v>
      </c>
      <c r="AV236" s="24">
        <v>0</v>
      </c>
      <c r="AW236" s="25">
        <v>0</v>
      </c>
      <c r="AX236" s="26">
        <v>0</v>
      </c>
    </row>
    <row r="237" spans="1:50" x14ac:dyDescent="0.2">
      <c r="A237" s="22">
        <v>7501</v>
      </c>
      <c r="B237" s="23" t="s">
        <v>253</v>
      </c>
      <c r="C237" s="27">
        <v>0</v>
      </c>
      <c r="D237" s="28">
        <v>0</v>
      </c>
      <c r="E237" s="29">
        <v>0</v>
      </c>
      <c r="F237" s="27">
        <v>-16591</v>
      </c>
      <c r="G237" s="28">
        <v>1052920</v>
      </c>
      <c r="H237" s="29">
        <v>3000</v>
      </c>
      <c r="I237" s="27">
        <v>0</v>
      </c>
      <c r="J237" s="28">
        <v>1062529</v>
      </c>
      <c r="K237" s="29">
        <v>0</v>
      </c>
      <c r="L237" s="27">
        <v>-16591</v>
      </c>
      <c r="M237" s="28">
        <v>-9609</v>
      </c>
      <c r="N237" s="29">
        <v>3000</v>
      </c>
      <c r="O237" s="27">
        <v>0</v>
      </c>
      <c r="P237" s="28">
        <v>0</v>
      </c>
      <c r="Q237" s="29">
        <v>0</v>
      </c>
      <c r="R237" s="27">
        <v>0</v>
      </c>
      <c r="S237" s="28">
        <v>0</v>
      </c>
      <c r="T237" s="29">
        <v>0</v>
      </c>
      <c r="U237" s="27">
        <v>668630</v>
      </c>
      <c r="V237" s="28">
        <v>1716947</v>
      </c>
      <c r="W237" s="29">
        <v>615840</v>
      </c>
      <c r="X237" s="27">
        <v>304561</v>
      </c>
      <c r="Y237" s="28">
        <v>1428791</v>
      </c>
      <c r="Z237" s="29">
        <v>536560</v>
      </c>
      <c r="AA237" s="27">
        <v>295263</v>
      </c>
      <c r="AB237" s="28">
        <v>228011</v>
      </c>
      <c r="AC237" s="29">
        <v>86752</v>
      </c>
      <c r="AD237" s="27">
        <v>-68806</v>
      </c>
      <c r="AE237" s="28">
        <v>-60145</v>
      </c>
      <c r="AF237" s="29">
        <v>7472</v>
      </c>
      <c r="AG237" s="27">
        <v>32437.919999999984</v>
      </c>
      <c r="AH237" s="28">
        <v>32578.620000000112</v>
      </c>
      <c r="AI237" s="29">
        <v>40825.700000000012</v>
      </c>
      <c r="AJ237" s="27">
        <v>0</v>
      </c>
      <c r="AK237" s="28">
        <v>0</v>
      </c>
      <c r="AL237" s="29">
        <v>0</v>
      </c>
      <c r="AM237" s="27">
        <v>3053517.7700000005</v>
      </c>
      <c r="AN237" s="28">
        <v>1872624.2899999998</v>
      </c>
      <c r="AO237" s="29">
        <v>1690810.83</v>
      </c>
      <c r="AP237" s="27">
        <v>0</v>
      </c>
      <c r="AQ237" s="28">
        <v>0</v>
      </c>
      <c r="AR237" s="29">
        <v>0</v>
      </c>
      <c r="AS237" s="24">
        <v>2.1035223743468457E-3</v>
      </c>
      <c r="AT237" s="25">
        <v>2.6398216707910656E-3</v>
      </c>
      <c r="AU237" s="26">
        <v>2.6137650125653846E-3</v>
      </c>
      <c r="AV237" s="24">
        <v>0</v>
      </c>
      <c r="AW237" s="25">
        <v>0</v>
      </c>
      <c r="AX237" s="26">
        <v>0</v>
      </c>
    </row>
    <row r="238" spans="1:50" x14ac:dyDescent="0.2">
      <c r="A238" s="22">
        <v>7502</v>
      </c>
      <c r="B238" s="23" t="s">
        <v>254</v>
      </c>
      <c r="C238" s="27">
        <v>0</v>
      </c>
      <c r="D238" s="28">
        <v>0</v>
      </c>
      <c r="E238" s="29">
        <v>0</v>
      </c>
      <c r="F238" s="27">
        <v>0</v>
      </c>
      <c r="G238" s="28">
        <v>0</v>
      </c>
      <c r="H238" s="29">
        <v>758814</v>
      </c>
      <c r="I238" s="27">
        <v>0</v>
      </c>
      <c r="J238" s="28">
        <v>-662</v>
      </c>
      <c r="K238" s="29">
        <v>2172384</v>
      </c>
      <c r="L238" s="27">
        <v>0</v>
      </c>
      <c r="M238" s="28">
        <v>-4415</v>
      </c>
      <c r="N238" s="29">
        <v>0</v>
      </c>
      <c r="O238" s="27">
        <v>0</v>
      </c>
      <c r="P238" s="28">
        <v>-5077</v>
      </c>
      <c r="Q238" s="29">
        <v>1413570</v>
      </c>
      <c r="R238" s="27">
        <v>0</v>
      </c>
      <c r="S238" s="28">
        <v>0</v>
      </c>
      <c r="T238" s="29">
        <v>0</v>
      </c>
      <c r="U238" s="27">
        <v>1159145</v>
      </c>
      <c r="V238" s="28">
        <v>2390763</v>
      </c>
      <c r="W238" s="29">
        <v>2985599</v>
      </c>
      <c r="X238" s="27">
        <v>1031232</v>
      </c>
      <c r="Y238" s="28">
        <v>2441857</v>
      </c>
      <c r="Z238" s="29">
        <v>2073094</v>
      </c>
      <c r="AA238" s="27">
        <v>145266</v>
      </c>
      <c r="AB238" s="28">
        <v>-146404</v>
      </c>
      <c r="AC238" s="29">
        <v>835714</v>
      </c>
      <c r="AD238" s="27">
        <v>17353</v>
      </c>
      <c r="AE238" s="28">
        <v>-95310</v>
      </c>
      <c r="AF238" s="29">
        <v>-76791</v>
      </c>
      <c r="AG238" s="27">
        <v>72756.549999999988</v>
      </c>
      <c r="AH238" s="28">
        <v>128447.78000000003</v>
      </c>
      <c r="AI238" s="29">
        <v>72662.740000000224</v>
      </c>
      <c r="AJ238" s="27">
        <v>0</v>
      </c>
      <c r="AK238" s="28">
        <v>0</v>
      </c>
      <c r="AL238" s="29">
        <v>0</v>
      </c>
      <c r="AM238" s="27">
        <v>31365.000000000058</v>
      </c>
      <c r="AN238" s="28">
        <v>5055839.42</v>
      </c>
      <c r="AO238" s="29">
        <v>7604454.6100000003</v>
      </c>
      <c r="AP238" s="27">
        <v>0</v>
      </c>
      <c r="AQ238" s="28">
        <v>0</v>
      </c>
      <c r="AR238" s="29">
        <v>0</v>
      </c>
      <c r="AS238" s="24">
        <v>2.1073690566898147E-3</v>
      </c>
      <c r="AT238" s="25">
        <v>4.1613476144051025E-3</v>
      </c>
      <c r="AU238" s="26">
        <v>1.9555348700218559E-3</v>
      </c>
      <c r="AV238" s="24">
        <v>0</v>
      </c>
      <c r="AW238" s="25">
        <v>0</v>
      </c>
      <c r="AX238" s="26">
        <v>0</v>
      </c>
    </row>
    <row r="239" spans="1:50" x14ac:dyDescent="0.2">
      <c r="A239" s="22">
        <v>7503</v>
      </c>
      <c r="B239" s="23" t="s">
        <v>255</v>
      </c>
      <c r="C239" s="27">
        <v>0</v>
      </c>
      <c r="D239" s="28">
        <v>0</v>
      </c>
      <c r="E239" s="29">
        <v>0</v>
      </c>
      <c r="F239" s="27">
        <v>0</v>
      </c>
      <c r="G239" s="28">
        <v>0</v>
      </c>
      <c r="H239" s="29">
        <v>0</v>
      </c>
      <c r="I239" s="27">
        <v>0</v>
      </c>
      <c r="J239" s="28">
        <v>0</v>
      </c>
      <c r="K239" s="29">
        <v>0</v>
      </c>
      <c r="L239" s="27">
        <v>0</v>
      </c>
      <c r="M239" s="28">
        <v>0</v>
      </c>
      <c r="N239" s="29">
        <v>0</v>
      </c>
      <c r="O239" s="27">
        <v>0</v>
      </c>
      <c r="P239" s="28">
        <v>0</v>
      </c>
      <c r="Q239" s="29">
        <v>0</v>
      </c>
      <c r="R239" s="27">
        <v>0</v>
      </c>
      <c r="S239" s="28">
        <v>0</v>
      </c>
      <c r="T239" s="29">
        <v>0</v>
      </c>
      <c r="U239" s="27">
        <v>385619</v>
      </c>
      <c r="V239" s="28">
        <v>827258</v>
      </c>
      <c r="W239" s="29">
        <v>1568458</v>
      </c>
      <c r="X239" s="27">
        <v>248007</v>
      </c>
      <c r="Y239" s="28">
        <v>751421</v>
      </c>
      <c r="Z239" s="29">
        <v>1609002</v>
      </c>
      <c r="AA239" s="27">
        <v>36904</v>
      </c>
      <c r="AB239" s="28">
        <v>-22333</v>
      </c>
      <c r="AC239" s="29">
        <v>104061</v>
      </c>
      <c r="AD239" s="27">
        <v>-100708</v>
      </c>
      <c r="AE239" s="28">
        <v>-98170</v>
      </c>
      <c r="AF239" s="29">
        <v>144605</v>
      </c>
      <c r="AG239" s="27">
        <v>26967.420000000013</v>
      </c>
      <c r="AH239" s="28">
        <v>567102.85</v>
      </c>
      <c r="AI239" s="29">
        <v>789512.09</v>
      </c>
      <c r="AJ239" s="27">
        <v>0</v>
      </c>
      <c r="AK239" s="28">
        <v>0</v>
      </c>
      <c r="AL239" s="29">
        <v>0</v>
      </c>
      <c r="AM239" s="27">
        <v>781002.81</v>
      </c>
      <c r="AN239" s="28">
        <v>3142225.6399999997</v>
      </c>
      <c r="AO239" s="29">
        <v>4173395.7700000005</v>
      </c>
      <c r="AP239" s="27">
        <v>0</v>
      </c>
      <c r="AQ239" s="28">
        <v>438981</v>
      </c>
      <c r="AR239" s="29">
        <v>735308</v>
      </c>
      <c r="AS239" s="24">
        <v>2.4311539863741392E-3</v>
      </c>
      <c r="AT239" s="25">
        <v>5.1266097188858342E-2</v>
      </c>
      <c r="AU239" s="26">
        <v>6.246914391997805E-2</v>
      </c>
      <c r="AV239" s="24">
        <v>0</v>
      </c>
      <c r="AW239" s="25">
        <v>3.9683882050781841E-2</v>
      </c>
      <c r="AX239" s="26">
        <v>5.8180313967720526E-2</v>
      </c>
    </row>
    <row r="240" spans="1:50" x14ac:dyDescent="0.2">
      <c r="A240" s="22">
        <v>7504</v>
      </c>
      <c r="B240" s="23" t="s">
        <v>256</v>
      </c>
      <c r="C240" s="27">
        <v>29029</v>
      </c>
      <c r="D240" s="28">
        <v>44272</v>
      </c>
      <c r="E240" s="29">
        <v>9462</v>
      </c>
      <c r="F240" s="27">
        <v>1688082</v>
      </c>
      <c r="G240" s="28">
        <v>3392850</v>
      </c>
      <c r="H240" s="29">
        <v>981045</v>
      </c>
      <c r="I240" s="27">
        <v>616135</v>
      </c>
      <c r="J240" s="28">
        <v>2390250</v>
      </c>
      <c r="K240" s="29">
        <v>776502</v>
      </c>
      <c r="L240" s="27">
        <v>-49965</v>
      </c>
      <c r="M240" s="28">
        <v>-49893</v>
      </c>
      <c r="N240" s="29">
        <v>-2868</v>
      </c>
      <c r="O240" s="27">
        <v>-1092883</v>
      </c>
      <c r="P240" s="28">
        <v>-1008221</v>
      </c>
      <c r="Q240" s="29">
        <v>-197949</v>
      </c>
      <c r="R240" s="27">
        <v>0</v>
      </c>
      <c r="S240" s="28">
        <v>0</v>
      </c>
      <c r="T240" s="29">
        <v>0</v>
      </c>
      <c r="U240" s="27">
        <v>506462</v>
      </c>
      <c r="V240" s="28">
        <v>3510367</v>
      </c>
      <c r="W240" s="29">
        <v>2179165</v>
      </c>
      <c r="X240" s="27">
        <v>746313</v>
      </c>
      <c r="Y240" s="28">
        <v>3836545</v>
      </c>
      <c r="Z240" s="29">
        <v>2215161</v>
      </c>
      <c r="AA240" s="27">
        <v>-138627</v>
      </c>
      <c r="AB240" s="28">
        <v>-281977</v>
      </c>
      <c r="AC240" s="29">
        <v>148036</v>
      </c>
      <c r="AD240" s="27">
        <v>101224</v>
      </c>
      <c r="AE240" s="28">
        <v>44201</v>
      </c>
      <c r="AF240" s="29">
        <v>184032</v>
      </c>
      <c r="AG240" s="27">
        <v>1453732.0899999999</v>
      </c>
      <c r="AH240" s="28">
        <v>636234.24999999953</v>
      </c>
      <c r="AI240" s="29">
        <v>305310.27000000014</v>
      </c>
      <c r="AJ240" s="27">
        <v>0</v>
      </c>
      <c r="AK240" s="28">
        <v>0</v>
      </c>
      <c r="AL240" s="29">
        <v>0</v>
      </c>
      <c r="AM240" s="27">
        <v>3515637.75</v>
      </c>
      <c r="AN240" s="28">
        <v>6948225.5700000012</v>
      </c>
      <c r="AO240" s="29">
        <v>16853449.710000001</v>
      </c>
      <c r="AP240" s="27">
        <v>0</v>
      </c>
      <c r="AQ240" s="28">
        <v>0</v>
      </c>
      <c r="AR240" s="29">
        <v>0</v>
      </c>
      <c r="AS240" s="24">
        <v>2.3687298744079464E-2</v>
      </c>
      <c r="AT240" s="25">
        <v>1.361840479913976E-2</v>
      </c>
      <c r="AU240" s="26">
        <v>5.9723503369667492E-3</v>
      </c>
      <c r="AV240" s="24">
        <v>0</v>
      </c>
      <c r="AW240" s="25">
        <v>0</v>
      </c>
      <c r="AX240" s="26">
        <v>0</v>
      </c>
    </row>
    <row r="241" spans="1:50" x14ac:dyDescent="0.2">
      <c r="A241" s="22">
        <v>7505</v>
      </c>
      <c r="B241" s="23" t="s">
        <v>257</v>
      </c>
      <c r="C241" s="27">
        <v>0</v>
      </c>
      <c r="D241" s="28">
        <v>0</v>
      </c>
      <c r="E241" s="29">
        <v>0</v>
      </c>
      <c r="F241" s="27">
        <v>0</v>
      </c>
      <c r="G241" s="28">
        <v>0</v>
      </c>
      <c r="H241" s="29">
        <v>0</v>
      </c>
      <c r="I241" s="27">
        <v>0</v>
      </c>
      <c r="J241" s="28">
        <v>0</v>
      </c>
      <c r="K241" s="29">
        <v>0</v>
      </c>
      <c r="L241" s="27">
        <v>0</v>
      </c>
      <c r="M241" s="28">
        <v>0</v>
      </c>
      <c r="N241" s="29">
        <v>0</v>
      </c>
      <c r="O241" s="27">
        <v>0</v>
      </c>
      <c r="P241" s="28">
        <v>0</v>
      </c>
      <c r="Q241" s="29">
        <v>0</v>
      </c>
      <c r="R241" s="27">
        <v>0</v>
      </c>
      <c r="S241" s="28">
        <v>0</v>
      </c>
      <c r="T241" s="29">
        <v>0</v>
      </c>
      <c r="U241" s="27">
        <v>4163673</v>
      </c>
      <c r="V241" s="28">
        <v>7637784</v>
      </c>
      <c r="W241" s="29">
        <v>3560797</v>
      </c>
      <c r="X241" s="27">
        <v>4325550</v>
      </c>
      <c r="Y241" s="28">
        <v>8154072</v>
      </c>
      <c r="Z241" s="29">
        <v>3845432</v>
      </c>
      <c r="AA241" s="27">
        <v>-29042</v>
      </c>
      <c r="AB241" s="28">
        <v>-327480</v>
      </c>
      <c r="AC241" s="29">
        <v>109049</v>
      </c>
      <c r="AD241" s="27">
        <v>132835</v>
      </c>
      <c r="AE241" s="28">
        <v>188808</v>
      </c>
      <c r="AF241" s="29">
        <v>393684</v>
      </c>
      <c r="AG241" s="27">
        <v>4101.1499999999069</v>
      </c>
      <c r="AH241" s="28">
        <v>9180</v>
      </c>
      <c r="AI241" s="29">
        <v>12395.89000000013</v>
      </c>
      <c r="AJ241" s="27">
        <v>0</v>
      </c>
      <c r="AK241" s="28">
        <v>0</v>
      </c>
      <c r="AL241" s="29">
        <v>0</v>
      </c>
      <c r="AM241" s="27">
        <v>7541000.7399999993</v>
      </c>
      <c r="AN241" s="28">
        <v>11334760.850000001</v>
      </c>
      <c r="AO241" s="29">
        <v>24732371.34</v>
      </c>
      <c r="AP241" s="27">
        <v>0</v>
      </c>
      <c r="AQ241" s="28">
        <v>0</v>
      </c>
      <c r="AR241" s="29">
        <v>0</v>
      </c>
      <c r="AS241" s="24">
        <v>3.7941601047026909E-5</v>
      </c>
      <c r="AT241" s="25">
        <v>8.4402763699540831E-5</v>
      </c>
      <c r="AU241" s="26">
        <v>1.0337323036714601E-4</v>
      </c>
      <c r="AV241" s="24">
        <v>0</v>
      </c>
      <c r="AW241" s="25">
        <v>0</v>
      </c>
      <c r="AX241" s="26">
        <v>0</v>
      </c>
    </row>
    <row r="242" spans="1:50" x14ac:dyDescent="0.2">
      <c r="A242" s="22">
        <v>7601</v>
      </c>
      <c r="B242" s="23" t="s">
        <v>258</v>
      </c>
      <c r="C242" s="27">
        <v>0</v>
      </c>
      <c r="D242" s="28">
        <v>0</v>
      </c>
      <c r="E242" s="29">
        <v>0</v>
      </c>
      <c r="F242" s="27">
        <v>0</v>
      </c>
      <c r="G242" s="28">
        <v>0</v>
      </c>
      <c r="H242" s="29">
        <v>0</v>
      </c>
      <c r="I242" s="27">
        <v>0</v>
      </c>
      <c r="J242" s="28">
        <v>0</v>
      </c>
      <c r="K242" s="29">
        <v>0</v>
      </c>
      <c r="L242" s="27">
        <v>0</v>
      </c>
      <c r="M242" s="28">
        <v>0</v>
      </c>
      <c r="N242" s="29">
        <v>0</v>
      </c>
      <c r="O242" s="27">
        <v>0</v>
      </c>
      <c r="P242" s="28">
        <v>0</v>
      </c>
      <c r="Q242" s="29">
        <v>0</v>
      </c>
      <c r="R242" s="27">
        <v>0</v>
      </c>
      <c r="S242" s="28">
        <v>0</v>
      </c>
      <c r="T242" s="29">
        <v>0</v>
      </c>
      <c r="U242" s="27">
        <v>1096086</v>
      </c>
      <c r="V242" s="28">
        <v>2471859</v>
      </c>
      <c r="W242" s="29">
        <v>3739349</v>
      </c>
      <c r="X242" s="27">
        <v>4180906</v>
      </c>
      <c r="Y242" s="28">
        <v>9863914</v>
      </c>
      <c r="Z242" s="29">
        <v>3168245</v>
      </c>
      <c r="AA242" s="27">
        <v>-2361096</v>
      </c>
      <c r="AB242" s="28">
        <v>-4493529</v>
      </c>
      <c r="AC242" s="29">
        <v>545160</v>
      </c>
      <c r="AD242" s="27">
        <v>723724</v>
      </c>
      <c r="AE242" s="28">
        <v>2898526</v>
      </c>
      <c r="AF242" s="29">
        <v>-25944</v>
      </c>
      <c r="AG242" s="27">
        <v>12580</v>
      </c>
      <c r="AH242" s="28">
        <v>170600.99</v>
      </c>
      <c r="AI242" s="29">
        <v>65255.949999999721</v>
      </c>
      <c r="AJ242" s="27">
        <v>0</v>
      </c>
      <c r="AK242" s="28">
        <v>0</v>
      </c>
      <c r="AL242" s="29">
        <v>0</v>
      </c>
      <c r="AM242" s="27">
        <v>2072080.2399999998</v>
      </c>
      <c r="AN242" s="28">
        <v>6310141.4100000001</v>
      </c>
      <c r="AO242" s="29">
        <v>4478106.74</v>
      </c>
      <c r="AP242" s="27">
        <v>0</v>
      </c>
      <c r="AQ242" s="28">
        <v>0</v>
      </c>
      <c r="AR242" s="29">
        <v>0</v>
      </c>
      <c r="AS242" s="24">
        <v>1.427364133967859E-4</v>
      </c>
      <c r="AT242" s="25">
        <v>2.1660361709689912E-3</v>
      </c>
      <c r="AU242" s="26">
        <v>7.3634440380644986E-4</v>
      </c>
      <c r="AV242" s="24">
        <v>0</v>
      </c>
      <c r="AW242" s="25">
        <v>0</v>
      </c>
      <c r="AX242" s="26">
        <v>0</v>
      </c>
    </row>
    <row r="243" spans="1:50" x14ac:dyDescent="0.2">
      <c r="A243" s="22">
        <v>7602</v>
      </c>
      <c r="B243" s="23" t="s">
        <v>259</v>
      </c>
      <c r="C243" s="27">
        <v>0</v>
      </c>
      <c r="D243" s="28">
        <v>0</v>
      </c>
      <c r="E243" s="29">
        <v>0</v>
      </c>
      <c r="F243" s="27">
        <v>130943</v>
      </c>
      <c r="G243" s="28">
        <v>824689</v>
      </c>
      <c r="H243" s="29">
        <v>338815</v>
      </c>
      <c r="I243" s="27">
        <v>-21887</v>
      </c>
      <c r="J243" s="28">
        <v>777006</v>
      </c>
      <c r="K243" s="29">
        <v>287119</v>
      </c>
      <c r="L243" s="27">
        <v>80103</v>
      </c>
      <c r="M243" s="28">
        <v>159396</v>
      </c>
      <c r="N243" s="29">
        <v>-137975</v>
      </c>
      <c r="O243" s="27">
        <v>-72727</v>
      </c>
      <c r="P243" s="28">
        <v>111713</v>
      </c>
      <c r="Q243" s="29">
        <v>-189671</v>
      </c>
      <c r="R243" s="27">
        <v>0</v>
      </c>
      <c r="S243" s="28">
        <v>0</v>
      </c>
      <c r="T243" s="29">
        <v>0</v>
      </c>
      <c r="U243" s="27">
        <v>700993</v>
      </c>
      <c r="V243" s="28">
        <v>1007512</v>
      </c>
      <c r="W243" s="29">
        <v>613743</v>
      </c>
      <c r="X243" s="27">
        <v>11469</v>
      </c>
      <c r="Y243" s="28">
        <v>1077210</v>
      </c>
      <c r="Z243" s="29">
        <v>764852</v>
      </c>
      <c r="AA243" s="27">
        <v>153090</v>
      </c>
      <c r="AB243" s="28">
        <v>-114798</v>
      </c>
      <c r="AC243" s="29">
        <v>-109910</v>
      </c>
      <c r="AD243" s="27">
        <v>-536434</v>
      </c>
      <c r="AE243" s="28">
        <v>-45100</v>
      </c>
      <c r="AF243" s="29">
        <v>41199</v>
      </c>
      <c r="AG243" s="27">
        <v>669930.92000000004</v>
      </c>
      <c r="AH243" s="28">
        <v>154104.16999999993</v>
      </c>
      <c r="AI243" s="29">
        <v>189431.36</v>
      </c>
      <c r="AJ243" s="27">
        <v>0</v>
      </c>
      <c r="AK243" s="28">
        <v>0</v>
      </c>
      <c r="AL243" s="29">
        <v>0</v>
      </c>
      <c r="AM243" s="27">
        <v>338576.79</v>
      </c>
      <c r="AN243" s="28">
        <v>490999.82999999996</v>
      </c>
      <c r="AO243" s="29">
        <v>349595.29000000004</v>
      </c>
      <c r="AP243" s="27">
        <v>0</v>
      </c>
      <c r="AQ243" s="28">
        <v>0</v>
      </c>
      <c r="AR243" s="29">
        <v>0</v>
      </c>
      <c r="AS243" s="24">
        <v>3.9142195062398216E-2</v>
      </c>
      <c r="AT243" s="25">
        <v>8.923872624285881E-3</v>
      </c>
      <c r="AU243" s="26">
        <v>1.0390318396825367E-2</v>
      </c>
      <c r="AV243" s="24">
        <v>0</v>
      </c>
      <c r="AW243" s="25">
        <v>0</v>
      </c>
      <c r="AX243" s="26">
        <v>0</v>
      </c>
    </row>
    <row r="244" spans="1:50" x14ac:dyDescent="0.2">
      <c r="A244" s="22">
        <v>7603</v>
      </c>
      <c r="B244" s="23" t="s">
        <v>260</v>
      </c>
      <c r="C244" s="27">
        <v>0</v>
      </c>
      <c r="D244" s="28">
        <v>0</v>
      </c>
      <c r="E244" s="29">
        <v>0</v>
      </c>
      <c r="F244" s="27">
        <v>451979</v>
      </c>
      <c r="G244" s="28">
        <v>2188166</v>
      </c>
      <c r="H244" s="29">
        <v>0</v>
      </c>
      <c r="I244" s="27">
        <v>234690</v>
      </c>
      <c r="J244" s="28">
        <v>2200320</v>
      </c>
      <c r="K244" s="29">
        <v>0</v>
      </c>
      <c r="L244" s="27">
        <v>217289</v>
      </c>
      <c r="M244" s="28">
        <v>16000</v>
      </c>
      <c r="N244" s="29">
        <v>0</v>
      </c>
      <c r="O244" s="27">
        <v>0</v>
      </c>
      <c r="P244" s="28">
        <v>28154</v>
      </c>
      <c r="Q244" s="29">
        <v>0</v>
      </c>
      <c r="R244" s="27">
        <v>0</v>
      </c>
      <c r="S244" s="28">
        <v>0</v>
      </c>
      <c r="T244" s="29">
        <v>0</v>
      </c>
      <c r="U244" s="27">
        <v>46349</v>
      </c>
      <c r="V244" s="28">
        <v>715485</v>
      </c>
      <c r="W244" s="29">
        <v>246681</v>
      </c>
      <c r="X244" s="27">
        <v>57679</v>
      </c>
      <c r="Y244" s="28">
        <v>188356</v>
      </c>
      <c r="Z244" s="29">
        <v>810376</v>
      </c>
      <c r="AA244" s="27">
        <v>4019</v>
      </c>
      <c r="AB244" s="28">
        <v>543853</v>
      </c>
      <c r="AC244" s="29">
        <v>-524532</v>
      </c>
      <c r="AD244" s="27">
        <v>15349</v>
      </c>
      <c r="AE244" s="28">
        <v>16724</v>
      </c>
      <c r="AF244" s="29">
        <v>39163</v>
      </c>
      <c r="AG244" s="27">
        <v>471</v>
      </c>
      <c r="AH244" s="28">
        <v>455963.54</v>
      </c>
      <c r="AI244" s="29">
        <v>909608.69</v>
      </c>
      <c r="AJ244" s="27">
        <v>0</v>
      </c>
      <c r="AK244" s="28">
        <v>0</v>
      </c>
      <c r="AL244" s="29">
        <v>0</v>
      </c>
      <c r="AM244" s="27">
        <v>3483323.66</v>
      </c>
      <c r="AN244" s="28">
        <v>1342399.8699999996</v>
      </c>
      <c r="AO244" s="29">
        <v>1006683.2200000001</v>
      </c>
      <c r="AP244" s="27">
        <v>0</v>
      </c>
      <c r="AQ244" s="28">
        <v>0</v>
      </c>
      <c r="AR244" s="29">
        <v>0</v>
      </c>
      <c r="AS244" s="24">
        <v>2.2048605706563017E-5</v>
      </c>
      <c r="AT244" s="25">
        <v>1.7817081390442115E-2</v>
      </c>
      <c r="AU244" s="26">
        <v>4.1216754922060929E-2</v>
      </c>
      <c r="AV244" s="24">
        <v>0</v>
      </c>
      <c r="AW244" s="25">
        <v>0</v>
      </c>
      <c r="AX244" s="26">
        <v>0</v>
      </c>
    </row>
    <row r="245" spans="1:50" x14ac:dyDescent="0.2">
      <c r="A245" s="22">
        <v>7604</v>
      </c>
      <c r="B245" s="23" t="s">
        <v>261</v>
      </c>
      <c r="C245" s="27">
        <v>0</v>
      </c>
      <c r="D245" s="28">
        <v>0</v>
      </c>
      <c r="E245" s="29">
        <v>0</v>
      </c>
      <c r="F245" s="27">
        <v>0</v>
      </c>
      <c r="G245" s="28">
        <v>0</v>
      </c>
      <c r="H245" s="29">
        <v>0</v>
      </c>
      <c r="I245" s="27">
        <v>0</v>
      </c>
      <c r="J245" s="28">
        <v>0</v>
      </c>
      <c r="K245" s="29">
        <v>0</v>
      </c>
      <c r="L245" s="27">
        <v>0</v>
      </c>
      <c r="M245" s="28">
        <v>0</v>
      </c>
      <c r="N245" s="29">
        <v>0</v>
      </c>
      <c r="O245" s="27">
        <v>0</v>
      </c>
      <c r="P245" s="28">
        <v>0</v>
      </c>
      <c r="Q245" s="29">
        <v>0</v>
      </c>
      <c r="R245" s="27">
        <v>0</v>
      </c>
      <c r="S245" s="28">
        <v>0</v>
      </c>
      <c r="T245" s="29">
        <v>0</v>
      </c>
      <c r="U245" s="27">
        <v>100755</v>
      </c>
      <c r="V245" s="28">
        <v>302907</v>
      </c>
      <c r="W245" s="29">
        <v>301151</v>
      </c>
      <c r="X245" s="27">
        <v>128721</v>
      </c>
      <c r="Y245" s="28">
        <v>291141</v>
      </c>
      <c r="Z245" s="29">
        <v>299803</v>
      </c>
      <c r="AA245" s="27">
        <v>72008</v>
      </c>
      <c r="AB245" s="28">
        <v>13637</v>
      </c>
      <c r="AC245" s="29">
        <v>5229</v>
      </c>
      <c r="AD245" s="27">
        <v>99974</v>
      </c>
      <c r="AE245" s="28">
        <v>1871</v>
      </c>
      <c r="AF245" s="29">
        <v>3881</v>
      </c>
      <c r="AG245" s="27">
        <v>6074.6299999999992</v>
      </c>
      <c r="AH245" s="28">
        <v>13653</v>
      </c>
      <c r="AI245" s="29">
        <v>0</v>
      </c>
      <c r="AJ245" s="27">
        <v>0</v>
      </c>
      <c r="AK245" s="28">
        <v>0</v>
      </c>
      <c r="AL245" s="29">
        <v>0</v>
      </c>
      <c r="AM245" s="27">
        <v>74887.5</v>
      </c>
      <c r="AN245" s="28">
        <v>61268.06</v>
      </c>
      <c r="AO245" s="29">
        <v>20275</v>
      </c>
      <c r="AP245" s="27">
        <v>0</v>
      </c>
      <c r="AQ245" s="28">
        <v>0</v>
      </c>
      <c r="AR245" s="29">
        <v>0</v>
      </c>
      <c r="AS245" s="24">
        <v>8.7185955360081255E-4</v>
      </c>
      <c r="AT245" s="25">
        <v>2.1111772244599048E-3</v>
      </c>
      <c r="AU245" s="26">
        <v>0</v>
      </c>
      <c r="AV245" s="24">
        <v>0</v>
      </c>
      <c r="AW245" s="25">
        <v>0</v>
      </c>
      <c r="AX245" s="26">
        <v>0</v>
      </c>
    </row>
    <row r="246" spans="1:50" x14ac:dyDescent="0.2">
      <c r="A246" s="22">
        <v>7605</v>
      </c>
      <c r="B246" s="23" t="s">
        <v>262</v>
      </c>
      <c r="C246" s="27">
        <v>0</v>
      </c>
      <c r="D246" s="28">
        <v>0</v>
      </c>
      <c r="E246" s="29">
        <v>0</v>
      </c>
      <c r="F246" s="27">
        <v>0</v>
      </c>
      <c r="G246" s="28">
        <v>60042</v>
      </c>
      <c r="H246" s="29">
        <v>968366</v>
      </c>
      <c r="I246" s="27">
        <v>0</v>
      </c>
      <c r="J246" s="28">
        <v>60042</v>
      </c>
      <c r="K246" s="29">
        <v>1969788</v>
      </c>
      <c r="L246" s="27">
        <v>0</v>
      </c>
      <c r="M246" s="28">
        <v>0</v>
      </c>
      <c r="N246" s="29">
        <v>13440</v>
      </c>
      <c r="O246" s="27">
        <v>0</v>
      </c>
      <c r="P246" s="28">
        <v>0</v>
      </c>
      <c r="Q246" s="29">
        <v>1014862</v>
      </c>
      <c r="R246" s="27">
        <v>0</v>
      </c>
      <c r="S246" s="28">
        <v>2</v>
      </c>
      <c r="T246" s="29">
        <v>0</v>
      </c>
      <c r="U246" s="27">
        <v>451429</v>
      </c>
      <c r="V246" s="28">
        <v>1048330</v>
      </c>
      <c r="W246" s="29">
        <v>382420</v>
      </c>
      <c r="X246" s="27">
        <v>399582</v>
      </c>
      <c r="Y246" s="28">
        <v>915549</v>
      </c>
      <c r="Z246" s="29">
        <v>425251</v>
      </c>
      <c r="AA246" s="27">
        <v>16493</v>
      </c>
      <c r="AB246" s="28">
        <v>3510</v>
      </c>
      <c r="AC246" s="29">
        <v>-5781</v>
      </c>
      <c r="AD246" s="27">
        <v>-35354</v>
      </c>
      <c r="AE246" s="28">
        <v>-129269</v>
      </c>
      <c r="AF246" s="29">
        <v>37050</v>
      </c>
      <c r="AG246" s="27">
        <v>127677.5</v>
      </c>
      <c r="AH246" s="28">
        <v>39259.099999999977</v>
      </c>
      <c r="AI246" s="29">
        <v>106507.10000000003</v>
      </c>
      <c r="AJ246" s="27">
        <v>0</v>
      </c>
      <c r="AK246" s="28">
        <v>0</v>
      </c>
      <c r="AL246" s="29">
        <v>0</v>
      </c>
      <c r="AM246" s="27">
        <v>666871.56000000006</v>
      </c>
      <c r="AN246" s="28">
        <v>4677322.91</v>
      </c>
      <c r="AO246" s="29">
        <v>4552534.3900000006</v>
      </c>
      <c r="AP246" s="27">
        <v>0</v>
      </c>
      <c r="AQ246" s="28">
        <v>0</v>
      </c>
      <c r="AR246" s="29">
        <v>0</v>
      </c>
      <c r="AS246" s="24">
        <v>9.882495998315732E-3</v>
      </c>
      <c r="AT246" s="25">
        <v>3.2228895089996676E-3</v>
      </c>
      <c r="AU246" s="26">
        <v>8.9410048028883346E-3</v>
      </c>
      <c r="AV246" s="24">
        <v>0</v>
      </c>
      <c r="AW246" s="25">
        <v>0</v>
      </c>
      <c r="AX246" s="26">
        <v>0</v>
      </c>
    </row>
    <row r="247" spans="1:50" x14ac:dyDescent="0.2">
      <c r="A247" s="22">
        <v>7606</v>
      </c>
      <c r="B247" s="23" t="s">
        <v>263</v>
      </c>
      <c r="C247" s="27">
        <v>0</v>
      </c>
      <c r="D247" s="28">
        <v>0</v>
      </c>
      <c r="E247" s="29">
        <v>0</v>
      </c>
      <c r="F247" s="27">
        <v>575695</v>
      </c>
      <c r="G247" s="28">
        <v>977750</v>
      </c>
      <c r="H247" s="29">
        <v>18359</v>
      </c>
      <c r="I247" s="27">
        <v>531472</v>
      </c>
      <c r="J247" s="28">
        <v>851805</v>
      </c>
      <c r="K247" s="29">
        <v>68737</v>
      </c>
      <c r="L247" s="27">
        <v>0</v>
      </c>
      <c r="M247" s="28">
        <v>0</v>
      </c>
      <c r="N247" s="29">
        <v>0</v>
      </c>
      <c r="O247" s="27">
        <v>-44223</v>
      </c>
      <c r="P247" s="28">
        <v>-125945</v>
      </c>
      <c r="Q247" s="29">
        <v>50378</v>
      </c>
      <c r="R247" s="27">
        <v>0</v>
      </c>
      <c r="S247" s="28">
        <v>0</v>
      </c>
      <c r="T247" s="29">
        <v>0</v>
      </c>
      <c r="U247" s="27">
        <v>587498</v>
      </c>
      <c r="V247" s="28">
        <v>5405028</v>
      </c>
      <c r="W247" s="29">
        <v>2369640</v>
      </c>
      <c r="X247" s="27">
        <v>1058433</v>
      </c>
      <c r="Y247" s="28">
        <v>6180132</v>
      </c>
      <c r="Z247" s="29">
        <v>2117575</v>
      </c>
      <c r="AA247" s="27">
        <v>-411286</v>
      </c>
      <c r="AB247" s="28">
        <v>-700531</v>
      </c>
      <c r="AC247" s="29">
        <v>116227</v>
      </c>
      <c r="AD247" s="27">
        <v>59649</v>
      </c>
      <c r="AE247" s="28">
        <v>74573</v>
      </c>
      <c r="AF247" s="29">
        <v>-135838</v>
      </c>
      <c r="AG247" s="27">
        <v>196577.05</v>
      </c>
      <c r="AH247" s="28">
        <v>31125.109999999288</v>
      </c>
      <c r="AI247" s="29">
        <v>270409.28999999998</v>
      </c>
      <c r="AJ247" s="27">
        <v>0</v>
      </c>
      <c r="AK247" s="28">
        <v>0</v>
      </c>
      <c r="AL247" s="29">
        <v>0</v>
      </c>
      <c r="AM247" s="27">
        <v>4790266.1900000004</v>
      </c>
      <c r="AN247" s="28">
        <v>1412195.2899999998</v>
      </c>
      <c r="AO247" s="29">
        <v>10937360.039999999</v>
      </c>
      <c r="AP247" s="27">
        <v>0</v>
      </c>
      <c r="AQ247" s="28">
        <v>0</v>
      </c>
      <c r="AR247" s="29">
        <v>0</v>
      </c>
      <c r="AS247" s="24">
        <v>4.4487858488738031E-3</v>
      </c>
      <c r="AT247" s="25">
        <v>6.8474884150253866E-4</v>
      </c>
      <c r="AU247" s="26">
        <v>5.4424158746435702E-3</v>
      </c>
      <c r="AV247" s="24">
        <v>0</v>
      </c>
      <c r="AW247" s="25">
        <v>0</v>
      </c>
      <c r="AX247" s="26">
        <v>0</v>
      </c>
    </row>
    <row r="248" spans="1:50" x14ac:dyDescent="0.2">
      <c r="A248" s="22">
        <v>7607</v>
      </c>
      <c r="B248" s="23" t="s">
        <v>264</v>
      </c>
      <c r="C248" s="27">
        <v>0</v>
      </c>
      <c r="D248" s="28">
        <v>0</v>
      </c>
      <c r="E248" s="29">
        <v>0</v>
      </c>
      <c r="F248" s="27">
        <v>0</v>
      </c>
      <c r="G248" s="28">
        <v>1564853</v>
      </c>
      <c r="H248" s="29">
        <v>756045</v>
      </c>
      <c r="I248" s="27">
        <v>0</v>
      </c>
      <c r="J248" s="28">
        <v>1791592</v>
      </c>
      <c r="K248" s="29">
        <v>821040</v>
      </c>
      <c r="L248" s="27">
        <v>0</v>
      </c>
      <c r="M248" s="28">
        <v>29984</v>
      </c>
      <c r="N248" s="29">
        <v>0</v>
      </c>
      <c r="O248" s="27">
        <v>0</v>
      </c>
      <c r="P248" s="28">
        <v>256723</v>
      </c>
      <c r="Q248" s="29">
        <v>64995</v>
      </c>
      <c r="R248" s="27">
        <v>0</v>
      </c>
      <c r="S248" s="28">
        <v>0</v>
      </c>
      <c r="T248" s="29">
        <v>0</v>
      </c>
      <c r="U248" s="27">
        <v>221046</v>
      </c>
      <c r="V248" s="28">
        <v>482176</v>
      </c>
      <c r="W248" s="29">
        <v>211061</v>
      </c>
      <c r="X248" s="27">
        <v>109251</v>
      </c>
      <c r="Y248" s="28">
        <v>376418</v>
      </c>
      <c r="Z248" s="29">
        <v>310869</v>
      </c>
      <c r="AA248" s="27">
        <v>104851</v>
      </c>
      <c r="AB248" s="28">
        <v>104171</v>
      </c>
      <c r="AC248" s="29">
        <v>-76639</v>
      </c>
      <c r="AD248" s="27">
        <v>-6944</v>
      </c>
      <c r="AE248" s="28">
        <v>-1587</v>
      </c>
      <c r="AF248" s="29">
        <v>23169</v>
      </c>
      <c r="AG248" s="27">
        <v>77439.010000000009</v>
      </c>
      <c r="AH248" s="28">
        <v>5.8207660913467407E-11</v>
      </c>
      <c r="AI248" s="29">
        <v>677446.69000000006</v>
      </c>
      <c r="AJ248" s="27">
        <v>0</v>
      </c>
      <c r="AK248" s="28">
        <v>0</v>
      </c>
      <c r="AL248" s="29">
        <v>0</v>
      </c>
      <c r="AM248" s="27">
        <v>262938.93999999994</v>
      </c>
      <c r="AN248" s="28">
        <v>1058545.6999999997</v>
      </c>
      <c r="AO248" s="29">
        <v>1496933.87</v>
      </c>
      <c r="AP248" s="27">
        <v>0</v>
      </c>
      <c r="AQ248" s="28">
        <v>0</v>
      </c>
      <c r="AR248" s="29">
        <v>0</v>
      </c>
      <c r="AS248" s="24">
        <v>4.7277117045572215E-3</v>
      </c>
      <c r="AT248" s="25">
        <v>3.1944235183045688E-18</v>
      </c>
      <c r="AU248" s="26">
        <v>3.4940215809817023E-2</v>
      </c>
      <c r="AV248" s="24">
        <v>0</v>
      </c>
      <c r="AW248" s="25">
        <v>0</v>
      </c>
      <c r="AX248" s="26">
        <v>0</v>
      </c>
    </row>
    <row r="249" spans="1:50" x14ac:dyDescent="0.2">
      <c r="A249" s="22">
        <v>7608</v>
      </c>
      <c r="B249" s="23" t="s">
        <v>265</v>
      </c>
      <c r="C249" s="27">
        <v>0</v>
      </c>
      <c r="D249" s="28">
        <v>0</v>
      </c>
      <c r="E249" s="29">
        <v>0</v>
      </c>
      <c r="F249" s="27">
        <v>1696236</v>
      </c>
      <c r="G249" s="28">
        <v>1999544</v>
      </c>
      <c r="H249" s="29">
        <v>218081</v>
      </c>
      <c r="I249" s="27">
        <v>0</v>
      </c>
      <c r="J249" s="28">
        <v>283528</v>
      </c>
      <c r="K249" s="29">
        <v>179797</v>
      </c>
      <c r="L249" s="27">
        <v>0</v>
      </c>
      <c r="M249" s="28">
        <v>0</v>
      </c>
      <c r="N249" s="29">
        <v>0</v>
      </c>
      <c r="O249" s="27">
        <v>-1696236</v>
      </c>
      <c r="P249" s="28">
        <v>-1716016</v>
      </c>
      <c r="Q249" s="29">
        <v>-38284</v>
      </c>
      <c r="R249" s="27">
        <v>0</v>
      </c>
      <c r="S249" s="28">
        <v>0</v>
      </c>
      <c r="T249" s="29">
        <v>0</v>
      </c>
      <c r="U249" s="27">
        <v>523192</v>
      </c>
      <c r="V249" s="28">
        <v>1660999</v>
      </c>
      <c r="W249" s="29">
        <v>1159810</v>
      </c>
      <c r="X249" s="27">
        <v>372438</v>
      </c>
      <c r="Y249" s="28">
        <v>1468175</v>
      </c>
      <c r="Z249" s="29">
        <v>705665</v>
      </c>
      <c r="AA249" s="27">
        <v>98797</v>
      </c>
      <c r="AB249" s="28">
        <v>128142</v>
      </c>
      <c r="AC249" s="29">
        <v>535025</v>
      </c>
      <c r="AD249" s="27">
        <v>-51957</v>
      </c>
      <c r="AE249" s="28">
        <v>-64682</v>
      </c>
      <c r="AF249" s="29">
        <v>80880</v>
      </c>
      <c r="AG249" s="27">
        <v>256887.18000000002</v>
      </c>
      <c r="AH249" s="28">
        <v>332001.51</v>
      </c>
      <c r="AI249" s="29">
        <v>214724.91000000006</v>
      </c>
      <c r="AJ249" s="27">
        <v>0</v>
      </c>
      <c r="AK249" s="28">
        <v>0</v>
      </c>
      <c r="AL249" s="29">
        <v>0</v>
      </c>
      <c r="AM249" s="27">
        <v>2539701.31</v>
      </c>
      <c r="AN249" s="28">
        <v>2621503.37</v>
      </c>
      <c r="AO249" s="29">
        <v>4439645.1500000004</v>
      </c>
      <c r="AP249" s="27">
        <v>0</v>
      </c>
      <c r="AQ249" s="28">
        <v>0</v>
      </c>
      <c r="AR249" s="29">
        <v>0</v>
      </c>
      <c r="AS249" s="24">
        <v>1.6379277299254577E-2</v>
      </c>
      <c r="AT249" s="25">
        <v>2.2085643611976166E-2</v>
      </c>
      <c r="AU249" s="26">
        <v>1.236084352538486E-2</v>
      </c>
      <c r="AV249" s="24">
        <v>0</v>
      </c>
      <c r="AW249" s="25">
        <v>0</v>
      </c>
      <c r="AX249" s="26">
        <v>0</v>
      </c>
    </row>
    <row r="250" spans="1:50" x14ac:dyDescent="0.2">
      <c r="A250" s="22">
        <v>7609</v>
      </c>
      <c r="B250" s="23" t="s">
        <v>266</v>
      </c>
      <c r="C250" s="27">
        <v>0</v>
      </c>
      <c r="D250" s="28">
        <v>0</v>
      </c>
      <c r="E250" s="29">
        <v>0</v>
      </c>
      <c r="F250" s="27">
        <v>0</v>
      </c>
      <c r="G250" s="28">
        <v>0</v>
      </c>
      <c r="H250" s="29">
        <v>507776</v>
      </c>
      <c r="I250" s="27">
        <v>0</v>
      </c>
      <c r="J250" s="28">
        <v>0</v>
      </c>
      <c r="K250" s="29">
        <v>1169014</v>
      </c>
      <c r="L250" s="27">
        <v>0</v>
      </c>
      <c r="M250" s="28">
        <v>0</v>
      </c>
      <c r="N250" s="29">
        <v>0</v>
      </c>
      <c r="O250" s="27">
        <v>0</v>
      </c>
      <c r="P250" s="28">
        <v>0</v>
      </c>
      <c r="Q250" s="29">
        <v>661238</v>
      </c>
      <c r="R250" s="27">
        <v>0</v>
      </c>
      <c r="S250" s="28">
        <v>0</v>
      </c>
      <c r="T250" s="29">
        <v>0</v>
      </c>
      <c r="U250" s="27">
        <v>456257</v>
      </c>
      <c r="V250" s="28">
        <v>3598667</v>
      </c>
      <c r="W250" s="29">
        <v>1583533</v>
      </c>
      <c r="X250" s="27">
        <v>569791</v>
      </c>
      <c r="Y250" s="28">
        <v>3570575</v>
      </c>
      <c r="Z250" s="29">
        <v>2215799</v>
      </c>
      <c r="AA250" s="27">
        <v>91000</v>
      </c>
      <c r="AB250" s="28">
        <v>43805</v>
      </c>
      <c r="AC250" s="29">
        <v>90962</v>
      </c>
      <c r="AD250" s="27">
        <v>204534</v>
      </c>
      <c r="AE250" s="28">
        <v>15713</v>
      </c>
      <c r="AF250" s="29">
        <v>723228</v>
      </c>
      <c r="AG250" s="27">
        <v>2334.7399999999907</v>
      </c>
      <c r="AH250" s="28">
        <v>69907.709999999963</v>
      </c>
      <c r="AI250" s="29">
        <v>676471.32000000007</v>
      </c>
      <c r="AJ250" s="27">
        <v>0</v>
      </c>
      <c r="AK250" s="28">
        <v>0</v>
      </c>
      <c r="AL250" s="29">
        <v>0</v>
      </c>
      <c r="AM250" s="27">
        <v>353956.63</v>
      </c>
      <c r="AN250" s="28">
        <v>2286360.9700000002</v>
      </c>
      <c r="AO250" s="29">
        <v>5444572.2700000005</v>
      </c>
      <c r="AP250" s="27">
        <v>0</v>
      </c>
      <c r="AQ250" s="28">
        <v>0</v>
      </c>
      <c r="AR250" s="29">
        <v>0</v>
      </c>
      <c r="AS250" s="24">
        <v>9.3636707270486436E-5</v>
      </c>
      <c r="AT250" s="25">
        <v>2.3815805368859995E-3</v>
      </c>
      <c r="AU250" s="26">
        <v>3.0304738827257684E-2</v>
      </c>
      <c r="AV250" s="24">
        <v>0</v>
      </c>
      <c r="AW250" s="25">
        <v>0</v>
      </c>
      <c r="AX250" s="26">
        <v>0</v>
      </c>
    </row>
    <row r="251" spans="1:50" x14ac:dyDescent="0.2">
      <c r="A251" s="22">
        <v>7610</v>
      </c>
      <c r="B251" s="23" t="s">
        <v>267</v>
      </c>
      <c r="C251" s="27">
        <v>0</v>
      </c>
      <c r="D251" s="28">
        <v>0</v>
      </c>
      <c r="E251" s="29">
        <v>0</v>
      </c>
      <c r="F251" s="27">
        <v>226043</v>
      </c>
      <c r="G251" s="28">
        <v>226043</v>
      </c>
      <c r="H251" s="29">
        <v>0</v>
      </c>
      <c r="I251" s="27">
        <v>0</v>
      </c>
      <c r="J251" s="28">
        <v>0</v>
      </c>
      <c r="K251" s="29">
        <v>0</v>
      </c>
      <c r="L251" s="27">
        <v>13539</v>
      </c>
      <c r="M251" s="28">
        <v>13539</v>
      </c>
      <c r="N251" s="29">
        <v>0</v>
      </c>
      <c r="O251" s="27">
        <v>-212504</v>
      </c>
      <c r="P251" s="28">
        <v>-212504</v>
      </c>
      <c r="Q251" s="29">
        <v>0</v>
      </c>
      <c r="R251" s="27">
        <v>0</v>
      </c>
      <c r="S251" s="28">
        <v>0</v>
      </c>
      <c r="T251" s="29">
        <v>0</v>
      </c>
      <c r="U251" s="27">
        <v>697741</v>
      </c>
      <c r="V251" s="28">
        <v>2114096</v>
      </c>
      <c r="W251" s="29">
        <v>3008822</v>
      </c>
      <c r="X251" s="27">
        <v>1130235</v>
      </c>
      <c r="Y251" s="28">
        <v>3379865</v>
      </c>
      <c r="Z251" s="29">
        <v>8824570</v>
      </c>
      <c r="AA251" s="27">
        <v>68085</v>
      </c>
      <c r="AB251" s="28">
        <v>172748</v>
      </c>
      <c r="AC251" s="29">
        <v>70650</v>
      </c>
      <c r="AD251" s="27">
        <v>500579</v>
      </c>
      <c r="AE251" s="28">
        <v>1438517</v>
      </c>
      <c r="AF251" s="29">
        <v>5886398</v>
      </c>
      <c r="AG251" s="27">
        <v>19321.200000000012</v>
      </c>
      <c r="AH251" s="28">
        <v>140604.46999999997</v>
      </c>
      <c r="AI251" s="29">
        <v>208431.29000000004</v>
      </c>
      <c r="AJ251" s="27">
        <v>0</v>
      </c>
      <c r="AK251" s="28">
        <v>0</v>
      </c>
      <c r="AL251" s="29">
        <v>0</v>
      </c>
      <c r="AM251" s="27">
        <v>547698.64</v>
      </c>
      <c r="AN251" s="28">
        <v>3951142.04</v>
      </c>
      <c r="AO251" s="29">
        <v>4960322.09</v>
      </c>
      <c r="AP251" s="27">
        <v>0</v>
      </c>
      <c r="AQ251" s="28">
        <v>125712</v>
      </c>
      <c r="AR251" s="29">
        <v>160515</v>
      </c>
      <c r="AS251" s="24">
        <v>4.2795170603581551E-4</v>
      </c>
      <c r="AT251" s="25">
        <v>3.3228990687316031E-3</v>
      </c>
      <c r="AU251" s="26">
        <v>3.9830080649537981E-3</v>
      </c>
      <c r="AV251" s="24">
        <v>0</v>
      </c>
      <c r="AW251" s="25">
        <v>2.9709459999983459E-3</v>
      </c>
      <c r="AX251" s="26">
        <v>3.0673539445351932E-3</v>
      </c>
    </row>
    <row r="252" spans="1:50" x14ac:dyDescent="0.2">
      <c r="A252" s="22">
        <v>7611</v>
      </c>
      <c r="B252" s="23" t="s">
        <v>268</v>
      </c>
      <c r="C252" s="27">
        <v>2891</v>
      </c>
      <c r="D252" s="28">
        <v>4980</v>
      </c>
      <c r="E252" s="29">
        <v>2917</v>
      </c>
      <c r="F252" s="27">
        <v>0</v>
      </c>
      <c r="G252" s="28">
        <v>0</v>
      </c>
      <c r="H252" s="29">
        <v>0</v>
      </c>
      <c r="I252" s="27">
        <v>0</v>
      </c>
      <c r="J252" s="28">
        <v>0</v>
      </c>
      <c r="K252" s="29">
        <v>0</v>
      </c>
      <c r="L252" s="27">
        <v>0</v>
      </c>
      <c r="M252" s="28">
        <v>0</v>
      </c>
      <c r="N252" s="29">
        <v>0</v>
      </c>
      <c r="O252" s="27">
        <v>2891</v>
      </c>
      <c r="P252" s="28">
        <v>4980</v>
      </c>
      <c r="Q252" s="29">
        <v>2917</v>
      </c>
      <c r="R252" s="27">
        <v>19501</v>
      </c>
      <c r="S252" s="28">
        <v>19501</v>
      </c>
      <c r="T252" s="29">
        <v>0</v>
      </c>
      <c r="U252" s="27">
        <v>3178668</v>
      </c>
      <c r="V252" s="28">
        <v>11188471</v>
      </c>
      <c r="W252" s="29">
        <v>18335162</v>
      </c>
      <c r="X252" s="27">
        <v>4296277</v>
      </c>
      <c r="Y252" s="28">
        <v>14060804</v>
      </c>
      <c r="Z252" s="29">
        <v>21156315</v>
      </c>
      <c r="AA252" s="27">
        <v>-36683</v>
      </c>
      <c r="AB252" s="28">
        <v>-674113</v>
      </c>
      <c r="AC252" s="29">
        <v>425030</v>
      </c>
      <c r="AD252" s="27">
        <v>1100427</v>
      </c>
      <c r="AE252" s="28">
        <v>2217721</v>
      </c>
      <c r="AF252" s="29">
        <v>3246183</v>
      </c>
      <c r="AG252" s="27">
        <v>47635.089999999967</v>
      </c>
      <c r="AH252" s="28">
        <v>465608.48</v>
      </c>
      <c r="AI252" s="29">
        <v>268081.0700000003</v>
      </c>
      <c r="AJ252" s="27">
        <v>448913.68</v>
      </c>
      <c r="AK252" s="28">
        <v>337326.13</v>
      </c>
      <c r="AL252" s="29">
        <v>337326.13</v>
      </c>
      <c r="AM252" s="27">
        <v>23802302.300000001</v>
      </c>
      <c r="AN252" s="28">
        <v>20307138.240000002</v>
      </c>
      <c r="AO252" s="29">
        <v>52476150.499999993</v>
      </c>
      <c r="AP252" s="27">
        <v>0</v>
      </c>
      <c r="AQ252" s="28">
        <v>0</v>
      </c>
      <c r="AR252" s="29">
        <v>0</v>
      </c>
      <c r="AS252" s="24">
        <v>2.8848670829753831E-4</v>
      </c>
      <c r="AT252" s="25">
        <v>2.9658358494280717E-3</v>
      </c>
      <c r="AU252" s="26">
        <v>1.5013284951263066E-3</v>
      </c>
      <c r="AV252" s="24">
        <v>0</v>
      </c>
      <c r="AW252" s="25">
        <v>0</v>
      </c>
      <c r="AX252" s="26">
        <v>0</v>
      </c>
    </row>
    <row r="253" spans="1:50" x14ac:dyDescent="0.2">
      <c r="A253" s="22">
        <v>7701</v>
      </c>
      <c r="B253" s="23" t="s">
        <v>269</v>
      </c>
      <c r="C253" s="27">
        <v>0</v>
      </c>
      <c r="D253" s="28">
        <v>0</v>
      </c>
      <c r="E253" s="29">
        <v>0</v>
      </c>
      <c r="F253" s="27">
        <v>335181</v>
      </c>
      <c r="G253" s="28">
        <v>2306853</v>
      </c>
      <c r="H253" s="29">
        <v>1956735</v>
      </c>
      <c r="I253" s="27">
        <v>326915</v>
      </c>
      <c r="J253" s="28">
        <v>2044104</v>
      </c>
      <c r="K253" s="29">
        <v>1945206</v>
      </c>
      <c r="L253" s="27">
        <v>0</v>
      </c>
      <c r="M253" s="28">
        <v>0</v>
      </c>
      <c r="N253" s="29">
        <v>0</v>
      </c>
      <c r="O253" s="27">
        <v>-8266</v>
      </c>
      <c r="P253" s="28">
        <v>-262749</v>
      </c>
      <c r="Q253" s="29">
        <v>-11529</v>
      </c>
      <c r="R253" s="27">
        <v>0</v>
      </c>
      <c r="S253" s="28">
        <v>0</v>
      </c>
      <c r="T253" s="29">
        <v>0</v>
      </c>
      <c r="U253" s="27">
        <v>299029</v>
      </c>
      <c r="V253" s="28">
        <v>687807</v>
      </c>
      <c r="W253" s="29">
        <v>274117</v>
      </c>
      <c r="X253" s="27">
        <v>261271</v>
      </c>
      <c r="Y253" s="28">
        <v>718097</v>
      </c>
      <c r="Z253" s="29">
        <v>437410</v>
      </c>
      <c r="AA253" s="27">
        <v>46762</v>
      </c>
      <c r="AB253" s="28">
        <v>37357</v>
      </c>
      <c r="AC253" s="29">
        <v>-80036</v>
      </c>
      <c r="AD253" s="27">
        <v>9004</v>
      </c>
      <c r="AE253" s="28">
        <v>67647</v>
      </c>
      <c r="AF253" s="29">
        <v>83257</v>
      </c>
      <c r="AG253" s="27">
        <v>18636.320000000007</v>
      </c>
      <c r="AH253" s="28">
        <v>22281.040000000008</v>
      </c>
      <c r="AI253" s="29">
        <v>643915.08000000031</v>
      </c>
      <c r="AJ253" s="27">
        <v>0</v>
      </c>
      <c r="AK253" s="28">
        <v>0</v>
      </c>
      <c r="AL253" s="29">
        <v>0</v>
      </c>
      <c r="AM253" s="27">
        <v>3530366.2600000002</v>
      </c>
      <c r="AN253" s="28">
        <v>2948763.4400000004</v>
      </c>
      <c r="AO253" s="29">
        <v>2824459.29</v>
      </c>
      <c r="AP253" s="27">
        <v>0</v>
      </c>
      <c r="AQ253" s="28">
        <v>0</v>
      </c>
      <c r="AR253" s="29">
        <v>0</v>
      </c>
      <c r="AS253" s="24">
        <v>8.3956372988388335E-4</v>
      </c>
      <c r="AT253" s="25">
        <v>1.0799283170451752E-3</v>
      </c>
      <c r="AU253" s="26">
        <v>2.5376165753122459E-2</v>
      </c>
      <c r="AV253" s="24">
        <v>0</v>
      </c>
      <c r="AW253" s="25">
        <v>0</v>
      </c>
      <c r="AX253" s="26">
        <v>0</v>
      </c>
    </row>
    <row r="254" spans="1:50" x14ac:dyDescent="0.2">
      <c r="A254" s="22">
        <v>7702</v>
      </c>
      <c r="B254" s="23" t="s">
        <v>270</v>
      </c>
      <c r="C254" s="27">
        <v>0</v>
      </c>
      <c r="D254" s="28">
        <v>0</v>
      </c>
      <c r="E254" s="29">
        <v>0</v>
      </c>
      <c r="F254" s="27">
        <v>1109993</v>
      </c>
      <c r="G254" s="28">
        <v>2117146</v>
      </c>
      <c r="H254" s="29">
        <v>192591</v>
      </c>
      <c r="I254" s="27">
        <v>1170538</v>
      </c>
      <c r="J254" s="28">
        <v>2119871</v>
      </c>
      <c r="K254" s="29">
        <v>189866</v>
      </c>
      <c r="L254" s="27">
        <v>0</v>
      </c>
      <c r="M254" s="28">
        <v>0</v>
      </c>
      <c r="N254" s="29">
        <v>0</v>
      </c>
      <c r="O254" s="27">
        <v>60545</v>
      </c>
      <c r="P254" s="28">
        <v>2725</v>
      </c>
      <c r="Q254" s="29">
        <v>-2725</v>
      </c>
      <c r="R254" s="27">
        <v>0</v>
      </c>
      <c r="S254" s="28">
        <v>0</v>
      </c>
      <c r="T254" s="29">
        <v>0</v>
      </c>
      <c r="U254" s="27">
        <v>603428</v>
      </c>
      <c r="V254" s="28">
        <v>1356006</v>
      </c>
      <c r="W254" s="29">
        <v>652447</v>
      </c>
      <c r="X254" s="27">
        <v>546897</v>
      </c>
      <c r="Y254" s="28">
        <v>1313755</v>
      </c>
      <c r="Z254" s="29">
        <v>533790</v>
      </c>
      <c r="AA254" s="27">
        <v>119142</v>
      </c>
      <c r="AB254" s="28">
        <v>131939</v>
      </c>
      <c r="AC254" s="29">
        <v>-32496</v>
      </c>
      <c r="AD254" s="27">
        <v>62611</v>
      </c>
      <c r="AE254" s="28">
        <v>89688</v>
      </c>
      <c r="AF254" s="29">
        <v>-151153</v>
      </c>
      <c r="AG254" s="27">
        <v>0</v>
      </c>
      <c r="AH254" s="28">
        <v>221734.56999999983</v>
      </c>
      <c r="AI254" s="29">
        <v>0</v>
      </c>
      <c r="AJ254" s="27">
        <v>0</v>
      </c>
      <c r="AK254" s="28">
        <v>0</v>
      </c>
      <c r="AL254" s="29">
        <v>0</v>
      </c>
      <c r="AM254" s="27">
        <v>1672713.85</v>
      </c>
      <c r="AN254" s="28">
        <v>302128</v>
      </c>
      <c r="AO254" s="29">
        <v>139270.16</v>
      </c>
      <c r="AP254" s="27">
        <v>0</v>
      </c>
      <c r="AQ254" s="28">
        <v>0</v>
      </c>
      <c r="AR254" s="29">
        <v>0</v>
      </c>
      <c r="AS254" s="24">
        <v>0</v>
      </c>
      <c r="AT254" s="25">
        <v>1.7035426010553391E-2</v>
      </c>
      <c r="AU254" s="26">
        <v>0</v>
      </c>
      <c r="AV254" s="24">
        <v>0</v>
      </c>
      <c r="AW254" s="25">
        <v>0</v>
      </c>
      <c r="AX254" s="26">
        <v>0</v>
      </c>
    </row>
    <row r="255" spans="1:50" x14ac:dyDescent="0.2">
      <c r="A255" s="22">
        <v>7703</v>
      </c>
      <c r="B255" s="23" t="s">
        <v>271</v>
      </c>
      <c r="C255" s="27">
        <v>0</v>
      </c>
      <c r="D255" s="28">
        <v>0</v>
      </c>
      <c r="E255" s="29">
        <v>0</v>
      </c>
      <c r="F255" s="27">
        <v>0</v>
      </c>
      <c r="G255" s="28">
        <v>0</v>
      </c>
      <c r="H255" s="29">
        <v>0</v>
      </c>
      <c r="I255" s="27">
        <v>0</v>
      </c>
      <c r="J255" s="28">
        <v>213425</v>
      </c>
      <c r="K255" s="29">
        <v>0</v>
      </c>
      <c r="L255" s="27">
        <v>0</v>
      </c>
      <c r="M255" s="28">
        <v>0</v>
      </c>
      <c r="N255" s="29">
        <v>0</v>
      </c>
      <c r="O255" s="27">
        <v>0</v>
      </c>
      <c r="P255" s="28">
        <v>213425</v>
      </c>
      <c r="Q255" s="29">
        <v>0</v>
      </c>
      <c r="R255" s="27">
        <v>0</v>
      </c>
      <c r="S255" s="28">
        <v>0</v>
      </c>
      <c r="T255" s="29">
        <v>0</v>
      </c>
      <c r="U255" s="27">
        <v>840520</v>
      </c>
      <c r="V255" s="28">
        <v>1991881</v>
      </c>
      <c r="W255" s="29">
        <v>1219499</v>
      </c>
      <c r="X255" s="27">
        <v>624941</v>
      </c>
      <c r="Y255" s="28">
        <v>1822192</v>
      </c>
      <c r="Z255" s="29">
        <v>681688</v>
      </c>
      <c r="AA255" s="27">
        <v>0</v>
      </c>
      <c r="AB255" s="28">
        <v>0</v>
      </c>
      <c r="AC255" s="29">
        <v>200000</v>
      </c>
      <c r="AD255" s="27">
        <v>-215579</v>
      </c>
      <c r="AE255" s="28">
        <v>-169689</v>
      </c>
      <c r="AF255" s="29">
        <v>-337811</v>
      </c>
      <c r="AG255" s="27">
        <v>1.1641532182693481E-10</v>
      </c>
      <c r="AH255" s="28">
        <v>89908.010000000009</v>
      </c>
      <c r="AI255" s="29">
        <v>415208.9</v>
      </c>
      <c r="AJ255" s="27">
        <v>0</v>
      </c>
      <c r="AK255" s="28">
        <v>0</v>
      </c>
      <c r="AL255" s="29">
        <v>0</v>
      </c>
      <c r="AM255" s="27">
        <v>1873205</v>
      </c>
      <c r="AN255" s="28">
        <v>1424490.52</v>
      </c>
      <c r="AO255" s="29">
        <v>946558.52</v>
      </c>
      <c r="AP255" s="27">
        <v>0</v>
      </c>
      <c r="AQ255" s="28">
        <v>0</v>
      </c>
      <c r="AR255" s="29">
        <v>0</v>
      </c>
      <c r="AS255" s="24">
        <v>5.4153532516560623E-18</v>
      </c>
      <c r="AT255" s="25">
        <v>4.3313505961700598E-3</v>
      </c>
      <c r="AU255" s="26">
        <v>1.4767957746904682E-2</v>
      </c>
      <c r="AV255" s="24">
        <v>0</v>
      </c>
      <c r="AW255" s="25">
        <v>0</v>
      </c>
      <c r="AX255" s="26">
        <v>0</v>
      </c>
    </row>
    <row r="256" spans="1:50" x14ac:dyDescent="0.2">
      <c r="A256" s="22">
        <v>7704</v>
      </c>
      <c r="B256" s="23" t="s">
        <v>272</v>
      </c>
      <c r="C256" s="27">
        <v>0</v>
      </c>
      <c r="D256" s="28">
        <v>0</v>
      </c>
      <c r="E256" s="29">
        <v>0</v>
      </c>
      <c r="F256" s="27">
        <v>0</v>
      </c>
      <c r="G256" s="28">
        <v>1380985</v>
      </c>
      <c r="H256" s="29">
        <v>144500</v>
      </c>
      <c r="I256" s="27">
        <v>664315</v>
      </c>
      <c r="J256" s="28">
        <v>1404316</v>
      </c>
      <c r="K256" s="29">
        <v>121169</v>
      </c>
      <c r="L256" s="27">
        <v>0</v>
      </c>
      <c r="M256" s="28">
        <v>0</v>
      </c>
      <c r="N256" s="29">
        <v>0</v>
      </c>
      <c r="O256" s="27">
        <v>664315</v>
      </c>
      <c r="P256" s="28">
        <v>23331</v>
      </c>
      <c r="Q256" s="29">
        <v>-23331</v>
      </c>
      <c r="R256" s="27">
        <v>0</v>
      </c>
      <c r="S256" s="28">
        <v>0</v>
      </c>
      <c r="T256" s="29">
        <v>0</v>
      </c>
      <c r="U256" s="27">
        <v>621205</v>
      </c>
      <c r="V256" s="28">
        <v>1646999</v>
      </c>
      <c r="W256" s="29">
        <v>980206</v>
      </c>
      <c r="X256" s="27">
        <v>590523</v>
      </c>
      <c r="Y256" s="28">
        <v>1605160</v>
      </c>
      <c r="Z256" s="29">
        <v>1119607</v>
      </c>
      <c r="AA256" s="27">
        <v>182250</v>
      </c>
      <c r="AB256" s="28">
        <v>181381</v>
      </c>
      <c r="AC256" s="29">
        <v>46634</v>
      </c>
      <c r="AD256" s="27">
        <v>151568</v>
      </c>
      <c r="AE256" s="28">
        <v>139542</v>
      </c>
      <c r="AF256" s="29">
        <v>186035</v>
      </c>
      <c r="AG256" s="27">
        <v>31314.690000000002</v>
      </c>
      <c r="AH256" s="28">
        <v>158318.72000000003</v>
      </c>
      <c r="AI256" s="29">
        <v>80369.250000000029</v>
      </c>
      <c r="AJ256" s="27">
        <v>0</v>
      </c>
      <c r="AK256" s="28">
        <v>0</v>
      </c>
      <c r="AL256" s="29">
        <v>0</v>
      </c>
      <c r="AM256" s="27">
        <v>1762734.2799999998</v>
      </c>
      <c r="AN256" s="28">
        <v>370030.16</v>
      </c>
      <c r="AO256" s="29">
        <v>153062.19999999995</v>
      </c>
      <c r="AP256" s="27">
        <v>0</v>
      </c>
      <c r="AQ256" s="28">
        <v>0</v>
      </c>
      <c r="AR256" s="29">
        <v>0</v>
      </c>
      <c r="AS256" s="24">
        <v>1.3223497477629308E-3</v>
      </c>
      <c r="AT256" s="25">
        <v>6.4669084369941704E-3</v>
      </c>
      <c r="AU256" s="26">
        <v>3.2017695349801675E-3</v>
      </c>
      <c r="AV256" s="24">
        <v>0</v>
      </c>
      <c r="AW256" s="25">
        <v>0</v>
      </c>
      <c r="AX256" s="26">
        <v>0</v>
      </c>
    </row>
    <row r="257" spans="1:50" x14ac:dyDescent="0.2">
      <c r="A257" s="22">
        <v>7705</v>
      </c>
      <c r="B257" s="23" t="s">
        <v>273</v>
      </c>
      <c r="C257" s="27">
        <v>0</v>
      </c>
      <c r="D257" s="28">
        <v>0</v>
      </c>
      <c r="E257" s="29">
        <v>0</v>
      </c>
      <c r="F257" s="27">
        <v>134587</v>
      </c>
      <c r="G257" s="28">
        <v>134587</v>
      </c>
      <c r="H257" s="29">
        <v>38192</v>
      </c>
      <c r="I257" s="27">
        <v>0</v>
      </c>
      <c r="J257" s="28">
        <v>134587</v>
      </c>
      <c r="K257" s="29">
        <v>3754</v>
      </c>
      <c r="L257" s="27">
        <v>134587</v>
      </c>
      <c r="M257" s="28">
        <v>0</v>
      </c>
      <c r="N257" s="29">
        <v>34438</v>
      </c>
      <c r="O257" s="27">
        <v>0</v>
      </c>
      <c r="P257" s="28">
        <v>0</v>
      </c>
      <c r="Q257" s="29">
        <v>0</v>
      </c>
      <c r="R257" s="27">
        <v>0</v>
      </c>
      <c r="S257" s="28">
        <v>0</v>
      </c>
      <c r="T257" s="29">
        <v>0</v>
      </c>
      <c r="U257" s="27">
        <v>270054</v>
      </c>
      <c r="V257" s="28">
        <v>852873</v>
      </c>
      <c r="W257" s="29">
        <v>449173</v>
      </c>
      <c r="X257" s="27">
        <v>239544</v>
      </c>
      <c r="Y257" s="28">
        <v>923233</v>
      </c>
      <c r="Z257" s="29">
        <v>410573</v>
      </c>
      <c r="AA257" s="27">
        <v>76370</v>
      </c>
      <c r="AB257" s="28">
        <v>-65334</v>
      </c>
      <c r="AC257" s="29">
        <v>124053</v>
      </c>
      <c r="AD257" s="27">
        <v>45860</v>
      </c>
      <c r="AE257" s="28">
        <v>5026</v>
      </c>
      <c r="AF257" s="29">
        <v>85453</v>
      </c>
      <c r="AG257" s="27">
        <v>13248</v>
      </c>
      <c r="AH257" s="28">
        <v>16357.559999999998</v>
      </c>
      <c r="AI257" s="29">
        <v>295447.90000000002</v>
      </c>
      <c r="AJ257" s="27">
        <v>0</v>
      </c>
      <c r="AK257" s="28">
        <v>0</v>
      </c>
      <c r="AL257" s="29">
        <v>0</v>
      </c>
      <c r="AM257" s="27">
        <v>211822.4</v>
      </c>
      <c r="AN257" s="28">
        <v>235850.38</v>
      </c>
      <c r="AO257" s="29">
        <v>3833196.2800000003</v>
      </c>
      <c r="AP257" s="27">
        <v>0</v>
      </c>
      <c r="AQ257" s="28">
        <v>0</v>
      </c>
      <c r="AR257" s="29">
        <v>0</v>
      </c>
      <c r="AS257" s="24">
        <v>8.4235681364801154E-4</v>
      </c>
      <c r="AT257" s="25">
        <v>1.0174471565418579E-3</v>
      </c>
      <c r="AU257" s="26">
        <v>1.7309564292115814E-2</v>
      </c>
      <c r="AV257" s="24">
        <v>0</v>
      </c>
      <c r="AW257" s="25">
        <v>0</v>
      </c>
      <c r="AX257" s="26">
        <v>0</v>
      </c>
    </row>
    <row r="258" spans="1:50" x14ac:dyDescent="0.2">
      <c r="A258" s="22">
        <v>7706</v>
      </c>
      <c r="B258" s="23" t="s">
        <v>274</v>
      </c>
      <c r="C258" s="27">
        <v>0</v>
      </c>
      <c r="D258" s="28">
        <v>0</v>
      </c>
      <c r="E258" s="29">
        <v>0</v>
      </c>
      <c r="F258" s="27">
        <v>1057703</v>
      </c>
      <c r="G258" s="28">
        <v>1991904</v>
      </c>
      <c r="H258" s="29">
        <v>173014</v>
      </c>
      <c r="I258" s="27">
        <v>9780</v>
      </c>
      <c r="J258" s="28">
        <v>949879</v>
      </c>
      <c r="K258" s="29">
        <v>177453</v>
      </c>
      <c r="L258" s="27">
        <v>0</v>
      </c>
      <c r="M258" s="28">
        <v>0</v>
      </c>
      <c r="N258" s="29">
        <v>-4439</v>
      </c>
      <c r="O258" s="27">
        <v>-1047923</v>
      </c>
      <c r="P258" s="28">
        <v>-1042025</v>
      </c>
      <c r="Q258" s="29">
        <v>0</v>
      </c>
      <c r="R258" s="27">
        <v>0</v>
      </c>
      <c r="S258" s="28">
        <v>0</v>
      </c>
      <c r="T258" s="29">
        <v>0</v>
      </c>
      <c r="U258" s="27">
        <v>113541</v>
      </c>
      <c r="V258" s="28">
        <v>506062</v>
      </c>
      <c r="W258" s="29">
        <v>555598</v>
      </c>
      <c r="X258" s="27">
        <v>17390</v>
      </c>
      <c r="Y258" s="28">
        <v>138534</v>
      </c>
      <c r="Z258" s="29">
        <v>647569</v>
      </c>
      <c r="AA258" s="27">
        <v>84920</v>
      </c>
      <c r="AB258" s="28">
        <v>365432</v>
      </c>
      <c r="AC258" s="29">
        <v>-55959</v>
      </c>
      <c r="AD258" s="27">
        <v>-11231</v>
      </c>
      <c r="AE258" s="28">
        <v>-2096</v>
      </c>
      <c r="AF258" s="29">
        <v>36012</v>
      </c>
      <c r="AG258" s="27">
        <v>87762.15</v>
      </c>
      <c r="AH258" s="28">
        <v>260776.14000000013</v>
      </c>
      <c r="AI258" s="29">
        <v>87762.150000000023</v>
      </c>
      <c r="AJ258" s="27">
        <v>0</v>
      </c>
      <c r="AK258" s="28">
        <v>0</v>
      </c>
      <c r="AL258" s="29">
        <v>0</v>
      </c>
      <c r="AM258" s="27">
        <v>1112653.92</v>
      </c>
      <c r="AN258" s="28">
        <v>218418.47999999989</v>
      </c>
      <c r="AO258" s="29">
        <v>263910</v>
      </c>
      <c r="AP258" s="27">
        <v>0</v>
      </c>
      <c r="AQ258" s="28">
        <v>0</v>
      </c>
      <c r="AR258" s="29">
        <v>0</v>
      </c>
      <c r="AS258" s="24">
        <v>6.1534502193795696E-3</v>
      </c>
      <c r="AT258" s="25">
        <v>1.8430129460183152E-2</v>
      </c>
      <c r="AU258" s="26">
        <v>5.344640804297582E-3</v>
      </c>
      <c r="AV258" s="24">
        <v>0</v>
      </c>
      <c r="AW258" s="25">
        <v>0</v>
      </c>
      <c r="AX258" s="26">
        <v>0</v>
      </c>
    </row>
    <row r="259" spans="1:50" x14ac:dyDescent="0.2">
      <c r="A259" s="22">
        <v>7707</v>
      </c>
      <c r="B259" s="23" t="s">
        <v>275</v>
      </c>
      <c r="C259" s="27">
        <v>0</v>
      </c>
      <c r="D259" s="28">
        <v>0</v>
      </c>
      <c r="E259" s="29">
        <v>0</v>
      </c>
      <c r="F259" s="27">
        <v>339885</v>
      </c>
      <c r="G259" s="28">
        <v>1670786</v>
      </c>
      <c r="H259" s="29">
        <v>135966</v>
      </c>
      <c r="I259" s="27">
        <v>532361</v>
      </c>
      <c r="J259" s="28">
        <v>2209974</v>
      </c>
      <c r="K259" s="29">
        <v>33521</v>
      </c>
      <c r="L259" s="27">
        <v>-154278</v>
      </c>
      <c r="M259" s="28">
        <v>-438886</v>
      </c>
      <c r="N259" s="29">
        <v>102445</v>
      </c>
      <c r="O259" s="27">
        <v>38198</v>
      </c>
      <c r="P259" s="28">
        <v>100302</v>
      </c>
      <c r="Q259" s="29">
        <v>0</v>
      </c>
      <c r="R259" s="27">
        <v>3095</v>
      </c>
      <c r="S259" s="28">
        <v>3095</v>
      </c>
      <c r="T259" s="29">
        <v>0</v>
      </c>
      <c r="U259" s="27">
        <v>696921</v>
      </c>
      <c r="V259" s="28">
        <v>1567748</v>
      </c>
      <c r="W259" s="29">
        <v>2737055</v>
      </c>
      <c r="X259" s="27">
        <v>899503</v>
      </c>
      <c r="Y259" s="28">
        <v>1764380</v>
      </c>
      <c r="Z259" s="29">
        <v>2332095</v>
      </c>
      <c r="AA259" s="27">
        <v>-176433</v>
      </c>
      <c r="AB259" s="28">
        <v>-148072</v>
      </c>
      <c r="AC259" s="29">
        <v>394301</v>
      </c>
      <c r="AD259" s="27">
        <v>29244</v>
      </c>
      <c r="AE259" s="28">
        <v>51655</v>
      </c>
      <c r="AF259" s="29">
        <v>-10659</v>
      </c>
      <c r="AG259" s="27">
        <v>2.0000000018626451E-2</v>
      </c>
      <c r="AH259" s="28">
        <v>34948.160000000033</v>
      </c>
      <c r="AI259" s="29">
        <v>177514.65999999992</v>
      </c>
      <c r="AJ259" s="27">
        <v>0</v>
      </c>
      <c r="AK259" s="28">
        <v>0</v>
      </c>
      <c r="AL259" s="29">
        <v>0</v>
      </c>
      <c r="AM259" s="27">
        <v>665137.76</v>
      </c>
      <c r="AN259" s="28">
        <v>1294045.1899999995</v>
      </c>
      <c r="AO259" s="29">
        <v>3837246.4399999995</v>
      </c>
      <c r="AP259" s="27">
        <v>0</v>
      </c>
      <c r="AQ259" s="28">
        <v>0</v>
      </c>
      <c r="AR259" s="29">
        <v>0</v>
      </c>
      <c r="AS259" s="24">
        <v>5.6375585477723754E-10</v>
      </c>
      <c r="AT259" s="25">
        <v>9.6285638961309049E-4</v>
      </c>
      <c r="AU259" s="26">
        <v>4.5419707403542885E-3</v>
      </c>
      <c r="AV259" s="24">
        <v>0</v>
      </c>
      <c r="AW259" s="25">
        <v>0</v>
      </c>
      <c r="AX259" s="26">
        <v>0</v>
      </c>
    </row>
    <row r="260" spans="1:50" x14ac:dyDescent="0.2">
      <c r="A260" s="22">
        <v>7708</v>
      </c>
      <c r="B260" s="23" t="s">
        <v>276</v>
      </c>
      <c r="C260" s="27">
        <v>0</v>
      </c>
      <c r="D260" s="28">
        <v>0</v>
      </c>
      <c r="E260" s="29">
        <v>0</v>
      </c>
      <c r="F260" s="27">
        <v>0</v>
      </c>
      <c r="G260" s="28">
        <v>0</v>
      </c>
      <c r="H260" s="29">
        <v>0</v>
      </c>
      <c r="I260" s="27">
        <v>0</v>
      </c>
      <c r="J260" s="28">
        <v>0</v>
      </c>
      <c r="K260" s="29">
        <v>0</v>
      </c>
      <c r="L260" s="27">
        <v>0</v>
      </c>
      <c r="M260" s="28">
        <v>0</v>
      </c>
      <c r="N260" s="29">
        <v>0</v>
      </c>
      <c r="O260" s="27">
        <v>0</v>
      </c>
      <c r="P260" s="28">
        <v>0</v>
      </c>
      <c r="Q260" s="29">
        <v>0</v>
      </c>
      <c r="R260" s="27">
        <v>8741</v>
      </c>
      <c r="S260" s="28">
        <v>8741</v>
      </c>
      <c r="T260" s="29">
        <v>0</v>
      </c>
      <c r="U260" s="27">
        <v>397039</v>
      </c>
      <c r="V260" s="28">
        <v>924031</v>
      </c>
      <c r="W260" s="29">
        <v>631889</v>
      </c>
      <c r="X260" s="27">
        <v>683969</v>
      </c>
      <c r="Y260" s="28">
        <v>1139415</v>
      </c>
      <c r="Z260" s="29">
        <v>577732</v>
      </c>
      <c r="AA260" s="27">
        <v>-199346</v>
      </c>
      <c r="AB260" s="28">
        <v>-127741</v>
      </c>
      <c r="AC260" s="29">
        <v>53800</v>
      </c>
      <c r="AD260" s="27">
        <v>96325</v>
      </c>
      <c r="AE260" s="28">
        <v>96384</v>
      </c>
      <c r="AF260" s="29">
        <v>-357</v>
      </c>
      <c r="AG260" s="27">
        <v>1.4551915228366852E-11</v>
      </c>
      <c r="AH260" s="28">
        <v>0</v>
      </c>
      <c r="AI260" s="29">
        <v>0</v>
      </c>
      <c r="AJ260" s="27">
        <v>0</v>
      </c>
      <c r="AK260" s="28">
        <v>0</v>
      </c>
      <c r="AL260" s="29">
        <v>0</v>
      </c>
      <c r="AM260" s="27">
        <v>6017.450000000008</v>
      </c>
      <c r="AN260" s="28">
        <v>1053440.77</v>
      </c>
      <c r="AO260" s="29">
        <v>8265023.7599999998</v>
      </c>
      <c r="AP260" s="27">
        <v>0</v>
      </c>
      <c r="AQ260" s="28">
        <v>0</v>
      </c>
      <c r="AR260" s="29">
        <v>0</v>
      </c>
      <c r="AS260" s="24">
        <v>8.1066067493837575E-19</v>
      </c>
      <c r="AT260" s="25">
        <v>0</v>
      </c>
      <c r="AU260" s="26">
        <v>0</v>
      </c>
      <c r="AV260" s="24">
        <v>0</v>
      </c>
      <c r="AW260" s="25">
        <v>0</v>
      </c>
      <c r="AX260" s="26">
        <v>0</v>
      </c>
    </row>
    <row r="261" spans="1:50" x14ac:dyDescent="0.2">
      <c r="A261" s="22">
        <v>7709</v>
      </c>
      <c r="B261" s="23" t="s">
        <v>277</v>
      </c>
      <c r="C261" s="27">
        <v>0</v>
      </c>
      <c r="D261" s="28">
        <v>0</v>
      </c>
      <c r="E261" s="29">
        <v>0</v>
      </c>
      <c r="F261" s="27">
        <v>1611860</v>
      </c>
      <c r="G261" s="28">
        <v>1684729</v>
      </c>
      <c r="H261" s="29">
        <v>1695504</v>
      </c>
      <c r="I261" s="27">
        <v>1708326</v>
      </c>
      <c r="J261" s="28">
        <v>1693251</v>
      </c>
      <c r="K261" s="29">
        <v>1687221</v>
      </c>
      <c r="L261" s="27">
        <v>0</v>
      </c>
      <c r="M261" s="28">
        <v>0</v>
      </c>
      <c r="N261" s="29">
        <v>0</v>
      </c>
      <c r="O261" s="27">
        <v>96466</v>
      </c>
      <c r="P261" s="28">
        <v>8522</v>
      </c>
      <c r="Q261" s="29">
        <v>-8283</v>
      </c>
      <c r="R261" s="27">
        <v>0</v>
      </c>
      <c r="S261" s="28">
        <v>0</v>
      </c>
      <c r="T261" s="29">
        <v>0</v>
      </c>
      <c r="U261" s="27">
        <v>423797</v>
      </c>
      <c r="V261" s="28">
        <v>963016</v>
      </c>
      <c r="W261" s="29">
        <v>419950</v>
      </c>
      <c r="X261" s="27">
        <v>450127</v>
      </c>
      <c r="Y261" s="28">
        <v>1035487</v>
      </c>
      <c r="Z261" s="29">
        <v>243931</v>
      </c>
      <c r="AA261" s="27">
        <v>22771</v>
      </c>
      <c r="AB261" s="28">
        <v>14504</v>
      </c>
      <c r="AC261" s="29">
        <v>58825</v>
      </c>
      <c r="AD261" s="27">
        <v>49101</v>
      </c>
      <c r="AE261" s="28">
        <v>86975</v>
      </c>
      <c r="AF261" s="29">
        <v>-117194</v>
      </c>
      <c r="AG261" s="27">
        <v>0</v>
      </c>
      <c r="AH261" s="28">
        <v>1670710.75</v>
      </c>
      <c r="AI261" s="29">
        <v>0</v>
      </c>
      <c r="AJ261" s="27">
        <v>0</v>
      </c>
      <c r="AK261" s="28">
        <v>0</v>
      </c>
      <c r="AL261" s="29">
        <v>0</v>
      </c>
      <c r="AM261" s="27">
        <v>452330.61</v>
      </c>
      <c r="AN261" s="28">
        <v>1956723.98</v>
      </c>
      <c r="AO261" s="29">
        <v>23708.140000000014</v>
      </c>
      <c r="AP261" s="27">
        <v>0</v>
      </c>
      <c r="AQ261" s="28">
        <v>0</v>
      </c>
      <c r="AR261" s="29">
        <v>0</v>
      </c>
      <c r="AS261" s="24">
        <v>0</v>
      </c>
      <c r="AT261" s="25">
        <v>0.14582188129353049</v>
      </c>
      <c r="AU261" s="26">
        <v>0</v>
      </c>
      <c r="AV261" s="24">
        <v>0</v>
      </c>
      <c r="AW261" s="25">
        <v>0</v>
      </c>
      <c r="AX261" s="26">
        <v>0</v>
      </c>
    </row>
    <row r="262" spans="1:50" x14ac:dyDescent="0.2">
      <c r="A262" s="22">
        <v>7710</v>
      </c>
      <c r="B262" s="23" t="s">
        <v>278</v>
      </c>
      <c r="C262" s="27">
        <v>0</v>
      </c>
      <c r="D262" s="28">
        <v>0</v>
      </c>
      <c r="E262" s="29">
        <v>0</v>
      </c>
      <c r="F262" s="27">
        <v>0</v>
      </c>
      <c r="G262" s="28">
        <v>0</v>
      </c>
      <c r="H262" s="29">
        <v>0</v>
      </c>
      <c r="I262" s="27">
        <v>0</v>
      </c>
      <c r="J262" s="28">
        <v>0</v>
      </c>
      <c r="K262" s="29">
        <v>0</v>
      </c>
      <c r="L262" s="27">
        <v>0</v>
      </c>
      <c r="M262" s="28">
        <v>0</v>
      </c>
      <c r="N262" s="29">
        <v>0</v>
      </c>
      <c r="O262" s="27">
        <v>0</v>
      </c>
      <c r="P262" s="28">
        <v>0</v>
      </c>
      <c r="Q262" s="29">
        <v>0</v>
      </c>
      <c r="R262" s="27">
        <v>6747</v>
      </c>
      <c r="S262" s="28">
        <v>6747</v>
      </c>
      <c r="T262" s="29">
        <v>0</v>
      </c>
      <c r="U262" s="27">
        <v>1613055</v>
      </c>
      <c r="V262" s="28">
        <v>5748421</v>
      </c>
      <c r="W262" s="29">
        <v>3516930</v>
      </c>
      <c r="X262" s="27">
        <v>5418991</v>
      </c>
      <c r="Y262" s="28">
        <v>10740807</v>
      </c>
      <c r="Z262" s="29">
        <v>2455822</v>
      </c>
      <c r="AA262" s="27">
        <v>-1471994</v>
      </c>
      <c r="AB262" s="28">
        <v>-2634487</v>
      </c>
      <c r="AC262" s="29">
        <v>493894</v>
      </c>
      <c r="AD262" s="27">
        <v>2340689</v>
      </c>
      <c r="AE262" s="28">
        <v>2364646</v>
      </c>
      <c r="AF262" s="29">
        <v>-567214</v>
      </c>
      <c r="AG262" s="27">
        <v>48905.319999999949</v>
      </c>
      <c r="AH262" s="28">
        <v>84240.300000000047</v>
      </c>
      <c r="AI262" s="29">
        <v>86065.719999999972</v>
      </c>
      <c r="AJ262" s="27">
        <v>3961648.69</v>
      </c>
      <c r="AK262" s="28">
        <v>-2.4010660126805305E-10</v>
      </c>
      <c r="AL262" s="29">
        <v>0</v>
      </c>
      <c r="AM262" s="27">
        <v>1016030.07</v>
      </c>
      <c r="AN262" s="28">
        <v>8424928.6899999995</v>
      </c>
      <c r="AO262" s="29">
        <v>35914684.699999996</v>
      </c>
      <c r="AP262" s="27">
        <v>0</v>
      </c>
      <c r="AQ262" s="28">
        <v>0</v>
      </c>
      <c r="AR262" s="29">
        <v>0</v>
      </c>
      <c r="AS262" s="24">
        <v>2.7461524959470973E-4</v>
      </c>
      <c r="AT262" s="25">
        <v>5.1471533770845539E-4</v>
      </c>
      <c r="AU262" s="26">
        <v>4.253810462239993E-4</v>
      </c>
      <c r="AV262" s="24">
        <v>0</v>
      </c>
      <c r="AW262" s="25">
        <v>0</v>
      </c>
      <c r="AX262" s="26">
        <v>0</v>
      </c>
    </row>
    <row r="263" spans="1:50" x14ac:dyDescent="0.2">
      <c r="A263" s="22">
        <v>7801</v>
      </c>
      <c r="B263" s="23" t="s">
        <v>279</v>
      </c>
      <c r="C263" s="27">
        <v>0</v>
      </c>
      <c r="D263" s="28">
        <v>0</v>
      </c>
      <c r="E263" s="29">
        <v>0</v>
      </c>
      <c r="F263" s="27">
        <v>205942</v>
      </c>
      <c r="G263" s="28">
        <v>405074</v>
      </c>
      <c r="H263" s="29">
        <v>0</v>
      </c>
      <c r="I263" s="27">
        <v>160083</v>
      </c>
      <c r="J263" s="28">
        <v>303716</v>
      </c>
      <c r="K263" s="29">
        <v>31639</v>
      </c>
      <c r="L263" s="27">
        <v>0</v>
      </c>
      <c r="M263" s="28">
        <v>32337</v>
      </c>
      <c r="N263" s="29">
        <v>-27140</v>
      </c>
      <c r="O263" s="27">
        <v>-45859</v>
      </c>
      <c r="P263" s="28">
        <v>-69021</v>
      </c>
      <c r="Q263" s="29">
        <v>4499</v>
      </c>
      <c r="R263" s="27">
        <v>0</v>
      </c>
      <c r="S263" s="28">
        <v>0</v>
      </c>
      <c r="T263" s="29">
        <v>0</v>
      </c>
      <c r="U263" s="27">
        <v>243644</v>
      </c>
      <c r="V263" s="28">
        <v>1161200</v>
      </c>
      <c r="W263" s="29">
        <v>3169012</v>
      </c>
      <c r="X263" s="27">
        <v>239376</v>
      </c>
      <c r="Y263" s="28">
        <v>1672407</v>
      </c>
      <c r="Z263" s="29">
        <v>2639876</v>
      </c>
      <c r="AA263" s="27">
        <v>27179</v>
      </c>
      <c r="AB263" s="28">
        <v>30476</v>
      </c>
      <c r="AC263" s="29">
        <v>463305</v>
      </c>
      <c r="AD263" s="27">
        <v>22911</v>
      </c>
      <c r="AE263" s="28">
        <v>541683</v>
      </c>
      <c r="AF263" s="29">
        <v>-65831</v>
      </c>
      <c r="AG263" s="27">
        <v>25530.119999999995</v>
      </c>
      <c r="AH263" s="28">
        <v>219.43999999997322</v>
      </c>
      <c r="AI263" s="29">
        <v>23040.61</v>
      </c>
      <c r="AJ263" s="27">
        <v>0</v>
      </c>
      <c r="AK263" s="28">
        <v>0</v>
      </c>
      <c r="AL263" s="29">
        <v>0</v>
      </c>
      <c r="AM263" s="27">
        <v>0</v>
      </c>
      <c r="AN263" s="28">
        <v>2691018.6999999997</v>
      </c>
      <c r="AO263" s="29">
        <v>2824239.58</v>
      </c>
      <c r="AP263" s="27">
        <v>0</v>
      </c>
      <c r="AQ263" s="28">
        <v>0</v>
      </c>
      <c r="AR263" s="29">
        <v>0</v>
      </c>
      <c r="AS263" s="24">
        <v>1.3997204519743528E-3</v>
      </c>
      <c r="AT263" s="25">
        <v>1.0954476124542232E-5</v>
      </c>
      <c r="AU263" s="26">
        <v>1.3483694788028646E-3</v>
      </c>
      <c r="AV263" s="24">
        <v>0</v>
      </c>
      <c r="AW263" s="25">
        <v>0</v>
      </c>
      <c r="AX263" s="26">
        <v>0</v>
      </c>
    </row>
    <row r="264" spans="1:50" x14ac:dyDescent="0.2">
      <c r="A264" s="22">
        <v>7802</v>
      </c>
      <c r="B264" s="23" t="s">
        <v>280</v>
      </c>
      <c r="C264" s="27">
        <v>8566</v>
      </c>
      <c r="D264" s="28">
        <v>20236</v>
      </c>
      <c r="E264" s="29">
        <v>10376</v>
      </c>
      <c r="F264" s="27">
        <v>0</v>
      </c>
      <c r="G264" s="28">
        <v>54857</v>
      </c>
      <c r="H264" s="29">
        <v>20880</v>
      </c>
      <c r="I264" s="27">
        <v>388524</v>
      </c>
      <c r="J264" s="28">
        <v>392834</v>
      </c>
      <c r="K264" s="29">
        <v>0</v>
      </c>
      <c r="L264" s="27">
        <v>-384214</v>
      </c>
      <c r="M264" s="28">
        <v>-372694</v>
      </c>
      <c r="N264" s="29">
        <v>20880</v>
      </c>
      <c r="O264" s="27">
        <v>12876</v>
      </c>
      <c r="P264" s="28">
        <v>-14481</v>
      </c>
      <c r="Q264" s="29">
        <v>10376</v>
      </c>
      <c r="R264" s="27">
        <v>0</v>
      </c>
      <c r="S264" s="28">
        <v>0</v>
      </c>
      <c r="T264" s="29">
        <v>0</v>
      </c>
      <c r="U264" s="27">
        <v>222773</v>
      </c>
      <c r="V264" s="28">
        <v>1274869</v>
      </c>
      <c r="W264" s="29">
        <v>1202928</v>
      </c>
      <c r="X264" s="27">
        <v>852577</v>
      </c>
      <c r="Y264" s="28">
        <v>1430494</v>
      </c>
      <c r="Z264" s="29">
        <v>1754147</v>
      </c>
      <c r="AA264" s="27">
        <v>-331381</v>
      </c>
      <c r="AB264" s="28">
        <v>-136005</v>
      </c>
      <c r="AC264" s="29">
        <v>60785</v>
      </c>
      <c r="AD264" s="27">
        <v>298423</v>
      </c>
      <c r="AE264" s="28">
        <v>19620</v>
      </c>
      <c r="AF264" s="29">
        <v>612004</v>
      </c>
      <c r="AG264" s="27">
        <v>0</v>
      </c>
      <c r="AH264" s="28">
        <v>7032</v>
      </c>
      <c r="AI264" s="29">
        <v>15756</v>
      </c>
      <c r="AJ264" s="27">
        <v>0</v>
      </c>
      <c r="AK264" s="28">
        <v>0</v>
      </c>
      <c r="AL264" s="29">
        <v>0</v>
      </c>
      <c r="AM264" s="27">
        <v>22208.739999999998</v>
      </c>
      <c r="AN264" s="28">
        <v>532859.34</v>
      </c>
      <c r="AO264" s="29">
        <v>1846436.0599999998</v>
      </c>
      <c r="AP264" s="27">
        <v>0</v>
      </c>
      <c r="AQ264" s="28">
        <v>0</v>
      </c>
      <c r="AR264" s="29">
        <v>0</v>
      </c>
      <c r="AS264" s="24">
        <v>0</v>
      </c>
      <c r="AT264" s="25">
        <v>2.7179600457554197E-4</v>
      </c>
      <c r="AU264" s="26">
        <v>4.7281674333033856E-4</v>
      </c>
      <c r="AV264" s="24">
        <v>0</v>
      </c>
      <c r="AW264" s="25">
        <v>0</v>
      </c>
      <c r="AX264" s="26">
        <v>0</v>
      </c>
    </row>
    <row r="265" spans="1:50" x14ac:dyDescent="0.2">
      <c r="A265" s="22">
        <v>7803</v>
      </c>
      <c r="B265" s="23" t="s">
        <v>281</v>
      </c>
      <c r="C265" s="27">
        <v>0</v>
      </c>
      <c r="D265" s="28">
        <v>0</v>
      </c>
      <c r="E265" s="29">
        <v>0</v>
      </c>
      <c r="F265" s="27">
        <v>0</v>
      </c>
      <c r="G265" s="28">
        <v>0</v>
      </c>
      <c r="H265" s="29">
        <v>1709123</v>
      </c>
      <c r="I265" s="27">
        <v>0</v>
      </c>
      <c r="J265" s="28">
        <v>0</v>
      </c>
      <c r="K265" s="29">
        <v>1747697</v>
      </c>
      <c r="L265" s="27">
        <v>0</v>
      </c>
      <c r="M265" s="28">
        <v>0</v>
      </c>
      <c r="N265" s="29">
        <v>20310</v>
      </c>
      <c r="O265" s="27">
        <v>0</v>
      </c>
      <c r="P265" s="28">
        <v>0</v>
      </c>
      <c r="Q265" s="29">
        <v>58884</v>
      </c>
      <c r="R265" s="27">
        <v>0</v>
      </c>
      <c r="S265" s="28">
        <v>0</v>
      </c>
      <c r="T265" s="29">
        <v>0</v>
      </c>
      <c r="U265" s="27">
        <v>347770</v>
      </c>
      <c r="V265" s="28">
        <v>707948</v>
      </c>
      <c r="W265" s="29">
        <v>312864</v>
      </c>
      <c r="X265" s="27">
        <v>313794</v>
      </c>
      <c r="Y265" s="28">
        <v>702035</v>
      </c>
      <c r="Z265" s="29">
        <v>319048</v>
      </c>
      <c r="AA265" s="27">
        <v>9806</v>
      </c>
      <c r="AB265" s="28">
        <v>-12077</v>
      </c>
      <c r="AC265" s="29">
        <v>-4753</v>
      </c>
      <c r="AD265" s="27">
        <v>-24170</v>
      </c>
      <c r="AE265" s="28">
        <v>-17990</v>
      </c>
      <c r="AF265" s="29">
        <v>1431</v>
      </c>
      <c r="AG265" s="27">
        <v>7.2759576141834259E-12</v>
      </c>
      <c r="AH265" s="28">
        <v>596.92999999999302</v>
      </c>
      <c r="AI265" s="29">
        <v>0</v>
      </c>
      <c r="AJ265" s="27">
        <v>0</v>
      </c>
      <c r="AK265" s="28">
        <v>0</v>
      </c>
      <c r="AL265" s="29">
        <v>0</v>
      </c>
      <c r="AM265" s="27">
        <v>4784.7500000000291</v>
      </c>
      <c r="AN265" s="28">
        <v>3482998.48</v>
      </c>
      <c r="AO265" s="29">
        <v>2228034.5499999998</v>
      </c>
      <c r="AP265" s="27">
        <v>0</v>
      </c>
      <c r="AQ265" s="28">
        <v>0</v>
      </c>
      <c r="AR265" s="29">
        <v>0</v>
      </c>
      <c r="AS265" s="24">
        <v>2.6508597416269E-19</v>
      </c>
      <c r="AT265" s="25">
        <v>2.8698089968629503E-5</v>
      </c>
      <c r="AU265" s="26">
        <v>0</v>
      </c>
      <c r="AV265" s="24">
        <v>0</v>
      </c>
      <c r="AW265" s="25">
        <v>0</v>
      </c>
      <c r="AX265" s="26">
        <v>0</v>
      </c>
    </row>
    <row r="266" spans="1:50" x14ac:dyDescent="0.2">
      <c r="A266" s="22">
        <v>7804</v>
      </c>
      <c r="B266" s="23" t="s">
        <v>282</v>
      </c>
      <c r="C266" s="27">
        <v>0</v>
      </c>
      <c r="D266" s="28">
        <v>5003</v>
      </c>
      <c r="E266" s="29">
        <v>0</v>
      </c>
      <c r="F266" s="27">
        <v>277979</v>
      </c>
      <c r="G266" s="28">
        <v>950216</v>
      </c>
      <c r="H266" s="29">
        <v>575383</v>
      </c>
      <c r="I266" s="27">
        <v>260232</v>
      </c>
      <c r="J266" s="28">
        <v>1212907</v>
      </c>
      <c r="K266" s="29">
        <v>309693</v>
      </c>
      <c r="L266" s="27">
        <v>1000</v>
      </c>
      <c r="M266" s="28">
        <v>2886</v>
      </c>
      <c r="N266" s="29">
        <v>-17617</v>
      </c>
      <c r="O266" s="27">
        <v>-16747</v>
      </c>
      <c r="P266" s="28">
        <v>270580</v>
      </c>
      <c r="Q266" s="29">
        <v>-283307</v>
      </c>
      <c r="R266" s="27">
        <v>10371</v>
      </c>
      <c r="S266" s="28">
        <v>10371</v>
      </c>
      <c r="T266" s="29">
        <v>22201</v>
      </c>
      <c r="U266" s="27">
        <v>1010299</v>
      </c>
      <c r="V266" s="28">
        <v>2553451</v>
      </c>
      <c r="W266" s="29">
        <v>3044302</v>
      </c>
      <c r="X266" s="27">
        <v>606346</v>
      </c>
      <c r="Y266" s="28">
        <v>2115070</v>
      </c>
      <c r="Z266" s="29">
        <v>2812723</v>
      </c>
      <c r="AA266" s="27">
        <v>97538</v>
      </c>
      <c r="AB266" s="28">
        <v>326627</v>
      </c>
      <c r="AC266" s="29">
        <v>296008</v>
      </c>
      <c r="AD266" s="27">
        <v>-296044</v>
      </c>
      <c r="AE266" s="28">
        <v>-101383</v>
      </c>
      <c r="AF266" s="29">
        <v>86630</v>
      </c>
      <c r="AG266" s="27">
        <v>306326.05</v>
      </c>
      <c r="AH266" s="28">
        <v>94276.920000000042</v>
      </c>
      <c r="AI266" s="29">
        <v>24427.399999999907</v>
      </c>
      <c r="AJ266" s="27">
        <v>0</v>
      </c>
      <c r="AK266" s="28">
        <v>0</v>
      </c>
      <c r="AL266" s="29">
        <v>0</v>
      </c>
      <c r="AM266" s="27">
        <v>2166953.4699999997</v>
      </c>
      <c r="AN266" s="28">
        <v>4817390.04</v>
      </c>
      <c r="AO266" s="29">
        <v>2745427.8899999997</v>
      </c>
      <c r="AP266" s="27">
        <v>0</v>
      </c>
      <c r="AQ266" s="28">
        <v>0</v>
      </c>
      <c r="AR266" s="29">
        <v>0</v>
      </c>
      <c r="AS266" s="24">
        <v>7.6026128327991559E-3</v>
      </c>
      <c r="AT266" s="25">
        <v>2.4510076874670731E-3</v>
      </c>
      <c r="AU266" s="26">
        <v>5.5878558187985746E-4</v>
      </c>
      <c r="AV266" s="24">
        <v>0</v>
      </c>
      <c r="AW266" s="25">
        <v>0</v>
      </c>
      <c r="AX266" s="26">
        <v>0</v>
      </c>
    </row>
    <row r="267" spans="1:50" ht="12.75" thickBot="1" x14ac:dyDescent="0.25">
      <c r="A267" s="32">
        <v>7805</v>
      </c>
      <c r="B267" s="33" t="s">
        <v>283</v>
      </c>
      <c r="C267" s="37">
        <v>0</v>
      </c>
      <c r="D267" s="38">
        <v>0</v>
      </c>
      <c r="E267" s="39">
        <v>0</v>
      </c>
      <c r="F267" s="37">
        <v>332</v>
      </c>
      <c r="G267" s="38">
        <v>332</v>
      </c>
      <c r="H267" s="39">
        <v>0</v>
      </c>
      <c r="I267" s="37">
        <v>0</v>
      </c>
      <c r="J267" s="38">
        <v>0</v>
      </c>
      <c r="K267" s="39">
        <v>0</v>
      </c>
      <c r="L267" s="37">
        <v>0</v>
      </c>
      <c r="M267" s="38">
        <v>0</v>
      </c>
      <c r="N267" s="39">
        <v>0</v>
      </c>
      <c r="O267" s="37">
        <v>-332</v>
      </c>
      <c r="P267" s="38">
        <v>-332</v>
      </c>
      <c r="Q267" s="39">
        <v>0</v>
      </c>
      <c r="R267" s="37">
        <v>-6</v>
      </c>
      <c r="S267" s="38">
        <v>86</v>
      </c>
      <c r="T267" s="39">
        <v>9</v>
      </c>
      <c r="U267" s="37">
        <v>2068817</v>
      </c>
      <c r="V267" s="38">
        <v>7469392</v>
      </c>
      <c r="W267" s="39">
        <v>10718124</v>
      </c>
      <c r="X267" s="37">
        <v>5616034</v>
      </c>
      <c r="Y267" s="38">
        <v>10443364</v>
      </c>
      <c r="Z267" s="39">
        <v>14207598</v>
      </c>
      <c r="AA267" s="37">
        <v>-3377058</v>
      </c>
      <c r="AB267" s="38">
        <v>-2729728</v>
      </c>
      <c r="AC267" s="39">
        <v>5123264</v>
      </c>
      <c r="AD267" s="37">
        <v>170153</v>
      </c>
      <c r="AE267" s="38">
        <v>244330</v>
      </c>
      <c r="AF267" s="39">
        <v>8612747</v>
      </c>
      <c r="AG267" s="37">
        <v>45626.230000000098</v>
      </c>
      <c r="AH267" s="38">
        <v>88933.290000000037</v>
      </c>
      <c r="AI267" s="39">
        <v>1289347.0599999987</v>
      </c>
      <c r="AJ267" s="37">
        <v>0</v>
      </c>
      <c r="AK267" s="38">
        <v>0</v>
      </c>
      <c r="AL267" s="39">
        <v>0</v>
      </c>
      <c r="AM267" s="37">
        <v>4567470.46</v>
      </c>
      <c r="AN267" s="38">
        <v>19247455.25</v>
      </c>
      <c r="AO267" s="39">
        <v>41030020.75</v>
      </c>
      <c r="AP267" s="37">
        <v>0</v>
      </c>
      <c r="AQ267" s="38">
        <v>0</v>
      </c>
      <c r="AR267" s="39">
        <v>0</v>
      </c>
      <c r="AS267" s="34">
        <v>3.3560505658192924E-4</v>
      </c>
      <c r="AT267" s="35">
        <v>6.8903990130257924E-4</v>
      </c>
      <c r="AU267" s="36">
        <v>8.4381290244080354E-3</v>
      </c>
      <c r="AV267" s="34">
        <v>0</v>
      </c>
      <c r="AW267" s="35">
        <v>0</v>
      </c>
      <c r="AX267" s="36">
        <v>0</v>
      </c>
    </row>
    <row r="268" spans="1:50" ht="12.75" thickBot="1" x14ac:dyDescent="0.25">
      <c r="A268" s="41"/>
      <c r="B268" s="42" t="s">
        <v>284</v>
      </c>
      <c r="C268" s="46">
        <v>392790</v>
      </c>
      <c r="D268" s="47">
        <v>1010027</v>
      </c>
      <c r="E268" s="48">
        <v>434434</v>
      </c>
      <c r="F268" s="46">
        <v>74414367</v>
      </c>
      <c r="G268" s="47">
        <v>210452684</v>
      </c>
      <c r="H268" s="48">
        <v>91288812</v>
      </c>
      <c r="I268" s="46">
        <v>58140685</v>
      </c>
      <c r="J268" s="47">
        <v>204840096</v>
      </c>
      <c r="K268" s="48">
        <v>81005686</v>
      </c>
      <c r="L268" s="46">
        <v>-1264764</v>
      </c>
      <c r="M268" s="47">
        <v>-4997198</v>
      </c>
      <c r="N268" s="48">
        <v>5159017</v>
      </c>
      <c r="O268" s="46">
        <v>-17145656</v>
      </c>
      <c r="P268" s="47">
        <v>-9599759</v>
      </c>
      <c r="Q268" s="48">
        <v>-4689675</v>
      </c>
      <c r="R268" s="46">
        <v>491943</v>
      </c>
      <c r="S268" s="47">
        <v>423704</v>
      </c>
      <c r="T268" s="48">
        <v>480454</v>
      </c>
      <c r="U268" s="46">
        <v>193256032</v>
      </c>
      <c r="V268" s="47">
        <v>544817976</v>
      </c>
      <c r="W268" s="48">
        <v>499750565</v>
      </c>
      <c r="X268" s="46">
        <v>328996738</v>
      </c>
      <c r="Y268" s="47">
        <v>808267683</v>
      </c>
      <c r="Z268" s="48">
        <v>569966449</v>
      </c>
      <c r="AA268" s="46">
        <v>-124749433</v>
      </c>
      <c r="AB268" s="47">
        <v>-231945446</v>
      </c>
      <c r="AC268" s="48">
        <v>12892869</v>
      </c>
      <c r="AD268" s="46">
        <v>11483216</v>
      </c>
      <c r="AE268" s="47">
        <v>31927965</v>
      </c>
      <c r="AF268" s="48">
        <v>83589207</v>
      </c>
      <c r="AG268" s="46">
        <v>34698359.509999998</v>
      </c>
      <c r="AH268" s="47">
        <v>65919121.699999981</v>
      </c>
      <c r="AI268" s="48">
        <v>78464221.920000046</v>
      </c>
      <c r="AJ268" s="46">
        <v>18326242.18</v>
      </c>
      <c r="AK268" s="47">
        <v>34354535.729999997</v>
      </c>
      <c r="AL268" s="48">
        <v>26039076.899999999</v>
      </c>
      <c r="AM268" s="46">
        <v>614127391.03999972</v>
      </c>
      <c r="AN268" s="47">
        <v>1029363328.6200006</v>
      </c>
      <c r="AO268" s="48">
        <v>1917152425.26</v>
      </c>
      <c r="AP268" s="46">
        <v>795081</v>
      </c>
      <c r="AQ268" s="47">
        <v>2765449</v>
      </c>
      <c r="AR268" s="48">
        <v>3298206</v>
      </c>
      <c r="AS268" s="43">
        <v>2.3053208490319316E-3</v>
      </c>
      <c r="AT268" s="44">
        <v>4.4767319639533983E-3</v>
      </c>
      <c r="AU268" s="45">
        <v>5.1626942356482264E-3</v>
      </c>
      <c r="AV268" s="43">
        <v>3.8998505031263088E-5</v>
      </c>
      <c r="AW268" s="44">
        <v>1.7367608471561584E-4</v>
      </c>
      <c r="AX268" s="45">
        <v>1.3411669738954635E-4</v>
      </c>
    </row>
    <row r="270" spans="1:50" ht="15.75" x14ac:dyDescent="0.25">
      <c r="B270" s="51" t="s">
        <v>285</v>
      </c>
      <c r="C270" s="52"/>
      <c r="D270" s="53"/>
      <c r="E270" s="54"/>
      <c r="F270" s="54"/>
      <c r="G270" s="54"/>
      <c r="H270" s="54"/>
      <c r="I270" s="54"/>
      <c r="J270" s="55"/>
      <c r="K270" s="55"/>
    </row>
    <row r="271" spans="1:50" ht="26.25" customHeight="1" x14ac:dyDescent="0.2">
      <c r="B271" s="137" t="s">
        <v>286</v>
      </c>
      <c r="C271" s="137"/>
      <c r="D271" s="137"/>
      <c r="E271" s="137"/>
      <c r="F271" s="137"/>
      <c r="G271" s="137"/>
      <c r="H271" s="137"/>
      <c r="I271" s="137"/>
      <c r="J271" s="137"/>
      <c r="K271" s="137"/>
    </row>
    <row r="272" spans="1:50" ht="15.75" x14ac:dyDescent="0.25">
      <c r="B272" s="51" t="s">
        <v>287</v>
      </c>
      <c r="C272" s="52"/>
      <c r="D272" s="52"/>
      <c r="E272" s="54"/>
      <c r="F272" s="54"/>
      <c r="G272" s="54"/>
      <c r="H272" s="54"/>
      <c r="I272" s="54"/>
      <c r="J272" s="55"/>
      <c r="K272" s="55"/>
    </row>
  </sheetData>
  <mergeCells count="1">
    <mergeCell ref="B271:K271"/>
  </mergeCells>
  <conditionalFormatting sqref="C3:AR268">
    <cfRule type="expression" dxfId="8" priority="3">
      <formula>ROUND(C3,4)=0</formula>
    </cfRule>
  </conditionalFormatting>
  <conditionalFormatting sqref="AS3:AU268">
    <cfRule type="expression" dxfId="7" priority="2">
      <formula>ROUND(AS3,4)=0</formula>
    </cfRule>
  </conditionalFormatting>
  <conditionalFormatting sqref="AV3:AX268">
    <cfRule type="expression" dxfId="6" priority="1">
      <formula>ROUND(AV3,4)=0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3"/>
  <dimension ref="A1:CD33"/>
  <sheetViews>
    <sheetView showGridLines="0" zoomScaleNormal="100" workbookViewId="0">
      <pane xSplit="2" ySplit="4" topLeftCell="C5" activePane="bottomRight" state="frozen"/>
      <selection sqref="A1:XFD1048576"/>
      <selection pane="topRight" sqref="A1:XFD1048576"/>
      <selection pane="bottomLeft" sqref="A1:XFD1048576"/>
      <selection pane="bottomRight" activeCell="D17" sqref="D17"/>
    </sheetView>
  </sheetViews>
  <sheetFormatPr defaultColWidth="25.7109375" defaultRowHeight="11.25" x14ac:dyDescent="0.2"/>
  <cols>
    <col min="1" max="1" width="6.5703125" style="6" customWidth="1"/>
    <col min="2" max="2" width="24.140625" style="6" customWidth="1"/>
    <col min="3" max="11" width="10.7109375" style="6" customWidth="1"/>
    <col min="12" max="14" width="18.7109375" style="6" customWidth="1"/>
    <col min="15" max="17" width="10.7109375" style="6" customWidth="1"/>
    <col min="18" max="20" width="18.7109375" style="6" customWidth="1"/>
    <col min="21" max="23" width="10.7109375" style="56" customWidth="1"/>
    <col min="24" max="26" width="10.7109375" style="57" customWidth="1"/>
    <col min="27" max="64" width="10.7109375" style="6" customWidth="1"/>
    <col min="65" max="67" width="17.28515625" style="6" customWidth="1"/>
    <col min="68" max="69" width="10.7109375" style="6" customWidth="1"/>
    <col min="70" max="72" width="17.28515625" style="6" customWidth="1"/>
    <col min="73" max="74" width="10.7109375" style="6" customWidth="1"/>
    <col min="75" max="77" width="17.28515625" style="6" customWidth="1"/>
    <col min="78" max="82" width="10.7109375" style="6" customWidth="1"/>
    <col min="83" max="16384" width="25.7109375" style="6"/>
  </cols>
  <sheetData>
    <row r="1" spans="1:82" ht="12" hidden="1" thickBot="1" x14ac:dyDescent="0.25">
      <c r="C1" s="6" t="s">
        <v>303</v>
      </c>
      <c r="D1" s="6" t="s">
        <v>304</v>
      </c>
      <c r="E1" s="6" t="s">
        <v>305</v>
      </c>
      <c r="F1" s="6" t="s">
        <v>303</v>
      </c>
      <c r="G1" s="6" t="s">
        <v>304</v>
      </c>
      <c r="H1" s="6" t="s">
        <v>305</v>
      </c>
      <c r="I1" s="6" t="s">
        <v>303</v>
      </c>
      <c r="J1" s="6" t="s">
        <v>304</v>
      </c>
      <c r="K1" s="6" t="s">
        <v>305</v>
      </c>
      <c r="L1" s="6" t="s">
        <v>303</v>
      </c>
      <c r="M1" s="6" t="s">
        <v>304</v>
      </c>
      <c r="N1" s="6" t="s">
        <v>305</v>
      </c>
      <c r="O1" s="6" t="s">
        <v>303</v>
      </c>
      <c r="P1" s="6" t="s">
        <v>304</v>
      </c>
      <c r="Q1" s="6" t="s">
        <v>305</v>
      </c>
      <c r="R1" s="6" t="s">
        <v>303</v>
      </c>
      <c r="S1" s="6" t="s">
        <v>304</v>
      </c>
      <c r="T1" s="6" t="s">
        <v>305</v>
      </c>
      <c r="U1" s="6" t="s">
        <v>303</v>
      </c>
      <c r="V1" s="6" t="s">
        <v>304</v>
      </c>
      <c r="W1" s="6" t="s">
        <v>305</v>
      </c>
      <c r="X1" s="6" t="s">
        <v>303</v>
      </c>
      <c r="Y1" s="6" t="s">
        <v>304</v>
      </c>
      <c r="Z1" s="6" t="s">
        <v>305</v>
      </c>
      <c r="AA1" s="6" t="s">
        <v>303</v>
      </c>
      <c r="AB1" s="6" t="s">
        <v>304</v>
      </c>
      <c r="AC1" s="6" t="s">
        <v>305</v>
      </c>
      <c r="AD1" s="6" t="s">
        <v>303</v>
      </c>
      <c r="AE1" s="6" t="s">
        <v>304</v>
      </c>
      <c r="AF1" s="6" t="s">
        <v>305</v>
      </c>
      <c r="AG1" s="6" t="s">
        <v>303</v>
      </c>
      <c r="AH1" s="6" t="s">
        <v>304</v>
      </c>
      <c r="AI1" s="6" t="s">
        <v>305</v>
      </c>
      <c r="AJ1" s="6" t="s">
        <v>303</v>
      </c>
      <c r="AK1" s="6" t="s">
        <v>304</v>
      </c>
      <c r="AL1" s="6" t="s">
        <v>305</v>
      </c>
      <c r="AN1" s="6" t="s">
        <v>303</v>
      </c>
      <c r="AO1" s="6" t="s">
        <v>304</v>
      </c>
      <c r="AP1" s="6" t="s">
        <v>305</v>
      </c>
      <c r="AS1" s="6" t="s">
        <v>303</v>
      </c>
      <c r="AT1" s="6" t="s">
        <v>304</v>
      </c>
      <c r="AU1" s="6" t="s">
        <v>305</v>
      </c>
      <c r="AX1" s="6" t="s">
        <v>303</v>
      </c>
      <c r="AY1" s="6" t="s">
        <v>304</v>
      </c>
      <c r="AZ1" s="6" t="s">
        <v>305</v>
      </c>
      <c r="BC1" s="6" t="s">
        <v>303</v>
      </c>
      <c r="BD1" s="6" t="s">
        <v>304</v>
      </c>
      <c r="BE1" s="6" t="s">
        <v>305</v>
      </c>
      <c r="BH1" s="6" t="s">
        <v>303</v>
      </c>
      <c r="BI1" s="6" t="s">
        <v>304</v>
      </c>
      <c r="BJ1" s="6" t="s">
        <v>305</v>
      </c>
      <c r="BM1" s="6" t="s">
        <v>303</v>
      </c>
      <c r="BN1" s="6" t="s">
        <v>304</v>
      </c>
      <c r="BO1" s="6" t="s">
        <v>305</v>
      </c>
      <c r="BR1" s="6" t="s">
        <v>303</v>
      </c>
      <c r="BS1" s="6" t="s">
        <v>304</v>
      </c>
      <c r="BT1" s="6" t="s">
        <v>305</v>
      </c>
      <c r="BW1" s="6" t="s">
        <v>303</v>
      </c>
      <c r="BX1" s="6" t="s">
        <v>304</v>
      </c>
      <c r="BY1" s="6" t="s">
        <v>305</v>
      </c>
      <c r="CB1" s="6" t="s">
        <v>304</v>
      </c>
      <c r="CC1" s="6" t="s">
        <v>304</v>
      </c>
      <c r="CD1" s="6" t="s">
        <v>304</v>
      </c>
    </row>
    <row r="2" spans="1:82" ht="12" hidden="1" thickBot="1" x14ac:dyDescent="0.25">
      <c r="C2" s="6" t="s">
        <v>306</v>
      </c>
      <c r="D2" s="6" t="s">
        <v>306</v>
      </c>
      <c r="E2" s="6" t="s">
        <v>306</v>
      </c>
      <c r="F2" s="6" t="s">
        <v>307</v>
      </c>
      <c r="G2" s="6" t="s">
        <v>307</v>
      </c>
      <c r="H2" s="6" t="s">
        <v>307</v>
      </c>
      <c r="I2" s="6" t="s">
        <v>308</v>
      </c>
      <c r="J2" s="6" t="s">
        <v>308</v>
      </c>
      <c r="K2" s="6" t="s">
        <v>308</v>
      </c>
      <c r="L2" s="6" t="s">
        <v>309</v>
      </c>
      <c r="M2" s="6" t="s">
        <v>309</v>
      </c>
      <c r="N2" s="6" t="s">
        <v>309</v>
      </c>
      <c r="O2" s="6" t="s">
        <v>310</v>
      </c>
      <c r="P2" s="6" t="s">
        <v>310</v>
      </c>
      <c r="Q2" s="6" t="s">
        <v>310</v>
      </c>
      <c r="R2" s="6" t="s">
        <v>311</v>
      </c>
      <c r="S2" s="6" t="s">
        <v>311</v>
      </c>
      <c r="T2" s="6" t="s">
        <v>311</v>
      </c>
      <c r="U2" s="56" t="s">
        <v>312</v>
      </c>
      <c r="V2" s="56" t="s">
        <v>312</v>
      </c>
      <c r="W2" s="56" t="s">
        <v>312</v>
      </c>
      <c r="X2" s="57" t="s">
        <v>313</v>
      </c>
      <c r="Y2" s="57" t="s">
        <v>313</v>
      </c>
      <c r="Z2" s="57" t="s">
        <v>313</v>
      </c>
      <c r="AA2" s="6" t="s">
        <v>314</v>
      </c>
      <c r="AB2" s="6" t="s">
        <v>314</v>
      </c>
      <c r="AC2" s="6" t="s">
        <v>314</v>
      </c>
      <c r="AD2" s="6" t="s">
        <v>315</v>
      </c>
      <c r="AE2" s="6" t="s">
        <v>315</v>
      </c>
      <c r="AF2" s="6" t="s">
        <v>315</v>
      </c>
      <c r="AG2" s="6" t="s">
        <v>316</v>
      </c>
      <c r="AH2" s="6" t="s">
        <v>316</v>
      </c>
      <c r="AI2" s="6" t="s">
        <v>316</v>
      </c>
      <c r="AJ2" s="6" t="s">
        <v>317</v>
      </c>
      <c r="AK2" s="6" t="s">
        <v>317</v>
      </c>
      <c r="AL2" s="6" t="s">
        <v>317</v>
      </c>
      <c r="AN2" s="6" t="s">
        <v>318</v>
      </c>
      <c r="AO2" s="6" t="s">
        <v>318</v>
      </c>
      <c r="AP2" s="6" t="s">
        <v>318</v>
      </c>
      <c r="AS2" s="6" t="s">
        <v>319</v>
      </c>
      <c r="AT2" s="6" t="s">
        <v>319</v>
      </c>
      <c r="AU2" s="6" t="s">
        <v>319</v>
      </c>
      <c r="AX2" s="6" t="s">
        <v>320</v>
      </c>
      <c r="AY2" s="6" t="s">
        <v>320</v>
      </c>
      <c r="AZ2" s="6" t="s">
        <v>320</v>
      </c>
      <c r="BC2" s="6" t="s">
        <v>321</v>
      </c>
      <c r="BD2" s="6" t="s">
        <v>321</v>
      </c>
      <c r="BE2" s="6" t="s">
        <v>321</v>
      </c>
      <c r="BH2" s="6" t="s">
        <v>322</v>
      </c>
      <c r="BI2" s="6" t="s">
        <v>322</v>
      </c>
      <c r="BJ2" s="6" t="s">
        <v>322</v>
      </c>
      <c r="BM2" s="6" t="s">
        <v>323</v>
      </c>
      <c r="BN2" s="6" t="s">
        <v>323</v>
      </c>
      <c r="BO2" s="6" t="s">
        <v>323</v>
      </c>
      <c r="BR2" s="6" t="s">
        <v>324</v>
      </c>
      <c r="BS2" s="6" t="s">
        <v>324</v>
      </c>
      <c r="BT2" s="6" t="s">
        <v>324</v>
      </c>
      <c r="BW2" s="6" t="s">
        <v>325</v>
      </c>
      <c r="BX2" s="6" t="s">
        <v>325</v>
      </c>
      <c r="BY2" s="6" t="s">
        <v>325</v>
      </c>
      <c r="CB2" s="6" t="s">
        <v>326</v>
      </c>
      <c r="CC2" s="6" t="s">
        <v>327</v>
      </c>
      <c r="CD2" s="6" t="s">
        <v>328</v>
      </c>
    </row>
    <row r="3" spans="1:82" s="74" customFormat="1" ht="82.5" customHeight="1" thickBot="1" x14ac:dyDescent="0.3">
      <c r="A3" s="1" t="s">
        <v>0</v>
      </c>
      <c r="B3" s="1"/>
      <c r="C3" s="64" t="s">
        <v>1</v>
      </c>
      <c r="D3" s="3"/>
      <c r="E3" s="4"/>
      <c r="F3" s="64" t="s">
        <v>2</v>
      </c>
      <c r="G3" s="3"/>
      <c r="H3" s="4"/>
      <c r="I3" s="64" t="s">
        <v>3</v>
      </c>
      <c r="J3" s="3"/>
      <c r="K3" s="4"/>
      <c r="L3" s="64" t="s">
        <v>339</v>
      </c>
      <c r="M3" s="3" t="s">
        <v>340</v>
      </c>
      <c r="N3" s="4" t="s">
        <v>339</v>
      </c>
      <c r="O3" s="64" t="s">
        <v>4</v>
      </c>
      <c r="P3" s="3"/>
      <c r="Q3" s="4"/>
      <c r="R3" s="64" t="s">
        <v>341</v>
      </c>
      <c r="S3" s="3" t="s">
        <v>342</v>
      </c>
      <c r="T3" s="4" t="s">
        <v>341</v>
      </c>
      <c r="U3" s="65" t="s">
        <v>5</v>
      </c>
      <c r="V3" s="3"/>
      <c r="W3" s="3"/>
      <c r="X3" s="64" t="s">
        <v>6</v>
      </c>
      <c r="Y3" s="3"/>
      <c r="Z3" s="4"/>
      <c r="AA3" s="64" t="s">
        <v>7</v>
      </c>
      <c r="AB3" s="3"/>
      <c r="AC3" s="4"/>
      <c r="AD3" s="2" t="s">
        <v>8</v>
      </c>
      <c r="AE3" s="3"/>
      <c r="AF3" s="4"/>
      <c r="AG3" s="2" t="s">
        <v>9</v>
      </c>
      <c r="AH3" s="3"/>
      <c r="AI3" s="4"/>
      <c r="AJ3" s="66" t="s">
        <v>10</v>
      </c>
      <c r="AK3" s="67"/>
      <c r="AL3" s="67"/>
      <c r="AM3" s="68"/>
      <c r="AN3" s="69" t="s">
        <v>11</v>
      </c>
      <c r="AO3" s="69"/>
      <c r="AP3" s="69"/>
      <c r="AQ3" s="69"/>
      <c r="AR3" s="69"/>
      <c r="AS3" s="66" t="s">
        <v>12</v>
      </c>
      <c r="AT3" s="67"/>
      <c r="AU3" s="67"/>
      <c r="AV3" s="67"/>
      <c r="AW3" s="68"/>
      <c r="AX3" s="66" t="s">
        <v>13</v>
      </c>
      <c r="AY3" s="67"/>
      <c r="AZ3" s="67"/>
      <c r="BA3" s="67"/>
      <c r="BB3" s="68"/>
      <c r="BC3" s="66" t="s">
        <v>14</v>
      </c>
      <c r="BD3" s="67"/>
      <c r="BE3" s="67"/>
      <c r="BF3" s="67"/>
      <c r="BG3" s="68"/>
      <c r="BH3" s="66" t="s">
        <v>15</v>
      </c>
      <c r="BI3" s="67"/>
      <c r="BJ3" s="67"/>
      <c r="BK3" s="67"/>
      <c r="BL3" s="68"/>
      <c r="BM3" s="2" t="s">
        <v>343</v>
      </c>
      <c r="BN3" s="3" t="s">
        <v>344</v>
      </c>
      <c r="BO3" s="70" t="s">
        <v>343</v>
      </c>
      <c r="BP3" s="3"/>
      <c r="BQ3" s="4"/>
      <c r="BR3" s="2" t="s">
        <v>345</v>
      </c>
      <c r="BS3" s="3" t="s">
        <v>346</v>
      </c>
      <c r="BT3" s="70" t="s">
        <v>345</v>
      </c>
      <c r="BU3" s="3"/>
      <c r="BV3" s="4"/>
      <c r="BW3" s="2" t="s">
        <v>347</v>
      </c>
      <c r="BX3" s="3" t="s">
        <v>348</v>
      </c>
      <c r="BY3" s="70" t="s">
        <v>347</v>
      </c>
      <c r="BZ3" s="3"/>
      <c r="CA3" s="4"/>
      <c r="CB3" s="71" t="s">
        <v>16</v>
      </c>
      <c r="CC3" s="72" t="s">
        <v>17</v>
      </c>
      <c r="CD3" s="73" t="s">
        <v>18</v>
      </c>
    </row>
    <row r="4" spans="1:82" s="12" customFormat="1" ht="48" customHeight="1" thickBot="1" x14ac:dyDescent="0.3">
      <c r="A4" s="75"/>
      <c r="B4" s="76" t="s">
        <v>329</v>
      </c>
      <c r="C4" s="9" t="s">
        <v>349</v>
      </c>
      <c r="D4" s="10" t="s">
        <v>337</v>
      </c>
      <c r="E4" s="11" t="s">
        <v>338</v>
      </c>
      <c r="F4" s="9" t="s">
        <v>349</v>
      </c>
      <c r="G4" s="10" t="s">
        <v>337</v>
      </c>
      <c r="H4" s="11" t="s">
        <v>338</v>
      </c>
      <c r="I4" s="9" t="s">
        <v>349</v>
      </c>
      <c r="J4" s="10" t="s">
        <v>337</v>
      </c>
      <c r="K4" s="11" t="s">
        <v>338</v>
      </c>
      <c r="L4" s="9" t="s">
        <v>349</v>
      </c>
      <c r="M4" s="10" t="s">
        <v>337</v>
      </c>
      <c r="N4" s="11" t="s">
        <v>338</v>
      </c>
      <c r="O4" s="9" t="s">
        <v>349</v>
      </c>
      <c r="P4" s="10" t="s">
        <v>337</v>
      </c>
      <c r="Q4" s="11" t="s">
        <v>338</v>
      </c>
      <c r="R4" s="9" t="s">
        <v>349</v>
      </c>
      <c r="S4" s="10" t="s">
        <v>337</v>
      </c>
      <c r="T4" s="11" t="s">
        <v>338</v>
      </c>
      <c r="U4" s="10" t="s">
        <v>349</v>
      </c>
      <c r="V4" s="10" t="s">
        <v>337</v>
      </c>
      <c r="W4" s="77" t="s">
        <v>338</v>
      </c>
      <c r="X4" s="9" t="s">
        <v>349</v>
      </c>
      <c r="Y4" s="10" t="s">
        <v>337</v>
      </c>
      <c r="Z4" s="11" t="s">
        <v>338</v>
      </c>
      <c r="AA4" s="9" t="s">
        <v>349</v>
      </c>
      <c r="AB4" s="10" t="s">
        <v>337</v>
      </c>
      <c r="AC4" s="11" t="s">
        <v>338</v>
      </c>
      <c r="AD4" s="9" t="s">
        <v>349</v>
      </c>
      <c r="AE4" s="10" t="s">
        <v>337</v>
      </c>
      <c r="AF4" s="11" t="s">
        <v>338</v>
      </c>
      <c r="AG4" s="9" t="s">
        <v>349</v>
      </c>
      <c r="AH4" s="10" t="s">
        <v>337</v>
      </c>
      <c r="AI4" s="11" t="s">
        <v>338</v>
      </c>
      <c r="AJ4" s="9" t="s">
        <v>349</v>
      </c>
      <c r="AK4" s="10" t="s">
        <v>337</v>
      </c>
      <c r="AL4" s="78" t="s">
        <v>338</v>
      </c>
      <c r="AM4" s="79" t="s">
        <v>355</v>
      </c>
      <c r="AN4" s="9" t="s">
        <v>349</v>
      </c>
      <c r="AO4" s="10" t="s">
        <v>337</v>
      </c>
      <c r="AP4" s="78" t="s">
        <v>338</v>
      </c>
      <c r="AQ4" s="80" t="s">
        <v>355</v>
      </c>
      <c r="AR4" s="81" t="s">
        <v>354</v>
      </c>
      <c r="AS4" s="9" t="s">
        <v>349</v>
      </c>
      <c r="AT4" s="10" t="s">
        <v>337</v>
      </c>
      <c r="AU4" s="78" t="s">
        <v>338</v>
      </c>
      <c r="AV4" s="80" t="s">
        <v>355</v>
      </c>
      <c r="AW4" s="81" t="s">
        <v>354</v>
      </c>
      <c r="AX4" s="9" t="s">
        <v>349</v>
      </c>
      <c r="AY4" s="10" t="s">
        <v>337</v>
      </c>
      <c r="AZ4" s="78" t="s">
        <v>338</v>
      </c>
      <c r="BA4" s="80" t="s">
        <v>355</v>
      </c>
      <c r="BB4" s="81" t="s">
        <v>354</v>
      </c>
      <c r="BC4" s="9" t="s">
        <v>349</v>
      </c>
      <c r="BD4" s="10" t="s">
        <v>337</v>
      </c>
      <c r="BE4" s="78" t="s">
        <v>338</v>
      </c>
      <c r="BF4" s="80" t="s">
        <v>355</v>
      </c>
      <c r="BG4" s="81" t="s">
        <v>354</v>
      </c>
      <c r="BH4" s="9" t="s">
        <v>349</v>
      </c>
      <c r="BI4" s="10" t="s">
        <v>337</v>
      </c>
      <c r="BJ4" s="78" t="s">
        <v>338</v>
      </c>
      <c r="BK4" s="80" t="s">
        <v>355</v>
      </c>
      <c r="BL4" s="81" t="s">
        <v>354</v>
      </c>
      <c r="BM4" s="9" t="s">
        <v>349</v>
      </c>
      <c r="BN4" s="10" t="s">
        <v>337</v>
      </c>
      <c r="BO4" s="78" t="s">
        <v>338</v>
      </c>
      <c r="BP4" s="80" t="s">
        <v>355</v>
      </c>
      <c r="BQ4" s="81" t="s">
        <v>354</v>
      </c>
      <c r="BR4" s="9" t="s">
        <v>349</v>
      </c>
      <c r="BS4" s="10" t="s">
        <v>337</v>
      </c>
      <c r="BT4" s="78" t="s">
        <v>338</v>
      </c>
      <c r="BU4" s="80" t="s">
        <v>355</v>
      </c>
      <c r="BV4" s="81" t="s">
        <v>354</v>
      </c>
      <c r="BW4" s="9" t="s">
        <v>349</v>
      </c>
      <c r="BX4" s="10" t="s">
        <v>337</v>
      </c>
      <c r="BY4" s="78" t="s">
        <v>338</v>
      </c>
      <c r="BZ4" s="80" t="s">
        <v>355</v>
      </c>
      <c r="CA4" s="81" t="s">
        <v>354</v>
      </c>
      <c r="CB4" s="82" t="s">
        <v>337</v>
      </c>
      <c r="CC4" s="83" t="s">
        <v>337</v>
      </c>
      <c r="CD4" s="84" t="s">
        <v>337</v>
      </c>
    </row>
    <row r="5" spans="1:82" ht="13.5" customHeight="1" x14ac:dyDescent="0.2">
      <c r="A5" s="85">
        <v>5112</v>
      </c>
      <c r="B5" s="86" t="s">
        <v>31</v>
      </c>
      <c r="C5" s="24">
        <v>0.20926355271550851</v>
      </c>
      <c r="D5" s="25">
        <v>9.3891262607435078E-2</v>
      </c>
      <c r="E5" s="26">
        <v>0.10301572361299521</v>
      </c>
      <c r="F5" s="24">
        <v>0.22201254089731359</v>
      </c>
      <c r="G5" s="25">
        <v>0.15500004028879005</v>
      </c>
      <c r="H5" s="26">
        <v>0.29761179510465668</v>
      </c>
      <c r="I5" s="24">
        <v>-1.775324184239776</v>
      </c>
      <c r="J5" s="25">
        <v>-0.36806983837223989</v>
      </c>
      <c r="K5" s="26">
        <v>-6.6671570259559942E-2</v>
      </c>
      <c r="L5" s="24">
        <v>0.18840346258533755</v>
      </c>
      <c r="M5" s="25">
        <v>0</v>
      </c>
      <c r="N5" s="26">
        <v>0</v>
      </c>
      <c r="O5" s="87">
        <v>94</v>
      </c>
      <c r="P5" s="88">
        <v>0</v>
      </c>
      <c r="Q5" s="89">
        <v>0</v>
      </c>
      <c r="R5" s="24">
        <v>1.4897501227075989</v>
      </c>
      <c r="S5" s="25">
        <v>1.5694963367351562</v>
      </c>
      <c r="T5" s="26">
        <v>1.2762673825426174</v>
      </c>
      <c r="U5" s="88">
        <v>121.32432432432432</v>
      </c>
      <c r="V5" s="88">
        <v>121.32432432432432</v>
      </c>
      <c r="W5" s="90">
        <v>119.70270270270271</v>
      </c>
      <c r="X5" s="24">
        <v>0.56570302160910857</v>
      </c>
      <c r="Y5" s="25">
        <v>0.48476178821221599</v>
      </c>
      <c r="Z5" s="26">
        <v>0.5943137781518899</v>
      </c>
      <c r="AA5" s="24">
        <v>9.8181257663727775E-2</v>
      </c>
      <c r="AB5" s="25">
        <v>0.23259821387923921</v>
      </c>
      <c r="AC5" s="26">
        <v>1.6899185705715344E-2</v>
      </c>
      <c r="AD5" s="87">
        <v>547875</v>
      </c>
      <c r="AE5" s="88">
        <v>1231112</v>
      </c>
      <c r="AF5" s="89">
        <v>736688</v>
      </c>
      <c r="AG5" s="87">
        <v>7201130</v>
      </c>
      <c r="AH5" s="88">
        <v>17748408</v>
      </c>
      <c r="AI5" s="89">
        <v>7327572</v>
      </c>
      <c r="AJ5" s="87">
        <v>-4647994</v>
      </c>
      <c r="AK5" s="88">
        <v>-4826170</v>
      </c>
      <c r="AL5" s="91">
        <v>-476783</v>
      </c>
      <c r="AM5" s="92">
        <v>4171211</v>
      </c>
      <c r="AN5" s="93">
        <v>961811</v>
      </c>
      <c r="AO5" s="93">
        <v>511845</v>
      </c>
      <c r="AP5" s="93">
        <v>781236</v>
      </c>
      <c r="AQ5" s="93">
        <v>-180575</v>
      </c>
      <c r="AR5" s="93">
        <v>269391</v>
      </c>
      <c r="AS5" s="87">
        <v>422231</v>
      </c>
      <c r="AT5" s="88">
        <v>0</v>
      </c>
      <c r="AU5" s="91">
        <v>0</v>
      </c>
      <c r="AV5" s="94">
        <v>-422231</v>
      </c>
      <c r="AW5" s="95">
        <v>0</v>
      </c>
      <c r="AX5" s="87">
        <v>3338679</v>
      </c>
      <c r="AY5" s="88">
        <v>3742012</v>
      </c>
      <c r="AZ5" s="91">
        <v>3551348</v>
      </c>
      <c r="BA5" s="96">
        <v>212669</v>
      </c>
      <c r="BB5" s="97">
        <v>-190664</v>
      </c>
      <c r="BC5" s="87">
        <v>4113315.33</v>
      </c>
      <c r="BD5" s="88">
        <v>4319588.28</v>
      </c>
      <c r="BE5" s="91">
        <v>4111786.9500000007</v>
      </c>
      <c r="BF5" s="96">
        <v>-1528.3799999994226</v>
      </c>
      <c r="BG5" s="97">
        <v>-207801.32999999961</v>
      </c>
      <c r="BH5" s="87">
        <v>15559725.699999999</v>
      </c>
      <c r="BI5" s="88">
        <v>13548910.149999999</v>
      </c>
      <c r="BJ5" s="91">
        <v>15333148.050000001</v>
      </c>
      <c r="BK5" s="96">
        <v>-226577.64999999851</v>
      </c>
      <c r="BL5" s="97">
        <v>1784237.9000000022</v>
      </c>
      <c r="BM5" s="98">
        <v>0.15339080015120946</v>
      </c>
      <c r="BN5" s="99">
        <v>0.21083648741904062</v>
      </c>
      <c r="BO5" s="100">
        <v>0.16389503069673253</v>
      </c>
      <c r="BP5" s="101">
        <v>1.0504230545523074E-2</v>
      </c>
      <c r="BQ5" s="102">
        <v>-4.6941456722308095E-2</v>
      </c>
      <c r="BR5" s="98">
        <v>0.18898035113376763</v>
      </c>
      <c r="BS5" s="99">
        <v>0.33652139424442151</v>
      </c>
      <c r="BT5" s="100">
        <v>0.18975933881688709</v>
      </c>
      <c r="BU5" s="101">
        <v>7.7898768311945865E-4</v>
      </c>
      <c r="BV5" s="102">
        <v>-0.14676205542753443</v>
      </c>
      <c r="BW5" s="98">
        <v>0.71486919684591943</v>
      </c>
      <c r="BX5" s="99">
        <v>1.0555399817341835</v>
      </c>
      <c r="BY5" s="100">
        <v>0.70762616627046815</v>
      </c>
      <c r="BZ5" s="101">
        <v>-7.2430305754512814E-3</v>
      </c>
      <c r="CA5" s="102">
        <v>-0.34791381546371536</v>
      </c>
      <c r="CB5" s="103">
        <v>0.77259999999999995</v>
      </c>
      <c r="CC5" s="99">
        <v>0.79547999999999996</v>
      </c>
      <c r="CD5" s="104">
        <v>0.78400000000000003</v>
      </c>
    </row>
    <row r="6" spans="1:82" ht="13.5" customHeight="1" x14ac:dyDescent="0.2">
      <c r="A6" s="85">
        <v>5601</v>
      </c>
      <c r="B6" s="86" t="s">
        <v>80</v>
      </c>
      <c r="C6" s="24">
        <v>5.2725541805679232E-2</v>
      </c>
      <c r="D6" s="25">
        <v>8.6193971844134992E-2</v>
      </c>
      <c r="E6" s="26">
        <v>5.7345221600078516E-2</v>
      </c>
      <c r="F6" s="24">
        <v>0.28401832021570317</v>
      </c>
      <c r="G6" s="25">
        <v>0.43720770742013121</v>
      </c>
      <c r="H6" s="26">
        <v>0.37797641004417493</v>
      </c>
      <c r="I6" s="24">
        <v>0.11913383733815096</v>
      </c>
      <c r="J6" s="25">
        <v>0.11469930245158079</v>
      </c>
      <c r="K6" s="26">
        <v>-7.4495540125493726E-2</v>
      </c>
      <c r="L6" s="24">
        <v>0.39992434930740961</v>
      </c>
      <c r="M6" s="25">
        <v>0.33002553642905574</v>
      </c>
      <c r="N6" s="26">
        <v>0.36039674020950679</v>
      </c>
      <c r="O6" s="87">
        <v>152</v>
      </c>
      <c r="P6" s="88">
        <v>152</v>
      </c>
      <c r="Q6" s="89">
        <v>156</v>
      </c>
      <c r="R6" s="24">
        <v>0.77486961299424884</v>
      </c>
      <c r="S6" s="25">
        <v>0.63943783401503385</v>
      </c>
      <c r="T6" s="26">
        <v>0.69828327055892858</v>
      </c>
      <c r="U6" s="88">
        <v>106.22222222222223</v>
      </c>
      <c r="V6" s="88">
        <v>119.5</v>
      </c>
      <c r="W6" s="90">
        <v>107.97674418604652</v>
      </c>
      <c r="X6" s="24">
        <v>0.7483535068899545</v>
      </c>
      <c r="Y6" s="25">
        <v>0.73300639840952775</v>
      </c>
      <c r="Z6" s="26">
        <v>0.66193010937152397</v>
      </c>
      <c r="AA6" s="24">
        <v>7.1571987932687098E-2</v>
      </c>
      <c r="AB6" s="25">
        <v>0.10164765739705683</v>
      </c>
      <c r="AC6" s="26">
        <v>7.0661541085828394E-2</v>
      </c>
      <c r="AD6" s="87">
        <v>351298</v>
      </c>
      <c r="AE6" s="88">
        <v>1234212</v>
      </c>
      <c r="AF6" s="89">
        <v>420117</v>
      </c>
      <c r="AG6" s="87">
        <v>6001999</v>
      </c>
      <c r="AH6" s="88">
        <v>12809277</v>
      </c>
      <c r="AI6" s="89">
        <v>7709045</v>
      </c>
      <c r="AJ6" s="87">
        <v>793761</v>
      </c>
      <c r="AK6" s="88">
        <v>1642380</v>
      </c>
      <c r="AL6" s="91">
        <v>-545762</v>
      </c>
      <c r="AM6" s="92">
        <v>-1339523</v>
      </c>
      <c r="AN6" s="93">
        <v>2754480</v>
      </c>
      <c r="AO6" s="93">
        <v>3602468</v>
      </c>
      <c r="AP6" s="93">
        <v>3057620</v>
      </c>
      <c r="AQ6" s="93">
        <v>303140</v>
      </c>
      <c r="AR6" s="93">
        <v>-544848</v>
      </c>
      <c r="AS6" s="87">
        <v>724245</v>
      </c>
      <c r="AT6" s="88">
        <v>724245</v>
      </c>
      <c r="AU6" s="91">
        <v>724245</v>
      </c>
      <c r="AV6" s="94">
        <v>0</v>
      </c>
      <c r="AW6" s="95">
        <v>0</v>
      </c>
      <c r="AX6" s="87">
        <v>1403254</v>
      </c>
      <c r="AY6" s="88">
        <v>1403254</v>
      </c>
      <c r="AZ6" s="91">
        <v>1403254</v>
      </c>
      <c r="BA6" s="96">
        <v>0</v>
      </c>
      <c r="BB6" s="97">
        <v>0</v>
      </c>
      <c r="BC6" s="87">
        <v>31821.249999999982</v>
      </c>
      <c r="BD6" s="88">
        <v>120929.88999999978</v>
      </c>
      <c r="BE6" s="91">
        <v>15585.309999999943</v>
      </c>
      <c r="BF6" s="96">
        <v>-16235.940000000039</v>
      </c>
      <c r="BG6" s="97">
        <v>-105344.57999999984</v>
      </c>
      <c r="BH6" s="87">
        <v>2929089.66</v>
      </c>
      <c r="BI6" s="88">
        <v>9504784.4900000002</v>
      </c>
      <c r="BJ6" s="91">
        <v>14723293.460000001</v>
      </c>
      <c r="BK6" s="96">
        <v>11794203.800000001</v>
      </c>
      <c r="BL6" s="97">
        <v>5218508.9700000007</v>
      </c>
      <c r="BM6" s="98">
        <v>0.10744375403463259</v>
      </c>
      <c r="BN6" s="99">
        <v>0.10954982080565515</v>
      </c>
      <c r="BO6" s="100">
        <v>8.9823012843133973E-2</v>
      </c>
      <c r="BP6" s="101">
        <v>-1.7620741191498618E-2</v>
      </c>
      <c r="BQ6" s="102">
        <v>-1.9726807962521173E-2</v>
      </c>
      <c r="BR6" s="98">
        <v>2.4364759039165753E-3</v>
      </c>
      <c r="BS6" s="99">
        <v>1.1300164909858352E-2</v>
      </c>
      <c r="BT6" s="100">
        <v>9.976237376086005E-4</v>
      </c>
      <c r="BU6" s="101">
        <v>-1.4388521663079748E-3</v>
      </c>
      <c r="BV6" s="102">
        <v>-1.0302541172249751E-2</v>
      </c>
      <c r="BW6" s="98">
        <v>0.22427328835294652</v>
      </c>
      <c r="BX6" s="99">
        <v>0.88816447422274269</v>
      </c>
      <c r="BY6" s="100">
        <v>0.94244561394502391</v>
      </c>
      <c r="BZ6" s="101">
        <v>0.71817232559207733</v>
      </c>
      <c r="CA6" s="102">
        <v>5.4281139722281213E-2</v>
      </c>
      <c r="CB6" s="103">
        <v>0.64607000000000003</v>
      </c>
      <c r="CC6" s="99">
        <v>0.51644999999999996</v>
      </c>
      <c r="CD6" s="104">
        <v>0.58130000000000004</v>
      </c>
    </row>
    <row r="7" spans="1:82" ht="13.5" customHeight="1" x14ac:dyDescent="0.2">
      <c r="A7" s="85">
        <v>5609</v>
      </c>
      <c r="B7" s="86" t="s">
        <v>87</v>
      </c>
      <c r="C7" s="24">
        <v>0.16119456212187105</v>
      </c>
      <c r="D7" s="25">
        <v>0.15046119339316094</v>
      </c>
      <c r="E7" s="26">
        <v>0.1917681755123741</v>
      </c>
      <c r="F7" s="24">
        <v>0.33027995327311221</v>
      </c>
      <c r="G7" s="25">
        <v>0.33035485847072149</v>
      </c>
      <c r="H7" s="26">
        <v>0.75093221859553982</v>
      </c>
      <c r="I7" s="24">
        <v>-6.929455142322144E-2</v>
      </c>
      <c r="J7" s="25">
        <v>3.7812606206776081E-2</v>
      </c>
      <c r="K7" s="26">
        <v>-8.6397533610197155E-2</v>
      </c>
      <c r="L7" s="24">
        <v>0.28697839540970954</v>
      </c>
      <c r="M7" s="25">
        <v>0.24968109321381415</v>
      </c>
      <c r="N7" s="26">
        <v>0.25146665411345132</v>
      </c>
      <c r="O7" s="87">
        <v>167</v>
      </c>
      <c r="P7" s="88">
        <v>158</v>
      </c>
      <c r="Q7" s="89">
        <v>155</v>
      </c>
      <c r="R7" s="24">
        <v>2.7846765526127547E-2</v>
      </c>
      <c r="S7" s="25">
        <v>8.7400436326633898E-3</v>
      </c>
      <c r="T7" s="26">
        <v>9.7875649940714224E-2</v>
      </c>
      <c r="U7" s="88">
        <v>226.83333333333334</v>
      </c>
      <c r="V7" s="88">
        <v>226.83333333333334</v>
      </c>
      <c r="W7" s="90">
        <v>224.16666666666666</v>
      </c>
      <c r="X7" s="24">
        <v>0.55438270474064799</v>
      </c>
      <c r="Y7" s="25">
        <v>0.53211115486196292</v>
      </c>
      <c r="Z7" s="26">
        <v>0.76307871933640703</v>
      </c>
      <c r="AA7" s="24">
        <v>0.28914030079456193</v>
      </c>
      <c r="AB7" s="25">
        <v>0.31176802857717506</v>
      </c>
      <c r="AC7" s="26">
        <v>5.9979578578303661E-2</v>
      </c>
      <c r="AD7" s="87">
        <v>1740217</v>
      </c>
      <c r="AE7" s="88">
        <v>4007881</v>
      </c>
      <c r="AF7" s="89">
        <v>1728471</v>
      </c>
      <c r="AG7" s="87">
        <v>11566499</v>
      </c>
      <c r="AH7" s="88">
        <v>26475675</v>
      </c>
      <c r="AI7" s="89">
        <v>9972861</v>
      </c>
      <c r="AJ7" s="87">
        <v>-748087</v>
      </c>
      <c r="AK7" s="88">
        <v>1007226</v>
      </c>
      <c r="AL7" s="91">
        <v>-778730</v>
      </c>
      <c r="AM7" s="92">
        <v>-30643</v>
      </c>
      <c r="AN7" s="93">
        <v>3395229</v>
      </c>
      <c r="AO7" s="93">
        <v>3721543</v>
      </c>
      <c r="AP7" s="93">
        <v>4257419</v>
      </c>
      <c r="AQ7" s="93">
        <v>862190</v>
      </c>
      <c r="AR7" s="93">
        <v>535876</v>
      </c>
      <c r="AS7" s="87">
        <v>1366856</v>
      </c>
      <c r="AT7" s="88">
        <v>1293593</v>
      </c>
      <c r="AU7" s="91">
        <v>1250000</v>
      </c>
      <c r="AV7" s="94">
        <v>-116856</v>
      </c>
      <c r="AW7" s="95">
        <v>-43593</v>
      </c>
      <c r="AX7" s="87">
        <v>132632</v>
      </c>
      <c r="AY7" s="88">
        <v>45282</v>
      </c>
      <c r="AZ7" s="91">
        <v>486524</v>
      </c>
      <c r="BA7" s="96">
        <v>353892</v>
      </c>
      <c r="BB7" s="97">
        <v>441242</v>
      </c>
      <c r="BC7" s="87">
        <v>533738.05000000098</v>
      </c>
      <c r="BD7" s="88">
        <v>556400.08000000054</v>
      </c>
      <c r="BE7" s="91">
        <v>1018518.04</v>
      </c>
      <c r="BF7" s="96">
        <v>484779.98999999906</v>
      </c>
      <c r="BG7" s="97">
        <v>462117.9599999995</v>
      </c>
      <c r="BH7" s="87">
        <v>14402130.869999999</v>
      </c>
      <c r="BI7" s="88">
        <v>13297817.75</v>
      </c>
      <c r="BJ7" s="91">
        <v>20573775.98</v>
      </c>
      <c r="BK7" s="96">
        <v>6171645.1100000013</v>
      </c>
      <c r="BL7" s="97">
        <v>7275958.2300000004</v>
      </c>
      <c r="BM7" s="98">
        <v>5.834099845574414E-3</v>
      </c>
      <c r="BN7" s="99">
        <v>1.7103246659433613E-3</v>
      </c>
      <c r="BO7" s="100">
        <v>2.1513876960048556E-2</v>
      </c>
      <c r="BP7" s="101">
        <v>1.5679777114474141E-2</v>
      </c>
      <c r="BQ7" s="102">
        <v>1.9803552294105194E-2</v>
      </c>
      <c r="BR7" s="98">
        <v>2.3477600240380862E-2</v>
      </c>
      <c r="BS7" s="99">
        <v>2.9902200364168362E-2</v>
      </c>
      <c r="BT7" s="100">
        <v>4.5038419058771643E-2</v>
      </c>
      <c r="BU7" s="101">
        <v>2.1560818818390781E-2</v>
      </c>
      <c r="BV7" s="102">
        <v>1.5136218694603281E-2</v>
      </c>
      <c r="BW7" s="98">
        <v>0.63350827465927906</v>
      </c>
      <c r="BX7" s="99">
        <v>0.71465484111126321</v>
      </c>
      <c r="BY7" s="100">
        <v>0.90976331082808337</v>
      </c>
      <c r="BZ7" s="101">
        <v>0.27625503616880431</v>
      </c>
      <c r="CA7" s="102">
        <v>0.19510846971682017</v>
      </c>
      <c r="CB7" s="103">
        <v>0.67969000000000002</v>
      </c>
      <c r="CC7" s="99">
        <v>0.65222999999999998</v>
      </c>
      <c r="CD7" s="104">
        <v>0.66600000000000004</v>
      </c>
    </row>
    <row r="8" spans="1:82" ht="13.5" customHeight="1" x14ac:dyDescent="0.2">
      <c r="A8" s="85">
        <v>6102</v>
      </c>
      <c r="B8" s="86" t="s">
        <v>119</v>
      </c>
      <c r="C8" s="24">
        <v>0.17100445132572092</v>
      </c>
      <c r="D8" s="25">
        <v>0.20575753820474349</v>
      </c>
      <c r="E8" s="26">
        <v>9.4066177596442938E-2</v>
      </c>
      <c r="F8" s="24">
        <v>0.39382778664261975</v>
      </c>
      <c r="G8" s="25">
        <v>0.46986298576542013</v>
      </c>
      <c r="H8" s="26">
        <v>0.15370625117140949</v>
      </c>
      <c r="I8" s="24">
        <v>0.13263850549540099</v>
      </c>
      <c r="J8" s="25">
        <v>2.3689369360108251E-3</v>
      </c>
      <c r="K8" s="26">
        <v>0.11760928739269014</v>
      </c>
      <c r="L8" s="24">
        <v>0</v>
      </c>
      <c r="M8" s="25">
        <v>0</v>
      </c>
      <c r="N8" s="26">
        <v>0</v>
      </c>
      <c r="O8" s="87">
        <v>0</v>
      </c>
      <c r="P8" s="88">
        <v>0</v>
      </c>
      <c r="Q8" s="89">
        <v>0</v>
      </c>
      <c r="R8" s="24">
        <v>0</v>
      </c>
      <c r="S8" s="25">
        <v>0</v>
      </c>
      <c r="T8" s="26">
        <v>0</v>
      </c>
      <c r="U8" s="88">
        <v>110.96875</v>
      </c>
      <c r="V8" s="88">
        <v>110.96875</v>
      </c>
      <c r="W8" s="90">
        <v>120.31034482758621</v>
      </c>
      <c r="X8" s="24">
        <v>0.62698073689065814</v>
      </c>
      <c r="Y8" s="25">
        <v>0.63518739652794454</v>
      </c>
      <c r="Z8" s="26">
        <v>0.3745147698581141</v>
      </c>
      <c r="AA8" s="24">
        <v>0.17884400704262005</v>
      </c>
      <c r="AB8" s="25">
        <v>0.16483618180686627</v>
      </c>
      <c r="AC8" s="26">
        <v>0.50396935309363877</v>
      </c>
      <c r="AD8" s="87">
        <v>839401</v>
      </c>
      <c r="AE8" s="88">
        <v>1889476</v>
      </c>
      <c r="AF8" s="89">
        <v>869298</v>
      </c>
      <c r="AG8" s="87">
        <v>4457432</v>
      </c>
      <c r="AH8" s="88">
        <v>9271223</v>
      </c>
      <c r="AI8" s="89">
        <v>8238874</v>
      </c>
      <c r="AJ8" s="87">
        <v>651076</v>
      </c>
      <c r="AK8" s="88">
        <v>21754</v>
      </c>
      <c r="AL8" s="91">
        <v>1086868</v>
      </c>
      <c r="AM8" s="92">
        <v>435792</v>
      </c>
      <c r="AN8" s="93">
        <v>2370487</v>
      </c>
      <c r="AO8" s="93">
        <v>1684141</v>
      </c>
      <c r="AP8" s="93">
        <v>2777121</v>
      </c>
      <c r="AQ8" s="93">
        <v>406634</v>
      </c>
      <c r="AR8" s="93">
        <v>1092980</v>
      </c>
      <c r="AS8" s="87">
        <v>0</v>
      </c>
      <c r="AT8" s="88">
        <v>0</v>
      </c>
      <c r="AU8" s="91">
        <v>0</v>
      </c>
      <c r="AV8" s="94">
        <v>0</v>
      </c>
      <c r="AW8" s="95">
        <v>0</v>
      </c>
      <c r="AX8" s="87">
        <v>0</v>
      </c>
      <c r="AY8" s="88">
        <v>0</v>
      </c>
      <c r="AZ8" s="91">
        <v>0</v>
      </c>
      <c r="BA8" s="96">
        <v>0</v>
      </c>
      <c r="BB8" s="97">
        <v>0</v>
      </c>
      <c r="BC8" s="87">
        <v>131202.69999999995</v>
      </c>
      <c r="BD8" s="88">
        <v>5465621.7400000002</v>
      </c>
      <c r="BE8" s="91">
        <v>171571.83999999985</v>
      </c>
      <c r="BF8" s="96">
        <v>40369.139999999898</v>
      </c>
      <c r="BG8" s="97">
        <v>-5294049.9000000004</v>
      </c>
      <c r="BH8" s="87">
        <v>1798555.71</v>
      </c>
      <c r="BI8" s="88">
        <v>6929951.2800000003</v>
      </c>
      <c r="BJ8" s="91">
        <v>6075967.0800000001</v>
      </c>
      <c r="BK8" s="96">
        <v>4277411.37</v>
      </c>
      <c r="BL8" s="97">
        <v>-853984.20000000019</v>
      </c>
      <c r="BM8" s="98">
        <v>0</v>
      </c>
      <c r="BN8" s="99">
        <v>0</v>
      </c>
      <c r="BO8" s="100">
        <v>0</v>
      </c>
      <c r="BP8" s="101">
        <v>0</v>
      </c>
      <c r="BQ8" s="102">
        <v>0</v>
      </c>
      <c r="BR8" s="98">
        <v>1.3536242802183948E-2</v>
      </c>
      <c r="BS8" s="99">
        <v>0.67725900779025672</v>
      </c>
      <c r="BT8" s="100">
        <v>1.1813628292857776E-2</v>
      </c>
      <c r="BU8" s="101">
        <v>-1.7226145093261723E-3</v>
      </c>
      <c r="BV8" s="102">
        <v>-0.6654453794973989</v>
      </c>
      <c r="BW8" s="98">
        <v>0.18555781842762648</v>
      </c>
      <c r="BX8" s="99">
        <v>0.85870778315654528</v>
      </c>
      <c r="BY8" s="100">
        <v>0.41836245739837319</v>
      </c>
      <c r="BZ8" s="101">
        <v>0.23280463897074671</v>
      </c>
      <c r="CA8" s="102">
        <v>-0.44034532575817209</v>
      </c>
      <c r="CB8" s="103">
        <v>0.68237999999999999</v>
      </c>
      <c r="CC8" s="99">
        <v>0.61463999999999996</v>
      </c>
      <c r="CD8" s="104">
        <v>0.64849999999999997</v>
      </c>
    </row>
    <row r="9" spans="1:82" x14ac:dyDescent="0.2">
      <c r="A9" s="85">
        <v>6302</v>
      </c>
      <c r="B9" s="86" t="s">
        <v>138</v>
      </c>
      <c r="C9" s="24">
        <v>0.16714800986084036</v>
      </c>
      <c r="D9" s="25">
        <v>0.12110448199323784</v>
      </c>
      <c r="E9" s="26">
        <v>0.13666445147576273</v>
      </c>
      <c r="F9" s="24">
        <v>0.31430553015568319</v>
      </c>
      <c r="G9" s="25">
        <v>0.23416909713281089</v>
      </c>
      <c r="H9" s="26">
        <v>0.36036922183752013</v>
      </c>
      <c r="I9" s="24">
        <v>5.8641800595016849E-2</v>
      </c>
      <c r="J9" s="25">
        <v>3.4159934722012252E-2</v>
      </c>
      <c r="K9" s="26">
        <v>0.1737548010033409</v>
      </c>
      <c r="L9" s="24">
        <v>0.68654364145784996</v>
      </c>
      <c r="M9" s="25">
        <v>0.93985424149011343</v>
      </c>
      <c r="N9" s="26">
        <v>0.40485231379708631</v>
      </c>
      <c r="O9" s="87">
        <v>484</v>
      </c>
      <c r="P9" s="88">
        <v>389</v>
      </c>
      <c r="Q9" s="89">
        <v>253</v>
      </c>
      <c r="R9" s="24">
        <v>0.31926378772112385</v>
      </c>
      <c r="S9" s="25">
        <v>0.88524173596700406</v>
      </c>
      <c r="T9" s="26">
        <v>0.81731016431312642</v>
      </c>
      <c r="U9" s="88">
        <v>180.12820512820514</v>
      </c>
      <c r="V9" s="88">
        <v>180.12820512820514</v>
      </c>
      <c r="W9" s="90">
        <v>167.63414634146341</v>
      </c>
      <c r="X9" s="24">
        <v>0.54180269543257087</v>
      </c>
      <c r="Y9" s="25">
        <v>0.54300558128451204</v>
      </c>
      <c r="Z9" s="26">
        <v>0.65874047165619432</v>
      </c>
      <c r="AA9" s="24">
        <v>0.18645289267702767</v>
      </c>
      <c r="AB9" s="25">
        <v>0.22146238788805842</v>
      </c>
      <c r="AC9" s="26">
        <v>0.11507325977338054</v>
      </c>
      <c r="AD9" s="87">
        <v>1225399</v>
      </c>
      <c r="AE9" s="88">
        <v>1923335</v>
      </c>
      <c r="AF9" s="89">
        <v>1147101</v>
      </c>
      <c r="AG9" s="87">
        <v>7586018</v>
      </c>
      <c r="AH9" s="88">
        <v>16005097</v>
      </c>
      <c r="AI9" s="89">
        <v>7084652</v>
      </c>
      <c r="AJ9" s="87">
        <v>429916</v>
      </c>
      <c r="AK9" s="88">
        <v>542515</v>
      </c>
      <c r="AL9" s="91">
        <v>1458421</v>
      </c>
      <c r="AM9" s="92">
        <v>1028505</v>
      </c>
      <c r="AN9" s="93">
        <v>1184562</v>
      </c>
      <c r="AO9" s="93">
        <v>1066422</v>
      </c>
      <c r="AP9" s="93">
        <v>2292044</v>
      </c>
      <c r="AQ9" s="93">
        <v>1107482</v>
      </c>
      <c r="AR9" s="93">
        <v>1225622</v>
      </c>
      <c r="AS9" s="87">
        <v>3399127</v>
      </c>
      <c r="AT9" s="88">
        <v>2733317</v>
      </c>
      <c r="AU9" s="91">
        <v>1738533</v>
      </c>
      <c r="AV9" s="94">
        <v>-1660594</v>
      </c>
      <c r="AW9" s="95">
        <v>-994784</v>
      </c>
      <c r="AX9" s="87">
        <v>1580698</v>
      </c>
      <c r="AY9" s="88">
        <v>2574491</v>
      </c>
      <c r="AZ9" s="91">
        <v>3509726</v>
      </c>
      <c r="BA9" s="96">
        <v>1929028</v>
      </c>
      <c r="BB9" s="97">
        <v>935235</v>
      </c>
      <c r="BC9" s="87">
        <v>2249305.5899999994</v>
      </c>
      <c r="BD9" s="88">
        <v>4406554.0200000005</v>
      </c>
      <c r="BE9" s="91">
        <v>3699443.18</v>
      </c>
      <c r="BF9" s="96">
        <v>1450137.5900000008</v>
      </c>
      <c r="BG9" s="97">
        <v>-707110.84000000032</v>
      </c>
      <c r="BH9" s="87">
        <v>9360519.4900000002</v>
      </c>
      <c r="BI9" s="88">
        <v>9333645.1300000008</v>
      </c>
      <c r="BJ9" s="91">
        <v>10952584.369999999</v>
      </c>
      <c r="BK9" s="96">
        <v>1592064.879999999</v>
      </c>
      <c r="BL9" s="97">
        <v>1618939.2399999984</v>
      </c>
      <c r="BM9" s="98">
        <v>9.8146118253090026E-2</v>
      </c>
      <c r="BN9" s="99">
        <v>0.16085444530576729</v>
      </c>
      <c r="BO9" s="100">
        <v>0.22397679444785187</v>
      </c>
      <c r="BP9" s="101">
        <v>0.12583067619476185</v>
      </c>
      <c r="BQ9" s="102">
        <v>6.3122349142084588E-2</v>
      </c>
      <c r="BR9" s="98">
        <v>0.13966020860624634</v>
      </c>
      <c r="BS9" s="99">
        <v>0.29573515206600337</v>
      </c>
      <c r="BT9" s="100">
        <v>0.2360837924950174</v>
      </c>
      <c r="BU9" s="101">
        <v>9.6423583888771064E-2</v>
      </c>
      <c r="BV9" s="102">
        <v>-5.9651359570985968E-2</v>
      </c>
      <c r="BW9" s="98">
        <v>0.58119808639973858</v>
      </c>
      <c r="BX9" s="99">
        <v>0.62640488447947396</v>
      </c>
      <c r="BY9" s="100">
        <v>0.69895049873187964</v>
      </c>
      <c r="BZ9" s="101">
        <v>0.11775241233214107</v>
      </c>
      <c r="CA9" s="102">
        <v>7.2545614252405688E-2</v>
      </c>
      <c r="CB9" s="103">
        <v>0.64847999999999995</v>
      </c>
      <c r="CC9" s="99">
        <v>0.75973000000000002</v>
      </c>
      <c r="CD9" s="104">
        <v>0.70409999999999995</v>
      </c>
    </row>
    <row r="10" spans="1:82" x14ac:dyDescent="0.2">
      <c r="A10" s="85">
        <v>6304</v>
      </c>
      <c r="B10" s="86" t="s">
        <v>140</v>
      </c>
      <c r="C10" s="24">
        <v>0.19871939635401825</v>
      </c>
      <c r="D10" s="25">
        <v>0.17575693189664834</v>
      </c>
      <c r="E10" s="26">
        <v>0.19989607412980975</v>
      </c>
      <c r="F10" s="24">
        <v>0.90065002539029881</v>
      </c>
      <c r="G10" s="25">
        <v>0.73307614907455276</v>
      </c>
      <c r="H10" s="26">
        <v>0.70687443465490452</v>
      </c>
      <c r="I10" s="24">
        <v>0.10565932138217415</v>
      </c>
      <c r="J10" s="25">
        <v>-6.9397880361160499E-2</v>
      </c>
      <c r="K10" s="26">
        <v>2.4972193743464894E-2</v>
      </c>
      <c r="L10" s="24">
        <v>0.16703228629026037</v>
      </c>
      <c r="M10" s="25">
        <v>0.29745118204345883</v>
      </c>
      <c r="N10" s="26">
        <v>5.6120961984566294E-2</v>
      </c>
      <c r="O10" s="87">
        <v>156</v>
      </c>
      <c r="P10" s="88">
        <v>138</v>
      </c>
      <c r="Q10" s="89">
        <v>68</v>
      </c>
      <c r="R10" s="24">
        <v>0.63290411780659472</v>
      </c>
      <c r="S10" s="25">
        <v>1.3521961265279332</v>
      </c>
      <c r="T10" s="26">
        <v>0.42172223777483642</v>
      </c>
      <c r="U10" s="88">
        <v>223.95847750865053</v>
      </c>
      <c r="V10" s="88">
        <v>220.90102389078498</v>
      </c>
      <c r="W10" s="90">
        <v>223.47916666666666</v>
      </c>
      <c r="X10" s="24">
        <v>0.61341524625880806</v>
      </c>
      <c r="Y10" s="25">
        <v>0.59346842561522439</v>
      </c>
      <c r="Z10" s="26">
        <v>0.49996461176974494</v>
      </c>
      <c r="AA10" s="24">
        <v>9.3168926739738464E-2</v>
      </c>
      <c r="AB10" s="25">
        <v>0.14725397191725034</v>
      </c>
      <c r="AC10" s="26">
        <v>0.23680775150182765</v>
      </c>
      <c r="AD10" s="87">
        <v>6940138</v>
      </c>
      <c r="AE10" s="88">
        <v>12366524</v>
      </c>
      <c r="AF10" s="89">
        <v>9179851</v>
      </c>
      <c r="AG10" s="87">
        <v>30719287</v>
      </c>
      <c r="AH10" s="88">
        <v>73843054</v>
      </c>
      <c r="AI10" s="89">
        <v>42584780</v>
      </c>
      <c r="AJ10" s="87">
        <v>3690079</v>
      </c>
      <c r="AK10" s="88">
        <v>-4882940</v>
      </c>
      <c r="AL10" s="91">
        <v>1146801</v>
      </c>
      <c r="AM10" s="92">
        <v>-2543278</v>
      </c>
      <c r="AN10" s="93">
        <v>13440940</v>
      </c>
      <c r="AO10" s="93">
        <v>6046302</v>
      </c>
      <c r="AP10" s="93">
        <v>6985268</v>
      </c>
      <c r="AQ10" s="93">
        <v>-6455672</v>
      </c>
      <c r="AR10" s="93">
        <v>938966</v>
      </c>
      <c r="AS10" s="87">
        <v>5046486</v>
      </c>
      <c r="AT10" s="88">
        <v>4451840</v>
      </c>
      <c r="AU10" s="91">
        <v>2185523</v>
      </c>
      <c r="AV10" s="94">
        <v>-2860963</v>
      </c>
      <c r="AW10" s="95">
        <v>-2266317</v>
      </c>
      <c r="AX10" s="87">
        <v>19121703</v>
      </c>
      <c r="AY10" s="88">
        <v>20237811</v>
      </c>
      <c r="AZ10" s="91">
        <v>16423162</v>
      </c>
      <c r="BA10" s="96">
        <v>-2698541</v>
      </c>
      <c r="BB10" s="97">
        <v>-3814649</v>
      </c>
      <c r="BC10" s="87">
        <v>16682294.169999998</v>
      </c>
      <c r="BD10" s="88">
        <v>24598373.84</v>
      </c>
      <c r="BE10" s="91">
        <v>21927467.529999997</v>
      </c>
      <c r="BF10" s="96">
        <v>5245173.3599999994</v>
      </c>
      <c r="BG10" s="97">
        <v>-2670906.3100000024</v>
      </c>
      <c r="BH10" s="87">
        <v>27877527.530000001</v>
      </c>
      <c r="BI10" s="88">
        <v>62079074.039999999</v>
      </c>
      <c r="BJ10" s="91">
        <v>62063600.689999998</v>
      </c>
      <c r="BK10" s="96">
        <v>34186073.159999996</v>
      </c>
      <c r="BL10" s="97">
        <v>-15473.35000000149</v>
      </c>
      <c r="BM10" s="98">
        <v>0.23066690696350564</v>
      </c>
      <c r="BN10" s="99">
        <v>0.27406519508253274</v>
      </c>
      <c r="BO10" s="100">
        <v>0.16576367250916196</v>
      </c>
      <c r="BP10" s="101">
        <v>-6.4903234454343678E-2</v>
      </c>
      <c r="BQ10" s="102">
        <v>-0.10830152257337078</v>
      </c>
      <c r="BR10" s="98">
        <v>0.20124008814744285</v>
      </c>
      <c r="BS10" s="99">
        <v>0.42142169565774185</v>
      </c>
      <c r="BT10" s="100">
        <v>0.22132020293036153</v>
      </c>
      <c r="BU10" s="101">
        <v>2.0080114782918684E-2</v>
      </c>
      <c r="BV10" s="102">
        <v>-0.20010149272738031</v>
      </c>
      <c r="BW10" s="98">
        <v>0.33628924417114298</v>
      </c>
      <c r="BX10" s="99">
        <v>1.063544639859791</v>
      </c>
      <c r="BY10" s="100">
        <v>0.62642567731576648</v>
      </c>
      <c r="BZ10" s="101">
        <v>0.29013643314462351</v>
      </c>
      <c r="CA10" s="102">
        <v>-0.43711896254402449</v>
      </c>
      <c r="CB10" s="103">
        <v>0.79632999999999998</v>
      </c>
      <c r="CC10" s="99">
        <v>0.71333999999999997</v>
      </c>
      <c r="CD10" s="104">
        <v>0.75480000000000003</v>
      </c>
    </row>
    <row r="11" spans="1:82" x14ac:dyDescent="0.2">
      <c r="A11" s="85">
        <v>6310</v>
      </c>
      <c r="B11" s="86" t="s">
        <v>146</v>
      </c>
      <c r="C11" s="24">
        <v>0.16030480250636106</v>
      </c>
      <c r="D11" s="25">
        <v>0.14248210478418463</v>
      </c>
      <c r="E11" s="26">
        <v>0.15634272029882798</v>
      </c>
      <c r="F11" s="24">
        <v>0.62980324144223387</v>
      </c>
      <c r="G11" s="25">
        <v>0.4483346972588223</v>
      </c>
      <c r="H11" s="26">
        <v>0.52227300843653501</v>
      </c>
      <c r="I11" s="24">
        <v>7.5281597446446413E-2</v>
      </c>
      <c r="J11" s="25">
        <v>1.0447923695449305E-2</v>
      </c>
      <c r="K11" s="26">
        <v>3.817358630723882E-2</v>
      </c>
      <c r="L11" s="24">
        <v>0.1337931731568347</v>
      </c>
      <c r="M11" s="25">
        <v>0.46214622522931925</v>
      </c>
      <c r="N11" s="26">
        <v>0.10722565381366655</v>
      </c>
      <c r="O11" s="87">
        <v>203</v>
      </c>
      <c r="P11" s="88">
        <v>202</v>
      </c>
      <c r="Q11" s="89">
        <v>166</v>
      </c>
      <c r="R11" s="24">
        <v>0.10232643386417692</v>
      </c>
      <c r="S11" s="25">
        <v>0.34063634506881824</v>
      </c>
      <c r="T11" s="26">
        <v>9.6258005799139235E-2</v>
      </c>
      <c r="U11" s="88">
        <v>207.20588235294119</v>
      </c>
      <c r="V11" s="88">
        <v>207.20588235294119</v>
      </c>
      <c r="W11" s="90">
        <v>213.40816326530611</v>
      </c>
      <c r="X11" s="24">
        <v>0.62153533401743954</v>
      </c>
      <c r="Y11" s="25">
        <v>0.54988296689744109</v>
      </c>
      <c r="Z11" s="26">
        <v>0.59036191163229812</v>
      </c>
      <c r="AA11" s="24">
        <v>6.0689960690239013E-2</v>
      </c>
      <c r="AB11" s="25">
        <v>0.18312146776949428</v>
      </c>
      <c r="AC11" s="26">
        <v>5.8684954664837682E-2</v>
      </c>
      <c r="AD11" s="87">
        <v>3481068</v>
      </c>
      <c r="AE11" s="88">
        <v>6598287</v>
      </c>
      <c r="AF11" s="89">
        <v>3456713</v>
      </c>
      <c r="AG11" s="87">
        <v>19042853</v>
      </c>
      <c r="AH11" s="88">
        <v>44555770</v>
      </c>
      <c r="AI11" s="89">
        <v>21957570</v>
      </c>
      <c r="AJ11" s="87">
        <v>1634763</v>
      </c>
      <c r="AK11" s="88">
        <v>483839</v>
      </c>
      <c r="AL11" s="91">
        <v>844012</v>
      </c>
      <c r="AM11" s="92">
        <v>-790751</v>
      </c>
      <c r="AN11" s="93">
        <v>3898691</v>
      </c>
      <c r="AO11" s="93">
        <v>2679647</v>
      </c>
      <c r="AP11" s="93">
        <v>2759251</v>
      </c>
      <c r="AQ11" s="93">
        <v>-1139440</v>
      </c>
      <c r="AR11" s="93">
        <v>79604</v>
      </c>
      <c r="AS11" s="87">
        <v>4288692</v>
      </c>
      <c r="AT11" s="88">
        <v>4274292</v>
      </c>
      <c r="AU11" s="91">
        <v>3481690</v>
      </c>
      <c r="AV11" s="94">
        <v>-807002</v>
      </c>
      <c r="AW11" s="95">
        <v>-792602</v>
      </c>
      <c r="AX11" s="87">
        <v>3280037</v>
      </c>
      <c r="AY11" s="88">
        <v>3150473</v>
      </c>
      <c r="AZ11" s="91">
        <v>3125563</v>
      </c>
      <c r="BA11" s="96">
        <v>-154474</v>
      </c>
      <c r="BB11" s="97">
        <v>-24910</v>
      </c>
      <c r="BC11" s="87">
        <v>16597332.039999999</v>
      </c>
      <c r="BD11" s="88">
        <v>18743921.159999996</v>
      </c>
      <c r="BE11" s="91">
        <v>20871399.490000002</v>
      </c>
      <c r="BF11" s="96">
        <v>4274067.450000003</v>
      </c>
      <c r="BG11" s="97">
        <v>2127478.3300000057</v>
      </c>
      <c r="BH11" s="87">
        <v>56433897.549999997</v>
      </c>
      <c r="BI11" s="88">
        <v>57863508.329999998</v>
      </c>
      <c r="BJ11" s="91">
        <v>57649766.07</v>
      </c>
      <c r="BK11" s="96">
        <v>1215868.5200000033</v>
      </c>
      <c r="BL11" s="97">
        <v>-213742.25999999791</v>
      </c>
      <c r="BM11" s="98">
        <v>5.8207514831923796E-2</v>
      </c>
      <c r="BN11" s="99">
        <v>7.0708530006326903E-2</v>
      </c>
      <c r="BO11" s="100">
        <v>5.2619338017457114E-2</v>
      </c>
      <c r="BP11" s="101">
        <v>-5.5881768144666819E-3</v>
      </c>
      <c r="BQ11" s="102">
        <v>-1.8089191988869789E-2</v>
      </c>
      <c r="BR11" s="98">
        <v>0.29453614422296576</v>
      </c>
      <c r="BS11" s="99">
        <v>0.55834002049400067</v>
      </c>
      <c r="BT11" s="100">
        <v>0.35137324848729401</v>
      </c>
      <c r="BU11" s="101">
        <v>5.6837104264328253E-2</v>
      </c>
      <c r="BV11" s="102">
        <v>-0.20696677200670666</v>
      </c>
      <c r="BW11" s="98">
        <v>1.0014755713624244</v>
      </c>
      <c r="BX11" s="99">
        <v>1.7236261372978898</v>
      </c>
      <c r="BY11" s="100">
        <v>0.97054275580580529</v>
      </c>
      <c r="BZ11" s="101">
        <v>-3.0932815556619087E-2</v>
      </c>
      <c r="CA11" s="102">
        <v>-0.75308338149208454</v>
      </c>
      <c r="CB11" s="103">
        <v>0.82945999999999998</v>
      </c>
      <c r="CC11" s="99">
        <v>0.68672</v>
      </c>
      <c r="CD11" s="104">
        <v>0.7581</v>
      </c>
    </row>
    <row r="12" spans="1:82" x14ac:dyDescent="0.2">
      <c r="A12" s="85">
        <v>6406</v>
      </c>
      <c r="B12" s="86" t="s">
        <v>154</v>
      </c>
      <c r="C12" s="24">
        <v>0.14623360675634967</v>
      </c>
      <c r="D12" s="25">
        <v>0.1389313177299554</v>
      </c>
      <c r="E12" s="26">
        <v>0.17724571457247043</v>
      </c>
      <c r="F12" s="24">
        <v>0.53788295312176082</v>
      </c>
      <c r="G12" s="25">
        <v>0.28155775180445691</v>
      </c>
      <c r="H12" s="26">
        <v>0.53976873748657983</v>
      </c>
      <c r="I12" s="24">
        <v>0.19356321817955988</v>
      </c>
      <c r="J12" s="25">
        <v>-2.7416102802473009E-2</v>
      </c>
      <c r="K12" s="26">
        <v>9.5751685157370814E-2</v>
      </c>
      <c r="L12" s="24">
        <v>0</v>
      </c>
      <c r="M12" s="25">
        <v>0</v>
      </c>
      <c r="N12" s="26">
        <v>0</v>
      </c>
      <c r="O12" s="87">
        <v>0</v>
      </c>
      <c r="P12" s="88">
        <v>0</v>
      </c>
      <c r="Q12" s="89">
        <v>0</v>
      </c>
      <c r="R12" s="24">
        <v>0</v>
      </c>
      <c r="S12" s="25">
        <v>0</v>
      </c>
      <c r="T12" s="26">
        <v>0</v>
      </c>
      <c r="U12" s="88">
        <v>53.984126984126981</v>
      </c>
      <c r="V12" s="88">
        <v>53.984126984126981</v>
      </c>
      <c r="W12" s="90">
        <v>52.523809523809526</v>
      </c>
      <c r="X12" s="24">
        <v>0.61725504997726466</v>
      </c>
      <c r="Y12" s="25">
        <v>0.47876944786738207</v>
      </c>
      <c r="Z12" s="26">
        <v>0.61363949787741423</v>
      </c>
      <c r="AA12" s="24">
        <v>7.2367844102922296E-2</v>
      </c>
      <c r="AB12" s="25">
        <v>0.29631295145454001</v>
      </c>
      <c r="AC12" s="26">
        <v>7.5188677261837603E-2</v>
      </c>
      <c r="AD12" s="87">
        <v>954824</v>
      </c>
      <c r="AE12" s="88">
        <v>2023613</v>
      </c>
      <c r="AF12" s="89">
        <v>1116123</v>
      </c>
      <c r="AG12" s="87">
        <v>5176954</v>
      </c>
      <c r="AH12" s="88">
        <v>14870268</v>
      </c>
      <c r="AI12" s="89">
        <v>5612494</v>
      </c>
      <c r="AJ12" s="87">
        <v>1263860</v>
      </c>
      <c r="AK12" s="88">
        <v>-399331</v>
      </c>
      <c r="AL12" s="91">
        <v>602952</v>
      </c>
      <c r="AM12" s="92">
        <v>-660908</v>
      </c>
      <c r="AN12" s="93">
        <v>4722047</v>
      </c>
      <c r="AO12" s="93">
        <v>3272621</v>
      </c>
      <c r="AP12" s="93">
        <v>3989898</v>
      </c>
      <c r="AQ12" s="93">
        <v>-732149</v>
      </c>
      <c r="AR12" s="93">
        <v>717277</v>
      </c>
      <c r="AS12" s="87">
        <v>0</v>
      </c>
      <c r="AT12" s="88">
        <v>0</v>
      </c>
      <c r="AU12" s="91">
        <v>0</v>
      </c>
      <c r="AV12" s="94">
        <v>0</v>
      </c>
      <c r="AW12" s="95">
        <v>0</v>
      </c>
      <c r="AX12" s="87">
        <v>0</v>
      </c>
      <c r="AY12" s="88">
        <v>0</v>
      </c>
      <c r="AZ12" s="91">
        <v>0</v>
      </c>
      <c r="BA12" s="96">
        <v>0</v>
      </c>
      <c r="BB12" s="97">
        <v>0</v>
      </c>
      <c r="BC12" s="87">
        <v>207101.31</v>
      </c>
      <c r="BD12" s="88">
        <v>2339893.37</v>
      </c>
      <c r="BE12" s="91">
        <v>216455.75000000038</v>
      </c>
      <c r="BF12" s="96">
        <v>9354.4400000003807</v>
      </c>
      <c r="BG12" s="97">
        <v>-2123437.6199999996</v>
      </c>
      <c r="BH12" s="87">
        <v>2391491.21</v>
      </c>
      <c r="BI12" s="88">
        <v>9898229.1899999995</v>
      </c>
      <c r="BJ12" s="91">
        <v>9946213.4499999993</v>
      </c>
      <c r="BK12" s="96">
        <v>7554722.2399999993</v>
      </c>
      <c r="BL12" s="97">
        <v>47984.259999999776</v>
      </c>
      <c r="BM12" s="98">
        <v>0</v>
      </c>
      <c r="BN12" s="99">
        <v>0</v>
      </c>
      <c r="BO12" s="100">
        <v>0</v>
      </c>
      <c r="BP12" s="101">
        <v>0</v>
      </c>
      <c r="BQ12" s="102">
        <v>0</v>
      </c>
      <c r="BR12" s="98">
        <v>1.3243599084835363E-2</v>
      </c>
      <c r="BS12" s="99">
        <v>0.18447665215436765</v>
      </c>
      <c r="BT12" s="100">
        <v>1.3636448398359964E-2</v>
      </c>
      <c r="BU12" s="101">
        <v>3.9284931352460105E-4</v>
      </c>
      <c r="BV12" s="102">
        <v>-0.1708402037560077</v>
      </c>
      <c r="BW12" s="98">
        <v>0.15292974631665929</v>
      </c>
      <c r="BX12" s="99">
        <v>0.78037410022142928</v>
      </c>
      <c r="BY12" s="100">
        <v>0.62659932327969381</v>
      </c>
      <c r="BZ12" s="101">
        <v>0.47366957696303452</v>
      </c>
      <c r="CA12" s="102">
        <v>-0.15377477694173547</v>
      </c>
      <c r="CB12" s="103">
        <v>0.47954000000000002</v>
      </c>
      <c r="CC12" s="99">
        <v>0.46084000000000003</v>
      </c>
      <c r="CD12" s="104">
        <v>0.47020000000000001</v>
      </c>
    </row>
    <row r="13" spans="1:82" x14ac:dyDescent="0.2">
      <c r="A13" s="85">
        <v>7001</v>
      </c>
      <c r="B13" s="86" t="s">
        <v>205</v>
      </c>
      <c r="C13" s="24">
        <v>0.11971777350821292</v>
      </c>
      <c r="D13" s="25">
        <v>0.1154250747232821</v>
      </c>
      <c r="E13" s="26">
        <v>8.0350784408347128E-2</v>
      </c>
      <c r="F13" s="24">
        <v>0.6193390983446404</v>
      </c>
      <c r="G13" s="25">
        <v>0.33768595394411477</v>
      </c>
      <c r="H13" s="26">
        <v>0.1950355219256506</v>
      </c>
      <c r="I13" s="24">
        <v>0.21503849799359215</v>
      </c>
      <c r="J13" s="25">
        <v>-2.5742133868189555E-2</v>
      </c>
      <c r="K13" s="26">
        <v>0.11713639249330421</v>
      </c>
      <c r="L13" s="24">
        <v>0</v>
      </c>
      <c r="M13" s="25">
        <v>0</v>
      </c>
      <c r="N13" s="26">
        <v>0.13306047093155698</v>
      </c>
      <c r="O13" s="87">
        <v>0</v>
      </c>
      <c r="P13" s="88">
        <v>0</v>
      </c>
      <c r="Q13" s="89">
        <v>56</v>
      </c>
      <c r="R13" s="24">
        <v>3.1906239963882623E-3</v>
      </c>
      <c r="S13" s="25">
        <v>2.8159811007483827E-3</v>
      </c>
      <c r="T13" s="26">
        <v>2.7538184199285515E-3</v>
      </c>
      <c r="U13" s="88">
        <v>152.64423076923077</v>
      </c>
      <c r="V13" s="88">
        <v>152.64423076923077</v>
      </c>
      <c r="W13" s="90">
        <v>150.65714285714284</v>
      </c>
      <c r="X13" s="24">
        <v>0.72463494453648958</v>
      </c>
      <c r="Y13" s="25">
        <v>0.61713392856045246</v>
      </c>
      <c r="Z13" s="26">
        <v>0.50015444145918797</v>
      </c>
      <c r="AA13" s="24">
        <v>7.7369688307828449E-2</v>
      </c>
      <c r="AB13" s="25">
        <v>0.2058973173702198</v>
      </c>
      <c r="AC13" s="26">
        <v>0.37600358471251677</v>
      </c>
      <c r="AD13" s="87">
        <v>1914558</v>
      </c>
      <c r="AE13" s="88">
        <v>3762272</v>
      </c>
      <c r="AF13" s="89">
        <v>1952281</v>
      </c>
      <c r="AG13" s="87">
        <v>12455847</v>
      </c>
      <c r="AH13" s="88">
        <v>33351639</v>
      </c>
      <c r="AI13" s="89">
        <v>21069472</v>
      </c>
      <c r="AJ13" s="87">
        <v>3438952</v>
      </c>
      <c r="AK13" s="88">
        <v>-839063</v>
      </c>
      <c r="AL13" s="91">
        <v>2846060</v>
      </c>
      <c r="AM13" s="92">
        <v>-592892</v>
      </c>
      <c r="AN13" s="93">
        <v>13185011</v>
      </c>
      <c r="AO13" s="93">
        <v>8909847</v>
      </c>
      <c r="AP13" s="93">
        <v>12611508</v>
      </c>
      <c r="AQ13" s="93">
        <v>-573503</v>
      </c>
      <c r="AR13" s="93">
        <v>3701661</v>
      </c>
      <c r="AS13" s="87">
        <v>0</v>
      </c>
      <c r="AT13" s="88">
        <v>0</v>
      </c>
      <c r="AU13" s="91">
        <v>883746</v>
      </c>
      <c r="AV13" s="94">
        <v>883746</v>
      </c>
      <c r="AW13" s="95">
        <v>883746</v>
      </c>
      <c r="AX13" s="87">
        <v>18290</v>
      </c>
      <c r="AY13" s="88">
        <v>18290</v>
      </c>
      <c r="AZ13" s="91">
        <v>18290</v>
      </c>
      <c r="BA13" s="96">
        <v>0</v>
      </c>
      <c r="BB13" s="97">
        <v>0</v>
      </c>
      <c r="BC13" s="87">
        <v>82526.040000000503</v>
      </c>
      <c r="BD13" s="88">
        <v>5406427.1799999997</v>
      </c>
      <c r="BE13" s="91">
        <v>866737.06000000052</v>
      </c>
      <c r="BF13" s="96">
        <v>784211.02</v>
      </c>
      <c r="BG13" s="97">
        <v>-4539690.1199999992</v>
      </c>
      <c r="BH13" s="87">
        <v>18979201.41</v>
      </c>
      <c r="BI13" s="88">
        <v>14223396.710000001</v>
      </c>
      <c r="BJ13" s="91">
        <v>11375662.790000001</v>
      </c>
      <c r="BK13" s="96">
        <v>-7603538.6199999992</v>
      </c>
      <c r="BL13" s="97">
        <v>-2847733.92</v>
      </c>
      <c r="BM13" s="98">
        <v>4.8516277277341853E-4</v>
      </c>
      <c r="BN13" s="99">
        <v>5.4839883581133753E-4</v>
      </c>
      <c r="BO13" s="100">
        <v>3.8648655364889795E-4</v>
      </c>
      <c r="BP13" s="101">
        <v>-9.8676219124520573E-5</v>
      </c>
      <c r="BQ13" s="102">
        <v>-1.6191228216243958E-4</v>
      </c>
      <c r="BR13" s="98">
        <v>2.1890958115041168E-3</v>
      </c>
      <c r="BS13" s="99">
        <v>0.20089993458076413</v>
      </c>
      <c r="BT13" s="100">
        <v>1.83150475253788E-2</v>
      </c>
      <c r="BU13" s="101">
        <v>1.6125951713874685E-2</v>
      </c>
      <c r="BV13" s="102">
        <v>-0.18258488705538534</v>
      </c>
      <c r="BW13" s="98">
        <v>0.50344461351015712</v>
      </c>
      <c r="BX13" s="99">
        <v>0.52853379383818055</v>
      </c>
      <c r="BY13" s="100">
        <v>0.24037948098300205</v>
      </c>
      <c r="BZ13" s="101">
        <v>-0.26306513252715508</v>
      </c>
      <c r="CA13" s="102">
        <v>-0.28815431285517851</v>
      </c>
      <c r="CB13" s="103">
        <v>0.73863000000000001</v>
      </c>
      <c r="CC13" s="99">
        <v>0.64429999999999998</v>
      </c>
      <c r="CD13" s="104">
        <v>0.6915</v>
      </c>
    </row>
    <row r="14" spans="1:82" x14ac:dyDescent="0.2">
      <c r="A14" s="85">
        <v>7104</v>
      </c>
      <c r="B14" s="86" t="s">
        <v>212</v>
      </c>
      <c r="C14" s="24">
        <v>0.1014301488752866</v>
      </c>
      <c r="D14" s="25">
        <v>0.13035546706412898</v>
      </c>
      <c r="E14" s="26">
        <v>0.10848475641597752</v>
      </c>
      <c r="F14" s="24">
        <v>0.51463947213817318</v>
      </c>
      <c r="G14" s="25">
        <v>0.38855832587549161</v>
      </c>
      <c r="H14" s="26">
        <v>0.34246898475366594</v>
      </c>
      <c r="I14" s="24">
        <v>0.17200873678682804</v>
      </c>
      <c r="J14" s="25">
        <v>2.3430653266887525E-2</v>
      </c>
      <c r="K14" s="26">
        <v>0.17589567330972342</v>
      </c>
      <c r="L14" s="24">
        <v>0.59984682885094798</v>
      </c>
      <c r="M14" s="25">
        <v>0.53937431250528844</v>
      </c>
      <c r="N14" s="26">
        <v>0.41948936934955411</v>
      </c>
      <c r="O14" s="87">
        <v>248</v>
      </c>
      <c r="P14" s="88">
        <v>246</v>
      </c>
      <c r="Q14" s="89">
        <v>224</v>
      </c>
      <c r="R14" s="24">
        <v>1.6017397225318906</v>
      </c>
      <c r="S14" s="25">
        <v>1.8408969161775679</v>
      </c>
      <c r="T14" s="26">
        <v>1.5939905609641283</v>
      </c>
      <c r="U14" s="88">
        <v>129.67272727272729</v>
      </c>
      <c r="V14" s="88">
        <v>129.67272727272729</v>
      </c>
      <c r="W14" s="90">
        <v>99.928571428571431</v>
      </c>
      <c r="X14" s="24">
        <v>0.76832339747123124</v>
      </c>
      <c r="Y14" s="25">
        <v>0.62121992062075027</v>
      </c>
      <c r="Z14" s="26">
        <v>0.55618005634851408</v>
      </c>
      <c r="AA14" s="24">
        <v>9.6707499483039451E-3</v>
      </c>
      <c r="AB14" s="25">
        <v>0.18829408167248082</v>
      </c>
      <c r="AC14" s="26">
        <v>0.2576994650284804</v>
      </c>
      <c r="AD14" s="87">
        <v>757732</v>
      </c>
      <c r="AE14" s="88">
        <v>2239025</v>
      </c>
      <c r="AF14" s="89">
        <v>1142594</v>
      </c>
      <c r="AG14" s="87">
        <v>6131996</v>
      </c>
      <c r="AH14" s="88">
        <v>16858310</v>
      </c>
      <c r="AI14" s="89">
        <v>8574849</v>
      </c>
      <c r="AJ14" s="87">
        <v>1284988</v>
      </c>
      <c r="AK14" s="88">
        <v>402452</v>
      </c>
      <c r="AL14" s="91">
        <v>1852586</v>
      </c>
      <c r="AM14" s="92">
        <v>567598</v>
      </c>
      <c r="AN14" s="93">
        <v>3205310</v>
      </c>
      <c r="AO14" s="93">
        <v>1774611</v>
      </c>
      <c r="AP14" s="93">
        <v>3512352</v>
      </c>
      <c r="AQ14" s="93">
        <v>307042</v>
      </c>
      <c r="AR14" s="93">
        <v>1737741</v>
      </c>
      <c r="AS14" s="87">
        <v>1765417</v>
      </c>
      <c r="AT14" s="88">
        <v>1752980</v>
      </c>
      <c r="AU14" s="91">
        <v>1563913</v>
      </c>
      <c r="AV14" s="94">
        <v>-201504</v>
      </c>
      <c r="AW14" s="95">
        <v>-189067</v>
      </c>
      <c r="AX14" s="87">
        <v>4714101</v>
      </c>
      <c r="AY14" s="88">
        <v>5982961</v>
      </c>
      <c r="AZ14" s="91">
        <v>5942612</v>
      </c>
      <c r="BA14" s="96">
        <v>1228511</v>
      </c>
      <c r="BB14" s="97">
        <v>-40349</v>
      </c>
      <c r="BC14" s="87">
        <v>5604761.3100000005</v>
      </c>
      <c r="BD14" s="88">
        <v>10579344.6</v>
      </c>
      <c r="BE14" s="91">
        <v>6549266.5300000003</v>
      </c>
      <c r="BF14" s="96">
        <v>944505.21999999974</v>
      </c>
      <c r="BG14" s="97">
        <v>-4030078.0699999994</v>
      </c>
      <c r="BH14" s="87">
        <v>12358191.939999999</v>
      </c>
      <c r="BI14" s="88">
        <v>7275285.8900000006</v>
      </c>
      <c r="BJ14" s="91">
        <v>6457399.3399999999</v>
      </c>
      <c r="BK14" s="96">
        <v>-5900792.5999999996</v>
      </c>
      <c r="BL14" s="97">
        <v>-817886.55000000075</v>
      </c>
      <c r="BM14" s="98">
        <v>0.18669470327504761</v>
      </c>
      <c r="BN14" s="99">
        <v>0.35489684315924908</v>
      </c>
      <c r="BO14" s="100">
        <v>0.30497456095652997</v>
      </c>
      <c r="BP14" s="101">
        <v>0.11827985768148236</v>
      </c>
      <c r="BQ14" s="102">
        <v>-4.9922282202719104E-2</v>
      </c>
      <c r="BR14" s="98">
        <v>0.22196793189155625</v>
      </c>
      <c r="BS14" s="99">
        <v>0.71778741958230463</v>
      </c>
      <c r="BT14" s="100">
        <v>0.33610804214948692</v>
      </c>
      <c r="BU14" s="101">
        <v>0.11414011025793067</v>
      </c>
      <c r="BV14" s="102">
        <v>-0.38167937743281771</v>
      </c>
      <c r="BW14" s="98">
        <v>0.4894271415174144</v>
      </c>
      <c r="BX14" s="99">
        <v>0.49361362949710996</v>
      </c>
      <c r="BY14" s="100">
        <v>0.3313934223936354</v>
      </c>
      <c r="BZ14" s="101">
        <v>-0.158033719123779</v>
      </c>
      <c r="CA14" s="102">
        <v>-0.16222020710347457</v>
      </c>
      <c r="CB14" s="103">
        <v>0.90795000000000003</v>
      </c>
      <c r="CC14" s="99">
        <v>0.87814000000000003</v>
      </c>
      <c r="CD14" s="104">
        <v>0.89300000000000002</v>
      </c>
    </row>
    <row r="15" spans="1:82" x14ac:dyDescent="0.2">
      <c r="A15" s="85">
        <v>7108</v>
      </c>
      <c r="B15" s="86" t="s">
        <v>216</v>
      </c>
      <c r="C15" s="24">
        <v>0.12347334693099221</v>
      </c>
      <c r="D15" s="25">
        <v>0.1064845422488868</v>
      </c>
      <c r="E15" s="26">
        <v>0.12174627454880596</v>
      </c>
      <c r="F15" s="24">
        <v>0.41318169295936219</v>
      </c>
      <c r="G15" s="25">
        <v>0.36032876135019259</v>
      </c>
      <c r="H15" s="26">
        <v>0.38522592868869726</v>
      </c>
      <c r="I15" s="24">
        <v>5.4029158089817376E-2</v>
      </c>
      <c r="J15" s="25">
        <v>-3.9126689247541202E-2</v>
      </c>
      <c r="K15" s="26">
        <v>0.1130440214310687</v>
      </c>
      <c r="L15" s="24">
        <v>1.7548110535265649</v>
      </c>
      <c r="M15" s="25">
        <v>1.7346106186861168</v>
      </c>
      <c r="N15" s="26">
        <v>1.6802810056595536</v>
      </c>
      <c r="O15" s="87">
        <v>744</v>
      </c>
      <c r="P15" s="88">
        <v>718</v>
      </c>
      <c r="Q15" s="89">
        <v>786</v>
      </c>
      <c r="R15" s="24">
        <v>0.14597344194710943</v>
      </c>
      <c r="S15" s="25">
        <v>0.16972365927826796</v>
      </c>
      <c r="T15" s="26">
        <v>8.8904995777578558E-2</v>
      </c>
      <c r="U15" s="88">
        <v>134.87096774193549</v>
      </c>
      <c r="V15" s="88">
        <v>141.72881355932202</v>
      </c>
      <c r="W15" s="90">
        <v>141.75862068965517</v>
      </c>
      <c r="X15" s="24">
        <v>0.5822870769570917</v>
      </c>
      <c r="Y15" s="25">
        <v>0.59634827773937671</v>
      </c>
      <c r="Z15" s="26">
        <v>0.55576134556142176</v>
      </c>
      <c r="AA15" s="24">
        <v>9.4191201114190146E-2</v>
      </c>
      <c r="AB15" s="25">
        <v>0.13940906892874794</v>
      </c>
      <c r="AC15" s="26">
        <v>0.2128777662859089</v>
      </c>
      <c r="AD15" s="87">
        <v>1261340</v>
      </c>
      <c r="AE15" s="88">
        <v>2093046</v>
      </c>
      <c r="AF15" s="89">
        <v>1596268</v>
      </c>
      <c r="AG15" s="87">
        <v>9688113</v>
      </c>
      <c r="AH15" s="88">
        <v>20640343</v>
      </c>
      <c r="AI15" s="89">
        <v>11532792</v>
      </c>
      <c r="AJ15" s="87">
        <v>551934</v>
      </c>
      <c r="AK15" s="88">
        <v>-769069</v>
      </c>
      <c r="AL15" s="91">
        <v>1482169</v>
      </c>
      <c r="AM15" s="92">
        <v>930235</v>
      </c>
      <c r="AN15" s="93">
        <v>2557091</v>
      </c>
      <c r="AO15" s="93">
        <v>983808</v>
      </c>
      <c r="AP15" s="93">
        <v>2400994</v>
      </c>
      <c r="AQ15" s="93">
        <v>-156097</v>
      </c>
      <c r="AR15" s="93">
        <v>1417186</v>
      </c>
      <c r="AS15" s="87">
        <v>6224750</v>
      </c>
      <c r="AT15" s="88">
        <v>5999751</v>
      </c>
      <c r="AU15" s="91">
        <v>6458607</v>
      </c>
      <c r="AV15" s="94">
        <v>233857</v>
      </c>
      <c r="AW15" s="95">
        <v>458856</v>
      </c>
      <c r="AX15" s="87">
        <v>517804</v>
      </c>
      <c r="AY15" s="88">
        <v>587048</v>
      </c>
      <c r="AZ15" s="91">
        <v>341730</v>
      </c>
      <c r="BA15" s="96">
        <v>-176074</v>
      </c>
      <c r="BB15" s="97">
        <v>-245318</v>
      </c>
      <c r="BC15" s="87">
        <v>897529.0399999998</v>
      </c>
      <c r="BD15" s="88">
        <v>3347026.9700000007</v>
      </c>
      <c r="BE15" s="91">
        <v>2072678.71</v>
      </c>
      <c r="BF15" s="96">
        <v>1175149.6700000002</v>
      </c>
      <c r="BG15" s="97">
        <v>-1274348.2600000007</v>
      </c>
      <c r="BH15" s="87">
        <v>9047115.2799999993</v>
      </c>
      <c r="BI15" s="88">
        <v>14188911.469999999</v>
      </c>
      <c r="BJ15" s="91">
        <v>11670146.720000001</v>
      </c>
      <c r="BK15" s="96">
        <v>2623031.4400000013</v>
      </c>
      <c r="BL15" s="97">
        <v>-2518764.7499999981</v>
      </c>
      <c r="BM15" s="98">
        <v>2.5284929360957401E-2</v>
      </c>
      <c r="BN15" s="99">
        <v>2.8441775410418323E-2</v>
      </c>
      <c r="BO15" s="100">
        <v>1.5474536840496527E-2</v>
      </c>
      <c r="BP15" s="101">
        <v>-9.8103925204608734E-3</v>
      </c>
      <c r="BQ15" s="102">
        <v>-1.2967238569921796E-2</v>
      </c>
      <c r="BR15" s="98">
        <v>4.382731376313799E-2</v>
      </c>
      <c r="BS15" s="99">
        <v>0.17088282143185177</v>
      </c>
      <c r="BT15" s="100">
        <v>9.3856972043448977E-2</v>
      </c>
      <c r="BU15" s="101">
        <v>5.0029658280310987E-2</v>
      </c>
      <c r="BV15" s="102">
        <v>-7.7025849388402789E-2</v>
      </c>
      <c r="BW15" s="98">
        <v>0.44178042420537178</v>
      </c>
      <c r="BX15" s="99">
        <v>0.72441639902302979</v>
      </c>
      <c r="BY15" s="100">
        <v>0.52845847702174154</v>
      </c>
      <c r="BZ15" s="101">
        <v>8.6678052816369755E-2</v>
      </c>
      <c r="CA15" s="102">
        <v>-0.19595792200128825</v>
      </c>
      <c r="CB15" s="103">
        <v>0.86458999999999997</v>
      </c>
      <c r="CC15" s="99">
        <v>0.81866000000000005</v>
      </c>
      <c r="CD15" s="104">
        <v>0.84160000000000001</v>
      </c>
    </row>
    <row r="16" spans="1:82" x14ac:dyDescent="0.2">
      <c r="A16" s="85">
        <v>7307</v>
      </c>
      <c r="B16" s="86" t="s">
        <v>226</v>
      </c>
      <c r="C16" s="24">
        <v>0.29550180729305869</v>
      </c>
      <c r="D16" s="25">
        <v>0.18149510726033602</v>
      </c>
      <c r="E16" s="26">
        <v>0.22472155677399999</v>
      </c>
      <c r="F16" s="24">
        <v>0.41009471221641713</v>
      </c>
      <c r="G16" s="25">
        <v>0.28683914640178859</v>
      </c>
      <c r="H16" s="26">
        <v>0.51267456379471255</v>
      </c>
      <c r="I16" s="24">
        <v>-0.36404054238452116</v>
      </c>
      <c r="J16" s="25">
        <v>-0.13508180400240169</v>
      </c>
      <c r="K16" s="26">
        <v>0.11287802021720048</v>
      </c>
      <c r="L16" s="24">
        <v>0.14143218956590503</v>
      </c>
      <c r="M16" s="25">
        <v>0.11931339279824683</v>
      </c>
      <c r="N16" s="26">
        <v>7.5461109921838701E-2</v>
      </c>
      <c r="O16" s="87">
        <v>112</v>
      </c>
      <c r="P16" s="88">
        <v>91</v>
      </c>
      <c r="Q16" s="89">
        <v>81</v>
      </c>
      <c r="R16" s="24">
        <v>6.9471886164632915E-2</v>
      </c>
      <c r="S16" s="25">
        <v>7.1756022838044844E-2</v>
      </c>
      <c r="T16" s="26">
        <v>5.1117179301090707E-2</v>
      </c>
      <c r="U16" s="88">
        <v>97</v>
      </c>
      <c r="V16" s="88">
        <v>103.76744186046511</v>
      </c>
      <c r="W16" s="90">
        <v>98.577777777777783</v>
      </c>
      <c r="X16" s="24">
        <v>0.39422526631912963</v>
      </c>
      <c r="Y16" s="25">
        <v>0.37756122373754142</v>
      </c>
      <c r="Z16" s="26">
        <v>0.42577714831279501</v>
      </c>
      <c r="AA16" s="24">
        <v>0.27419155145058932</v>
      </c>
      <c r="AB16" s="25">
        <v>0.33842247705107231</v>
      </c>
      <c r="AC16" s="26">
        <v>0.26060741915750296</v>
      </c>
      <c r="AD16" s="87">
        <v>1518064</v>
      </c>
      <c r="AE16" s="88">
        <v>2491675</v>
      </c>
      <c r="AF16" s="89">
        <v>1804535</v>
      </c>
      <c r="AG16" s="87">
        <v>7059200</v>
      </c>
      <c r="AH16" s="88">
        <v>15979178</v>
      </c>
      <c r="AI16" s="89">
        <v>7177877</v>
      </c>
      <c r="AJ16" s="87">
        <v>-1870164</v>
      </c>
      <c r="AK16" s="88">
        <v>-1854485</v>
      </c>
      <c r="AL16" s="91">
        <v>906421</v>
      </c>
      <c r="AM16" s="92">
        <v>2776585</v>
      </c>
      <c r="AN16" s="93">
        <v>2447418</v>
      </c>
      <c r="AO16" s="93">
        <v>2464700</v>
      </c>
      <c r="AP16" s="93">
        <v>3325099</v>
      </c>
      <c r="AQ16" s="93">
        <v>877681</v>
      </c>
      <c r="AR16" s="93">
        <v>860399</v>
      </c>
      <c r="AS16" s="87">
        <v>498283</v>
      </c>
      <c r="AT16" s="88">
        <v>406975</v>
      </c>
      <c r="AU16" s="91">
        <v>361321</v>
      </c>
      <c r="AV16" s="94">
        <v>-136962</v>
      </c>
      <c r="AW16" s="95">
        <v>-45654</v>
      </c>
      <c r="AX16" s="87">
        <v>244758</v>
      </c>
      <c r="AY16" s="88">
        <v>244758</v>
      </c>
      <c r="AZ16" s="91">
        <v>244758</v>
      </c>
      <c r="BA16" s="96">
        <v>0</v>
      </c>
      <c r="BB16" s="97">
        <v>0</v>
      </c>
      <c r="BC16" s="87">
        <v>352545.80999999994</v>
      </c>
      <c r="BD16" s="88">
        <v>3825843.5700000012</v>
      </c>
      <c r="BE16" s="91">
        <v>1292378.8999999999</v>
      </c>
      <c r="BF16" s="96">
        <v>939833.09</v>
      </c>
      <c r="BG16" s="97">
        <v>-2533464.6700000013</v>
      </c>
      <c r="BH16" s="87">
        <v>4885466.07</v>
      </c>
      <c r="BI16" s="88">
        <v>6922714.0999999996</v>
      </c>
      <c r="BJ16" s="91">
        <v>6486918.9299999997</v>
      </c>
      <c r="BK16" s="96">
        <v>1601452.8599999994</v>
      </c>
      <c r="BL16" s="97">
        <v>-435795.16999999993</v>
      </c>
      <c r="BM16" s="98">
        <v>1.5337172085842997E-2</v>
      </c>
      <c r="BN16" s="99">
        <v>1.5317308562430432E-2</v>
      </c>
      <c r="BO16" s="100">
        <v>1.3400144076267788E-2</v>
      </c>
      <c r="BP16" s="101">
        <v>-1.937028009575209E-3</v>
      </c>
      <c r="BQ16" s="102">
        <v>-1.9171644861626438E-3</v>
      </c>
      <c r="BR16" s="98">
        <v>2.2091436259950269E-2</v>
      </c>
      <c r="BS16" s="99">
        <v>0.31517407489207988</v>
      </c>
      <c r="BT16" s="100">
        <v>7.0755862775183975E-2</v>
      </c>
      <c r="BU16" s="101">
        <v>4.8664426515233707E-2</v>
      </c>
      <c r="BV16" s="102">
        <v>-0.24441821211689591</v>
      </c>
      <c r="BW16" s="98">
        <v>0.30613599488121773</v>
      </c>
      <c r="BX16" s="99">
        <v>0.57029514466265974</v>
      </c>
      <c r="BY16" s="100">
        <v>0.35514936497711563</v>
      </c>
      <c r="BZ16" s="101">
        <v>4.9013370095897901E-2</v>
      </c>
      <c r="CA16" s="102">
        <v>-0.2151457796855441</v>
      </c>
      <c r="CB16" s="103">
        <v>0.66881999999999997</v>
      </c>
      <c r="CC16" s="99">
        <v>0.77895000000000003</v>
      </c>
      <c r="CD16" s="104">
        <v>0.72389999999999999</v>
      </c>
    </row>
    <row r="17" spans="1:82" x14ac:dyDescent="0.2">
      <c r="A17" s="85">
        <v>7313</v>
      </c>
      <c r="B17" s="86" t="s">
        <v>232</v>
      </c>
      <c r="C17" s="24">
        <v>0.25469762444383626</v>
      </c>
      <c r="D17" s="25">
        <v>0.26397548627962636</v>
      </c>
      <c r="E17" s="26">
        <v>0.24452191080661953</v>
      </c>
      <c r="F17" s="24">
        <v>0.85252592529487847</v>
      </c>
      <c r="G17" s="25">
        <v>0.87468356083764698</v>
      </c>
      <c r="H17" s="26">
        <v>0.80035679565837725</v>
      </c>
      <c r="I17" s="24">
        <v>7.0175524855506793E-2</v>
      </c>
      <c r="J17" s="25">
        <v>1.1261920937100829E-2</v>
      </c>
      <c r="K17" s="26">
        <v>5.4109261880741902E-2</v>
      </c>
      <c r="L17" s="24">
        <v>0.1695167349997862</v>
      </c>
      <c r="M17" s="25">
        <v>0.14603540912615159</v>
      </c>
      <c r="N17" s="26">
        <v>0.11239181193994284</v>
      </c>
      <c r="O17" s="87">
        <v>137</v>
      </c>
      <c r="P17" s="88">
        <v>116</v>
      </c>
      <c r="Q17" s="89">
        <v>90</v>
      </c>
      <c r="R17" s="24">
        <v>8.8114440429908278E-2</v>
      </c>
      <c r="S17" s="25">
        <v>0.15011442758002069</v>
      </c>
      <c r="T17" s="26">
        <v>0.14886937882966911</v>
      </c>
      <c r="U17" s="88">
        <v>117.35164835164835</v>
      </c>
      <c r="V17" s="88">
        <v>117.35164835164835</v>
      </c>
      <c r="W17" s="90">
        <v>115.72527472527473</v>
      </c>
      <c r="X17" s="24">
        <v>0.66356470852267391</v>
      </c>
      <c r="Y17" s="25">
        <v>0.66889265908309536</v>
      </c>
      <c r="Z17" s="26">
        <v>0.63853237001786978</v>
      </c>
      <c r="AA17" s="24">
        <v>9.5432069087349275E-2</v>
      </c>
      <c r="AB17" s="25">
        <v>9.9975060598026411E-2</v>
      </c>
      <c r="AC17" s="26">
        <v>0.12469470608491441</v>
      </c>
      <c r="AD17" s="87">
        <v>3522528</v>
      </c>
      <c r="AE17" s="88">
        <v>7098323</v>
      </c>
      <c r="AF17" s="89">
        <v>3549159</v>
      </c>
      <c r="AG17" s="87">
        <v>12026167</v>
      </c>
      <c r="AH17" s="88">
        <v>25421620</v>
      </c>
      <c r="AI17" s="89">
        <v>13680669</v>
      </c>
      <c r="AJ17" s="87">
        <v>970544</v>
      </c>
      <c r="AK17" s="88">
        <v>302834</v>
      </c>
      <c r="AL17" s="91">
        <v>785379</v>
      </c>
      <c r="AM17" s="92">
        <v>-185165</v>
      </c>
      <c r="AN17" s="93">
        <v>1998001</v>
      </c>
      <c r="AO17" s="93">
        <v>978001</v>
      </c>
      <c r="AP17" s="93">
        <v>1481456</v>
      </c>
      <c r="AQ17" s="93">
        <v>-516545</v>
      </c>
      <c r="AR17" s="93">
        <v>503455</v>
      </c>
      <c r="AS17" s="87">
        <v>1462934</v>
      </c>
      <c r="AT17" s="88">
        <v>1239917</v>
      </c>
      <c r="AU17" s="91">
        <v>948021</v>
      </c>
      <c r="AV17" s="94">
        <v>-514913</v>
      </c>
      <c r="AW17" s="95">
        <v>-291896</v>
      </c>
      <c r="AX17" s="87">
        <v>760430</v>
      </c>
      <c r="AY17" s="88">
        <v>1274550</v>
      </c>
      <c r="AZ17" s="91">
        <v>1255708</v>
      </c>
      <c r="BA17" s="96">
        <v>495278</v>
      </c>
      <c r="BB17" s="97">
        <v>-18842</v>
      </c>
      <c r="BC17" s="87">
        <v>2020816.5600000003</v>
      </c>
      <c r="BD17" s="88">
        <v>3338675.68</v>
      </c>
      <c r="BE17" s="91">
        <v>3089722.15</v>
      </c>
      <c r="BF17" s="96">
        <v>1068905.5899999996</v>
      </c>
      <c r="BG17" s="97">
        <v>-248953.53000000026</v>
      </c>
      <c r="BH17" s="87">
        <v>12513103.609999999</v>
      </c>
      <c r="BI17" s="88">
        <v>24811866.149999999</v>
      </c>
      <c r="BJ17" s="91">
        <v>33607141.780000001</v>
      </c>
      <c r="BK17" s="96">
        <v>21094038.170000002</v>
      </c>
      <c r="BL17" s="97">
        <v>8795275.6300000027</v>
      </c>
      <c r="BM17" s="98">
        <v>3.4687585928671924E-2</v>
      </c>
      <c r="BN17" s="99">
        <v>5.0136458652123662E-2</v>
      </c>
      <c r="BO17" s="100">
        <v>5.3359826812196663E-2</v>
      </c>
      <c r="BP17" s="101">
        <v>1.8672240883524739E-2</v>
      </c>
      <c r="BQ17" s="102">
        <v>3.2233681600730008E-3</v>
      </c>
      <c r="BR17" s="98">
        <v>9.2181066069307122E-2</v>
      </c>
      <c r="BS17" s="99">
        <v>0.15042249353264622</v>
      </c>
      <c r="BT17" s="100">
        <v>0.13129408972612097</v>
      </c>
      <c r="BU17" s="101">
        <v>3.911302365681385E-2</v>
      </c>
      <c r="BV17" s="102">
        <v>-1.9128403806525252E-2</v>
      </c>
      <c r="BW17" s="98">
        <v>0.57079462502301315</v>
      </c>
      <c r="BX17" s="99">
        <v>1.117887190372818</v>
      </c>
      <c r="BY17" s="100">
        <v>1.4280957555687617</v>
      </c>
      <c r="BZ17" s="101">
        <v>0.85730113054574852</v>
      </c>
      <c r="CA17" s="102">
        <v>0.31020856519594364</v>
      </c>
      <c r="CB17" s="103">
        <v>0.84958</v>
      </c>
      <c r="CC17" s="99">
        <v>0.78610999999999998</v>
      </c>
      <c r="CD17" s="104">
        <v>0.81779999999999997</v>
      </c>
    </row>
    <row r="18" spans="1:82" x14ac:dyDescent="0.2">
      <c r="A18" s="85">
        <v>7503</v>
      </c>
      <c r="B18" s="86" t="s">
        <v>255</v>
      </c>
      <c r="C18" s="24">
        <v>0.12213787668917658</v>
      </c>
      <c r="D18" s="25">
        <v>0.10996385486583186</v>
      </c>
      <c r="E18" s="26">
        <v>8.8224478568537851E-2</v>
      </c>
      <c r="F18" s="24">
        <v>0.35928816138889708</v>
      </c>
      <c r="G18" s="25">
        <v>0.24225428625878118</v>
      </c>
      <c r="H18" s="26">
        <v>0.25648996480530994</v>
      </c>
      <c r="I18" s="24">
        <v>1.1607267577939645E-2</v>
      </c>
      <c r="J18" s="25">
        <v>-0.10058234711101424</v>
      </c>
      <c r="K18" s="26">
        <v>-3.4706283790896061E-2</v>
      </c>
      <c r="L18" s="24">
        <v>0</v>
      </c>
      <c r="M18" s="25">
        <v>7.8259613706615203E-2</v>
      </c>
      <c r="N18" s="26">
        <v>6.5429743479931343E-2</v>
      </c>
      <c r="O18" s="87">
        <v>0</v>
      </c>
      <c r="P18" s="88">
        <v>29</v>
      </c>
      <c r="Q18" s="89">
        <v>27</v>
      </c>
      <c r="R18" s="24">
        <v>5.2809008615073401E-3</v>
      </c>
      <c r="S18" s="25">
        <v>3.1092224586938076E-2</v>
      </c>
      <c r="T18" s="26">
        <v>0.72352142215214965</v>
      </c>
      <c r="U18" s="88">
        <v>128</v>
      </c>
      <c r="V18" s="88">
        <v>128</v>
      </c>
      <c r="W18" s="90">
        <v>138.34666666666666</v>
      </c>
      <c r="X18" s="24">
        <v>0.5997016251002254</v>
      </c>
      <c r="Y18" s="25">
        <v>0.54058394964286127</v>
      </c>
      <c r="Z18" s="26">
        <v>0.5262355268569302</v>
      </c>
      <c r="AA18" s="24">
        <v>0.16338966655522613</v>
      </c>
      <c r="AB18" s="25">
        <v>0.26558317446286805</v>
      </c>
      <c r="AC18" s="26">
        <v>0.31975687221006432</v>
      </c>
      <c r="AD18" s="87">
        <v>572710</v>
      </c>
      <c r="AE18" s="88">
        <v>1105932</v>
      </c>
      <c r="AF18" s="89">
        <v>577481</v>
      </c>
      <c r="AG18" s="87">
        <v>4573441</v>
      </c>
      <c r="AH18" s="88">
        <v>11061947</v>
      </c>
      <c r="AI18" s="89">
        <v>6662340</v>
      </c>
      <c r="AJ18" s="87">
        <v>54427</v>
      </c>
      <c r="AK18" s="88">
        <v>-1011580</v>
      </c>
      <c r="AL18" s="91">
        <v>-227173</v>
      </c>
      <c r="AM18" s="92">
        <v>-281600</v>
      </c>
      <c r="AN18" s="93">
        <v>3097350</v>
      </c>
      <c r="AO18" s="93">
        <v>2188337</v>
      </c>
      <c r="AP18" s="93">
        <v>1927804</v>
      </c>
      <c r="AQ18" s="93">
        <v>-1169546</v>
      </c>
      <c r="AR18" s="93">
        <v>-260533</v>
      </c>
      <c r="AS18" s="87">
        <v>0</v>
      </c>
      <c r="AT18" s="88">
        <v>156060</v>
      </c>
      <c r="AU18" s="91">
        <v>138111</v>
      </c>
      <c r="AV18" s="94">
        <v>138111</v>
      </c>
      <c r="AW18" s="95">
        <v>-17949</v>
      </c>
      <c r="AX18" s="87">
        <v>9565</v>
      </c>
      <c r="AY18" s="88">
        <v>62002</v>
      </c>
      <c r="AZ18" s="91">
        <v>1527230</v>
      </c>
      <c r="BA18" s="96">
        <v>1517665</v>
      </c>
      <c r="BB18" s="97">
        <v>1465228</v>
      </c>
      <c r="BC18" s="87">
        <v>201954.75999999998</v>
      </c>
      <c r="BD18" s="88">
        <v>2167697.06</v>
      </c>
      <c r="BE18" s="91">
        <v>1645445.61</v>
      </c>
      <c r="BF18" s="96">
        <v>1443490.85</v>
      </c>
      <c r="BG18" s="97">
        <v>-522251.44999999995</v>
      </c>
      <c r="BH18" s="87">
        <v>3124246.51</v>
      </c>
      <c r="BI18" s="88">
        <v>15804004.42</v>
      </c>
      <c r="BJ18" s="91">
        <v>14155961.34</v>
      </c>
      <c r="BK18" s="96">
        <v>11031714.83</v>
      </c>
      <c r="BL18" s="97">
        <v>-1648043.08</v>
      </c>
      <c r="BM18" s="98">
        <v>8.6229931820206134E-4</v>
      </c>
      <c r="BN18" s="99">
        <v>5.6049807506761695E-3</v>
      </c>
      <c r="BO18" s="100">
        <v>0.12084013896343004</v>
      </c>
      <c r="BP18" s="101">
        <v>0.11997783964522798</v>
      </c>
      <c r="BQ18" s="102">
        <v>0.11523515821275387</v>
      </c>
      <c r="BR18" s="98">
        <v>1.8206529206028322E-2</v>
      </c>
      <c r="BS18" s="99">
        <v>0.25143228677029644</v>
      </c>
      <c r="BT18" s="100">
        <v>0.13019379934205452</v>
      </c>
      <c r="BU18" s="101">
        <v>0.1119872701360262</v>
      </c>
      <c r="BV18" s="102">
        <v>-0.12123848742824192</v>
      </c>
      <c r="BW18" s="98">
        <v>0.28165558133488439</v>
      </c>
      <c r="BX18" s="99">
        <v>1.8331145272893772</v>
      </c>
      <c r="BY18" s="100">
        <v>1.1200725074065749</v>
      </c>
      <c r="BZ18" s="101">
        <v>0.83841692607169049</v>
      </c>
      <c r="CA18" s="102">
        <v>-0.71304201988280225</v>
      </c>
      <c r="CB18" s="103">
        <v>0.77273999999999998</v>
      </c>
      <c r="CC18" s="99">
        <v>0.73319000000000001</v>
      </c>
      <c r="CD18" s="104">
        <v>0.753</v>
      </c>
    </row>
    <row r="19" spans="1:82" x14ac:dyDescent="0.2">
      <c r="A19" s="85">
        <v>7602</v>
      </c>
      <c r="B19" s="86" t="s">
        <v>259</v>
      </c>
      <c r="C19" s="24">
        <v>0.12021706548057266</v>
      </c>
      <c r="D19" s="25">
        <v>0.13494387937243199</v>
      </c>
      <c r="E19" s="26">
        <v>0.13974680477185519</v>
      </c>
      <c r="F19" s="24">
        <v>0.24372853902299341</v>
      </c>
      <c r="G19" s="25">
        <v>0.24898167208529226</v>
      </c>
      <c r="H19" s="26">
        <v>0.29886986425438966</v>
      </c>
      <c r="I19" s="24">
        <v>4.9029422163195712E-3</v>
      </c>
      <c r="J19" s="25">
        <v>-4.1452798533155533E-2</v>
      </c>
      <c r="K19" s="26">
        <v>0.1185471722994814</v>
      </c>
      <c r="L19" s="24">
        <v>1.1586078787219678</v>
      </c>
      <c r="M19" s="25">
        <v>0.63431292066570044</v>
      </c>
      <c r="N19" s="26">
        <v>0.42751121167121964</v>
      </c>
      <c r="O19" s="87">
        <v>814</v>
      </c>
      <c r="P19" s="88">
        <v>448</v>
      </c>
      <c r="Q19" s="89">
        <v>363</v>
      </c>
      <c r="R19" s="24">
        <v>1.7419499916169347E-2</v>
      </c>
      <c r="S19" s="25">
        <v>5.0881335815239855E-2</v>
      </c>
      <c r="T19" s="26">
        <v>2.258596773926607E-2</v>
      </c>
      <c r="U19" s="88">
        <v>102.53061224489795</v>
      </c>
      <c r="V19" s="88">
        <v>102.53061224489795</v>
      </c>
      <c r="W19" s="90">
        <v>100.08163265306122</v>
      </c>
      <c r="X19" s="24">
        <v>0.59335649147335756</v>
      </c>
      <c r="Y19" s="25">
        <v>0.54483551361982963</v>
      </c>
      <c r="Z19" s="26">
        <v>0.5595197655936669</v>
      </c>
      <c r="AA19" s="24">
        <v>0.15469253422330953</v>
      </c>
      <c r="AB19" s="25">
        <v>0.26034059780221563</v>
      </c>
      <c r="AC19" s="26">
        <v>0.18484960684451326</v>
      </c>
      <c r="AD19" s="87">
        <v>879657</v>
      </c>
      <c r="AE19" s="88">
        <v>2192008</v>
      </c>
      <c r="AF19" s="89">
        <v>1303445</v>
      </c>
      <c r="AG19" s="87">
        <v>7306862</v>
      </c>
      <c r="AH19" s="88">
        <v>17268755</v>
      </c>
      <c r="AI19" s="89">
        <v>8440045</v>
      </c>
      <c r="AJ19" s="87">
        <v>35876</v>
      </c>
      <c r="AK19" s="88">
        <v>-673353</v>
      </c>
      <c r="AL19" s="91">
        <v>1105712</v>
      </c>
      <c r="AM19" s="92">
        <v>1069836</v>
      </c>
      <c r="AN19" s="93">
        <v>3562343</v>
      </c>
      <c r="AO19" s="93">
        <v>1528384</v>
      </c>
      <c r="AP19" s="93">
        <v>2165655</v>
      </c>
      <c r="AQ19" s="93">
        <v>-1396688</v>
      </c>
      <c r="AR19" s="93">
        <v>637271</v>
      </c>
      <c r="AS19" s="87">
        <v>4090961</v>
      </c>
      <c r="AT19" s="88">
        <v>2253148</v>
      </c>
      <c r="AU19" s="91">
        <v>1782334</v>
      </c>
      <c r="AV19" s="94">
        <v>-2308627</v>
      </c>
      <c r="AW19" s="95">
        <v>-470814</v>
      </c>
      <c r="AX19" s="87">
        <v>61507</v>
      </c>
      <c r="AY19" s="88">
        <v>180736</v>
      </c>
      <c r="AZ19" s="91">
        <v>94163</v>
      </c>
      <c r="BA19" s="96">
        <v>32656</v>
      </c>
      <c r="BB19" s="97">
        <v>-86573</v>
      </c>
      <c r="BC19" s="87">
        <v>408453.35000000009</v>
      </c>
      <c r="BD19" s="88">
        <v>2996156.6599999992</v>
      </c>
      <c r="BE19" s="91">
        <v>2032308.66</v>
      </c>
      <c r="BF19" s="96">
        <v>1623855.3099999998</v>
      </c>
      <c r="BG19" s="97">
        <v>-963847.9999999993</v>
      </c>
      <c r="BH19" s="87">
        <v>12155244.609999999</v>
      </c>
      <c r="BI19" s="88">
        <v>12928304.530000001</v>
      </c>
      <c r="BJ19" s="91">
        <v>11289866.810000001</v>
      </c>
      <c r="BK19" s="96">
        <v>-865377.79999999888</v>
      </c>
      <c r="BL19" s="97">
        <v>-1638437.7200000007</v>
      </c>
      <c r="BM19" s="98">
        <v>3.593682452666802E-3</v>
      </c>
      <c r="BN19" s="99">
        <v>1.0466070078589915E-2</v>
      </c>
      <c r="BO19" s="100">
        <v>5.1648446761944121E-3</v>
      </c>
      <c r="BP19" s="101">
        <v>1.5711622235276101E-3</v>
      </c>
      <c r="BQ19" s="102">
        <v>-5.3012254023955029E-3</v>
      </c>
      <c r="BR19" s="98">
        <v>2.3864789969076237E-2</v>
      </c>
      <c r="BS19" s="99">
        <v>0.21619261986139135</v>
      </c>
      <c r="BT19" s="100">
        <v>0.1114722190561558</v>
      </c>
      <c r="BU19" s="101">
        <v>8.7607429087079566E-2</v>
      </c>
      <c r="BV19" s="102">
        <v>-0.10472040080523555</v>
      </c>
      <c r="BW19" s="98">
        <v>0.71019703875704754</v>
      </c>
      <c r="BX19" s="99">
        <v>0.93286311227350671</v>
      </c>
      <c r="BY19" s="100">
        <v>0.6192496892470768</v>
      </c>
      <c r="BZ19" s="101">
        <v>-9.0947349509970743E-2</v>
      </c>
      <c r="CA19" s="102">
        <v>-0.31361342302642992</v>
      </c>
      <c r="CB19" s="103">
        <v>0.74212999999999996</v>
      </c>
      <c r="CC19" s="99">
        <v>0.74468999999999996</v>
      </c>
      <c r="CD19" s="104">
        <v>0.74339999999999995</v>
      </c>
    </row>
    <row r="20" spans="1:82" x14ac:dyDescent="0.2">
      <c r="A20" s="85">
        <v>7609</v>
      </c>
      <c r="B20" s="86" t="s">
        <v>266</v>
      </c>
      <c r="C20" s="24">
        <v>0.1180278358261523</v>
      </c>
      <c r="D20" s="25">
        <v>0.12200405823110486</v>
      </c>
      <c r="E20" s="26">
        <v>0.14374118628149044</v>
      </c>
      <c r="F20" s="24">
        <v>0.23028402861760683</v>
      </c>
      <c r="G20" s="25">
        <v>0.22020039451498014</v>
      </c>
      <c r="H20" s="26">
        <v>0.33793747726370454</v>
      </c>
      <c r="I20" s="24">
        <v>-1.3077258644745184E-2</v>
      </c>
      <c r="J20" s="25">
        <v>-7.3256844949379424E-2</v>
      </c>
      <c r="K20" s="26">
        <v>7.4350728508379441E-2</v>
      </c>
      <c r="L20" s="24">
        <v>0</v>
      </c>
      <c r="M20" s="25">
        <v>0.12840628167773233</v>
      </c>
      <c r="N20" s="26">
        <v>0.17819918889408828</v>
      </c>
      <c r="O20" s="87">
        <v>0</v>
      </c>
      <c r="P20" s="88">
        <v>70</v>
      </c>
      <c r="Q20" s="89">
        <v>108</v>
      </c>
      <c r="R20" s="24">
        <v>0</v>
      </c>
      <c r="S20" s="25">
        <v>0</v>
      </c>
      <c r="T20" s="26">
        <v>0</v>
      </c>
      <c r="U20" s="88">
        <v>190.65934065934067</v>
      </c>
      <c r="V20" s="88">
        <v>190.65934065934067</v>
      </c>
      <c r="W20" s="90">
        <v>190.06741573033707</v>
      </c>
      <c r="X20" s="24">
        <v>0.49119387957263305</v>
      </c>
      <c r="Y20" s="25">
        <v>0.4826626090917831</v>
      </c>
      <c r="Z20" s="26">
        <v>0.52415815159987345</v>
      </c>
      <c r="AA20" s="24">
        <v>0.33974196449426897</v>
      </c>
      <c r="AB20" s="25">
        <v>0.35735367653336259</v>
      </c>
      <c r="AC20" s="26">
        <v>0.25521308524951392</v>
      </c>
      <c r="AD20" s="87">
        <v>1528113</v>
      </c>
      <c r="AE20" s="88">
        <v>3228925</v>
      </c>
      <c r="AF20" s="89">
        <v>2075295</v>
      </c>
      <c r="AG20" s="87">
        <v>13027587</v>
      </c>
      <c r="AH20" s="88">
        <v>29353494</v>
      </c>
      <c r="AI20" s="89">
        <v>13623890</v>
      </c>
      <c r="AJ20" s="87">
        <v>-169312</v>
      </c>
      <c r="AK20" s="88">
        <v>-1938795</v>
      </c>
      <c r="AL20" s="91">
        <v>1073455</v>
      </c>
      <c r="AM20" s="92">
        <v>1242767</v>
      </c>
      <c r="AN20" s="93">
        <v>2641041</v>
      </c>
      <c r="AO20" s="93">
        <v>1504889</v>
      </c>
      <c r="AP20" s="93">
        <v>2900854</v>
      </c>
      <c r="AQ20" s="93">
        <v>259813</v>
      </c>
      <c r="AR20" s="93">
        <v>1395965</v>
      </c>
      <c r="AS20" s="87">
        <v>0</v>
      </c>
      <c r="AT20" s="88">
        <v>604861</v>
      </c>
      <c r="AU20" s="91">
        <v>913948</v>
      </c>
      <c r="AV20" s="94">
        <v>913948</v>
      </c>
      <c r="AW20" s="95">
        <v>309087</v>
      </c>
      <c r="AX20" s="87">
        <v>0</v>
      </c>
      <c r="AY20" s="88">
        <v>0</v>
      </c>
      <c r="AZ20" s="91">
        <v>0</v>
      </c>
      <c r="BA20" s="96">
        <v>0</v>
      </c>
      <c r="BB20" s="97">
        <v>0</v>
      </c>
      <c r="BC20" s="87">
        <v>945811.96</v>
      </c>
      <c r="BD20" s="88">
        <v>3808684.1300000004</v>
      </c>
      <c r="BE20" s="91">
        <v>343284.7099999995</v>
      </c>
      <c r="BF20" s="96">
        <v>-602527.25000000047</v>
      </c>
      <c r="BG20" s="97">
        <v>-3465399.4200000009</v>
      </c>
      <c r="BH20" s="87">
        <v>20954345.48</v>
      </c>
      <c r="BI20" s="88">
        <v>21598714.990000002</v>
      </c>
      <c r="BJ20" s="91">
        <v>23913637.359999999</v>
      </c>
      <c r="BK20" s="96">
        <v>2959291.879999999</v>
      </c>
      <c r="BL20" s="97">
        <v>2314922.3699999973</v>
      </c>
      <c r="BM20" s="98">
        <v>0</v>
      </c>
      <c r="BN20" s="99">
        <v>0</v>
      </c>
      <c r="BO20" s="100">
        <v>0</v>
      </c>
      <c r="BP20" s="101">
        <v>0</v>
      </c>
      <c r="BQ20" s="102">
        <v>0</v>
      </c>
      <c r="BR20" s="98">
        <v>3.7932582485178383E-2</v>
      </c>
      <c r="BS20" s="99">
        <v>0.19039454731579414</v>
      </c>
      <c r="BT20" s="100">
        <v>1.5378558073889782E-2</v>
      </c>
      <c r="BU20" s="101">
        <v>-2.2554024411288599E-2</v>
      </c>
      <c r="BV20" s="102">
        <v>-0.17501598924190437</v>
      </c>
      <c r="BW20" s="98">
        <v>0.84039161266582518</v>
      </c>
      <c r="BX20" s="99">
        <v>1.0797108457308344</v>
      </c>
      <c r="BY20" s="100">
        <v>1.0712893705597923</v>
      </c>
      <c r="BZ20" s="101">
        <v>0.23089775789396716</v>
      </c>
      <c r="CA20" s="102">
        <v>-8.421475171042081E-3</v>
      </c>
      <c r="CB20" s="103">
        <v>0.72884000000000004</v>
      </c>
      <c r="CC20" s="99">
        <v>0.71745999999999999</v>
      </c>
      <c r="CD20" s="104">
        <v>0.72319999999999995</v>
      </c>
    </row>
    <row r="21" spans="1:82" ht="12" thickBot="1" x14ac:dyDescent="0.25">
      <c r="A21" s="85">
        <v>7705</v>
      </c>
      <c r="B21" s="86" t="s">
        <v>273</v>
      </c>
      <c r="C21" s="24">
        <v>0.15428351295001419</v>
      </c>
      <c r="D21" s="25">
        <v>0.15915270908790058</v>
      </c>
      <c r="E21" s="26">
        <v>0.14912052785307905</v>
      </c>
      <c r="F21" s="24">
        <v>0.46055490825591328</v>
      </c>
      <c r="G21" s="25">
        <v>0.49486315283998639</v>
      </c>
      <c r="H21" s="26">
        <v>0.62911589977916582</v>
      </c>
      <c r="I21" s="24">
        <v>-4.1120108024104134E-3</v>
      </c>
      <c r="J21" s="25">
        <v>-5.0870942409064528E-2</v>
      </c>
      <c r="K21" s="26">
        <v>9.3252174775596761E-2</v>
      </c>
      <c r="L21" s="24">
        <v>0</v>
      </c>
      <c r="M21" s="25">
        <v>0</v>
      </c>
      <c r="N21" s="26">
        <v>0</v>
      </c>
      <c r="O21" s="87">
        <v>0</v>
      </c>
      <c r="P21" s="88">
        <v>0</v>
      </c>
      <c r="Q21" s="89">
        <v>0</v>
      </c>
      <c r="R21" s="24">
        <v>0</v>
      </c>
      <c r="S21" s="25">
        <v>0</v>
      </c>
      <c r="T21" s="26">
        <v>0</v>
      </c>
      <c r="U21" s="88">
        <v>119.67619047619047</v>
      </c>
      <c r="V21" s="88">
        <v>119.67619047619047</v>
      </c>
      <c r="W21" s="90">
        <v>117.96190476190476</v>
      </c>
      <c r="X21" s="24">
        <v>0.62278130868660109</v>
      </c>
      <c r="Y21" s="25">
        <v>0.64421171257607346</v>
      </c>
      <c r="Z21" s="26">
        <v>0.69088475091047896</v>
      </c>
      <c r="AA21" s="24">
        <v>0.14958090876492475</v>
      </c>
      <c r="AB21" s="25">
        <v>0.12164368848261507</v>
      </c>
      <c r="AC21" s="26">
        <v>9.3304997076133836E-2</v>
      </c>
      <c r="AD21" s="87">
        <v>1244733</v>
      </c>
      <c r="AE21" s="88">
        <v>2423813</v>
      </c>
      <c r="AF21" s="89">
        <v>1334955</v>
      </c>
      <c r="AG21" s="87">
        <v>7900547</v>
      </c>
      <c r="AH21" s="88">
        <v>16077061</v>
      </c>
      <c r="AI21" s="89">
        <v>7915889</v>
      </c>
      <c r="AJ21" s="87">
        <v>-33175</v>
      </c>
      <c r="AK21" s="88">
        <v>-774738</v>
      </c>
      <c r="AL21" s="91">
        <v>834811</v>
      </c>
      <c r="AM21" s="92">
        <v>867986</v>
      </c>
      <c r="AN21" s="93">
        <v>1656176</v>
      </c>
      <c r="AO21" s="93">
        <v>921301</v>
      </c>
      <c r="AP21" s="93">
        <v>1749724</v>
      </c>
      <c r="AQ21" s="93">
        <v>93548</v>
      </c>
      <c r="AR21" s="93">
        <v>828423</v>
      </c>
      <c r="AS21" s="87">
        <v>0</v>
      </c>
      <c r="AT21" s="88">
        <v>0</v>
      </c>
      <c r="AU21" s="91">
        <v>0</v>
      </c>
      <c r="AV21" s="94">
        <v>0</v>
      </c>
      <c r="AW21" s="95">
        <v>0</v>
      </c>
      <c r="AX21" s="87">
        <v>0</v>
      </c>
      <c r="AY21" s="88">
        <v>0</v>
      </c>
      <c r="AZ21" s="91">
        <v>0</v>
      </c>
      <c r="BA21" s="96">
        <v>0</v>
      </c>
      <c r="BB21" s="97">
        <v>0</v>
      </c>
      <c r="BC21" s="87">
        <v>185098.81000000011</v>
      </c>
      <c r="BD21" s="88">
        <v>2091694.8399999989</v>
      </c>
      <c r="BE21" s="91">
        <v>105023.00999999973</v>
      </c>
      <c r="BF21" s="96">
        <v>-80075.800000000381</v>
      </c>
      <c r="BG21" s="97">
        <v>-1986671.8299999991</v>
      </c>
      <c r="BH21" s="87">
        <v>1720463.55</v>
      </c>
      <c r="BI21" s="88">
        <v>8930332.1199999992</v>
      </c>
      <c r="BJ21" s="91">
        <v>10073640.369999999</v>
      </c>
      <c r="BK21" s="96">
        <v>8353176.8199999994</v>
      </c>
      <c r="BL21" s="97">
        <v>1143308.25</v>
      </c>
      <c r="BM21" s="98">
        <v>0</v>
      </c>
      <c r="BN21" s="99">
        <v>0</v>
      </c>
      <c r="BO21" s="100">
        <v>0</v>
      </c>
      <c r="BP21" s="101">
        <v>0</v>
      </c>
      <c r="BQ21" s="102">
        <v>0</v>
      </c>
      <c r="BR21" s="98">
        <v>1.1769266591307276E-2</v>
      </c>
      <c r="BS21" s="99">
        <v>0.15851610613095152</v>
      </c>
      <c r="BT21" s="100">
        <v>6.1530393133493828E-3</v>
      </c>
      <c r="BU21" s="101">
        <v>-5.6162272779578934E-3</v>
      </c>
      <c r="BV21" s="102">
        <v>-0.15236306681760214</v>
      </c>
      <c r="BW21" s="98">
        <v>0.10939343251627012</v>
      </c>
      <c r="BX21" s="99">
        <v>0.67677246558516435</v>
      </c>
      <c r="BY21" s="100">
        <v>0.59018976151182079</v>
      </c>
      <c r="BZ21" s="101">
        <v>0.48079632899555069</v>
      </c>
      <c r="CA21" s="102">
        <v>-8.6582704073343564E-2</v>
      </c>
      <c r="CB21" s="103">
        <v>0.85272000000000003</v>
      </c>
      <c r="CC21" s="99">
        <v>0.67308000000000001</v>
      </c>
      <c r="CD21" s="104">
        <v>0.76290000000000002</v>
      </c>
    </row>
    <row r="22" spans="1:82" s="129" customFormat="1" ht="12" thickBot="1" x14ac:dyDescent="0.25">
      <c r="A22" s="105"/>
      <c r="B22" s="106" t="s">
        <v>330</v>
      </c>
      <c r="C22" s="107">
        <v>0.27365661726889429</v>
      </c>
      <c r="D22" s="108">
        <v>0.24983015874771231</v>
      </c>
      <c r="E22" s="109">
        <v>0.27855341628073527</v>
      </c>
      <c r="F22" s="107">
        <v>0.9205308672843372</v>
      </c>
      <c r="G22" s="108">
        <v>0.67268756554109921</v>
      </c>
      <c r="H22" s="109">
        <v>1.10908616576495</v>
      </c>
      <c r="I22" s="107">
        <v>0.13824754892521446</v>
      </c>
      <c r="J22" s="108">
        <v>-2.101889848441104E-2</v>
      </c>
      <c r="K22" s="109">
        <v>0.16127170427950968</v>
      </c>
      <c r="L22" s="107">
        <v>0.42785905985206524</v>
      </c>
      <c r="M22" s="108">
        <v>0.4386933641928884</v>
      </c>
      <c r="N22" s="109">
        <v>0.43605130878156767</v>
      </c>
      <c r="O22" s="110">
        <v>265</v>
      </c>
      <c r="P22" s="111">
        <v>273</v>
      </c>
      <c r="Q22" s="112">
        <v>284</v>
      </c>
      <c r="R22" s="107">
        <v>2.6529351916717729E-2</v>
      </c>
      <c r="S22" s="108">
        <v>3.5718193556502763E-2</v>
      </c>
      <c r="T22" s="109">
        <v>3.6061303636453025E-2</v>
      </c>
      <c r="U22" s="111">
        <v>261.39353520032927</v>
      </c>
      <c r="V22" s="111">
        <v>265.22430252654101</v>
      </c>
      <c r="W22" s="113">
        <v>262.1367367532045</v>
      </c>
      <c r="X22" s="107">
        <v>0.58248561749852446</v>
      </c>
      <c r="Y22" s="108">
        <v>0.55127053667862458</v>
      </c>
      <c r="Z22" s="109">
        <v>0.61788586488310937</v>
      </c>
      <c r="AA22" s="107">
        <v>0.12040383641604294</v>
      </c>
      <c r="AB22" s="108">
        <v>0.16406700337616953</v>
      </c>
      <c r="AC22" s="109">
        <v>8.6988569390363008E-2</v>
      </c>
      <c r="AD22" s="114">
        <v>29279655</v>
      </c>
      <c r="AE22" s="115">
        <v>57909459</v>
      </c>
      <c r="AF22" s="116">
        <v>33990375</v>
      </c>
      <c r="AG22" s="114">
        <v>171921932</v>
      </c>
      <c r="AH22" s="115">
        <v>401591119</v>
      </c>
      <c r="AI22" s="116">
        <v>209165671</v>
      </c>
      <c r="AJ22" s="114">
        <v>7331444</v>
      </c>
      <c r="AK22" s="115">
        <v>-13566524</v>
      </c>
      <c r="AL22" s="117">
        <v>13997199</v>
      </c>
      <c r="AM22" s="118">
        <v>6665755</v>
      </c>
      <c r="AN22" s="119">
        <v>67077988</v>
      </c>
      <c r="AO22" s="119">
        <v>43838867</v>
      </c>
      <c r="AP22" s="119">
        <v>58975303</v>
      </c>
      <c r="AQ22" s="119">
        <v>-8102685</v>
      </c>
      <c r="AR22" s="119">
        <v>15136436</v>
      </c>
      <c r="AS22" s="114">
        <v>29289982</v>
      </c>
      <c r="AT22" s="115">
        <v>25890979</v>
      </c>
      <c r="AU22" s="117">
        <v>22429992</v>
      </c>
      <c r="AV22" s="120">
        <v>-6859990</v>
      </c>
      <c r="AW22" s="121">
        <v>-3460987</v>
      </c>
      <c r="AX22" s="114">
        <v>35183458</v>
      </c>
      <c r="AY22" s="115">
        <v>39503668</v>
      </c>
      <c r="AZ22" s="117">
        <v>37924068</v>
      </c>
      <c r="BA22" s="120">
        <v>2740610</v>
      </c>
      <c r="BB22" s="121">
        <v>-1579600</v>
      </c>
      <c r="BC22" s="114">
        <v>51245608.080000006</v>
      </c>
      <c r="BD22" s="115">
        <v>98112833.070000008</v>
      </c>
      <c r="BE22" s="117">
        <v>70029073.430000007</v>
      </c>
      <c r="BF22" s="120">
        <v>18783465.349999998</v>
      </c>
      <c r="BG22" s="121">
        <v>-28083759.640000001</v>
      </c>
      <c r="BH22" s="114">
        <v>226490316.17999998</v>
      </c>
      <c r="BI22" s="115">
        <v>309139450.74000001</v>
      </c>
      <c r="BJ22" s="117">
        <v>326348724.58999997</v>
      </c>
      <c r="BK22" s="120">
        <v>99858408.409999996</v>
      </c>
      <c r="BL22" s="121">
        <v>17209273.850000001</v>
      </c>
      <c r="BM22" s="122">
        <v>7.0492043977130872E-3</v>
      </c>
      <c r="BN22" s="123">
        <v>9.7126599813825692E-3</v>
      </c>
      <c r="BO22" s="124">
        <v>9.9561601667042515E-3</v>
      </c>
      <c r="BP22" s="125"/>
      <c r="BQ22" s="126"/>
      <c r="BR22" s="122">
        <v>2.8443455573329484E-2</v>
      </c>
      <c r="BS22" s="123">
        <v>8.0657965663818193E-2</v>
      </c>
      <c r="BT22" s="124">
        <v>4.9684001822099332E-2</v>
      </c>
      <c r="BU22" s="125"/>
      <c r="BV22" s="126"/>
      <c r="BW22" s="122">
        <v>0.39356657055130118</v>
      </c>
      <c r="BX22" s="123">
        <v>0.57185651706326535</v>
      </c>
      <c r="BY22" s="124">
        <v>0.53566855558797999</v>
      </c>
      <c r="BZ22" s="125"/>
      <c r="CA22" s="126"/>
      <c r="CB22" s="127">
        <v>0.80248150943396246</v>
      </c>
      <c r="CC22" s="123">
        <v>0.71835086792452807</v>
      </c>
      <c r="CD22" s="128">
        <v>0.76039999999999996</v>
      </c>
    </row>
    <row r="23" spans="1:82" x14ac:dyDescent="0.2">
      <c r="A23" s="130"/>
      <c r="B23" s="130" t="s">
        <v>331</v>
      </c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/>
      <c r="V23" s="131"/>
      <c r="W23" s="131"/>
      <c r="X23" s="132"/>
      <c r="Y23" s="132"/>
      <c r="Z23" s="132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>
        <v>4</v>
      </c>
      <c r="AW23" s="130">
        <v>3</v>
      </c>
      <c r="AX23" s="130"/>
      <c r="AY23" s="130"/>
      <c r="AZ23" s="130"/>
      <c r="BA23" s="130">
        <v>7</v>
      </c>
      <c r="BB23" s="130">
        <v>3</v>
      </c>
      <c r="BC23" s="130"/>
      <c r="BD23" s="130"/>
      <c r="BE23" s="130"/>
      <c r="BF23" s="130">
        <v>13</v>
      </c>
      <c r="BG23" s="130">
        <v>2</v>
      </c>
      <c r="BH23" s="130"/>
      <c r="BI23" s="130"/>
      <c r="BJ23" s="130"/>
      <c r="BK23" s="130">
        <v>13</v>
      </c>
      <c r="BL23" s="130">
        <v>8</v>
      </c>
      <c r="BM23" s="130"/>
      <c r="BN23" s="130"/>
      <c r="BO23" s="130"/>
      <c r="BP23" s="130">
        <v>7</v>
      </c>
      <c r="BQ23" s="130">
        <v>4</v>
      </c>
      <c r="BR23" s="130"/>
      <c r="BS23" s="130"/>
      <c r="BT23" s="130"/>
      <c r="BU23" s="130">
        <v>13</v>
      </c>
      <c r="BV23" s="130">
        <v>1</v>
      </c>
      <c r="BW23" s="130"/>
      <c r="BX23" s="130"/>
      <c r="BY23" s="130"/>
      <c r="BZ23" s="130">
        <v>12</v>
      </c>
      <c r="CA23" s="130">
        <v>4</v>
      </c>
      <c r="CB23" s="130"/>
      <c r="CC23" s="130"/>
      <c r="CD23" s="130"/>
    </row>
    <row r="24" spans="1:82" x14ac:dyDescent="0.2">
      <c r="A24" s="133"/>
      <c r="B24" s="133" t="s">
        <v>332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4"/>
      <c r="V24" s="134"/>
      <c r="W24" s="134"/>
      <c r="X24" s="135"/>
      <c r="Y24" s="135"/>
      <c r="Z24" s="135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>
        <v>9</v>
      </c>
      <c r="AW24" s="133">
        <v>9</v>
      </c>
      <c r="AX24" s="133"/>
      <c r="AY24" s="133"/>
      <c r="AZ24" s="133"/>
      <c r="BA24" s="133">
        <v>3</v>
      </c>
      <c r="BB24" s="133">
        <v>7</v>
      </c>
      <c r="BC24" s="133"/>
      <c r="BD24" s="133"/>
      <c r="BE24" s="133"/>
      <c r="BF24" s="133">
        <v>4</v>
      </c>
      <c r="BG24" s="133">
        <v>15</v>
      </c>
      <c r="BH24" s="133"/>
      <c r="BI24" s="133"/>
      <c r="BJ24" s="133"/>
      <c r="BK24" s="133">
        <v>4</v>
      </c>
      <c r="BL24" s="133">
        <v>9</v>
      </c>
      <c r="BM24" s="133"/>
      <c r="BN24" s="133"/>
      <c r="BO24" s="133"/>
      <c r="BP24" s="133">
        <v>6</v>
      </c>
      <c r="BQ24" s="133">
        <v>9</v>
      </c>
      <c r="BR24" s="133"/>
      <c r="BS24" s="133"/>
      <c r="BT24" s="133"/>
      <c r="BU24" s="133">
        <v>4</v>
      </c>
      <c r="BV24" s="133">
        <v>16</v>
      </c>
      <c r="BW24" s="133"/>
      <c r="BX24" s="133"/>
      <c r="BY24" s="133"/>
      <c r="BZ24" s="133">
        <v>5</v>
      </c>
      <c r="CA24" s="133">
        <v>13</v>
      </c>
      <c r="CB24" s="133"/>
      <c r="CC24" s="133"/>
      <c r="CD24" s="133"/>
    </row>
    <row r="25" spans="1:82" x14ac:dyDescent="0.2">
      <c r="A25" s="133"/>
      <c r="B25" s="133" t="s">
        <v>333</v>
      </c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4"/>
      <c r="V25" s="134"/>
      <c r="W25" s="134"/>
      <c r="X25" s="135"/>
      <c r="Y25" s="135"/>
      <c r="Z25" s="135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6">
        <v>2169662</v>
      </c>
      <c r="AW25" s="136">
        <v>1651689</v>
      </c>
      <c r="AX25" s="133"/>
      <c r="AY25" s="133"/>
      <c r="AZ25" s="133"/>
      <c r="BA25" s="136">
        <v>5769699</v>
      </c>
      <c r="BB25" s="136">
        <v>2841705</v>
      </c>
      <c r="BC25" s="133"/>
      <c r="BD25" s="133"/>
      <c r="BE25" s="133"/>
      <c r="BF25" s="136">
        <v>19483832.719999999</v>
      </c>
      <c r="BG25" s="136">
        <v>2589596.2900000052</v>
      </c>
      <c r="BH25" s="133"/>
      <c r="BI25" s="133"/>
      <c r="BJ25" s="133"/>
      <c r="BK25" s="136">
        <v>114454695.08</v>
      </c>
      <c r="BL25" s="136">
        <v>28199134.850000001</v>
      </c>
      <c r="BM25" s="133"/>
      <c r="BN25" s="133"/>
      <c r="BO25" s="133"/>
      <c r="BP25" s="136"/>
      <c r="BQ25" s="136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</row>
    <row r="26" spans="1:82" x14ac:dyDescent="0.2">
      <c r="A26" s="133"/>
      <c r="B26" s="133" t="s">
        <v>334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4"/>
      <c r="V26" s="134"/>
      <c r="W26" s="134"/>
      <c r="X26" s="135"/>
      <c r="Y26" s="135"/>
      <c r="Z26" s="135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6">
        <v>-9029652</v>
      </c>
      <c r="AW26" s="136">
        <v>-5112676</v>
      </c>
      <c r="AX26" s="133"/>
      <c r="AY26" s="133"/>
      <c r="AZ26" s="133"/>
      <c r="BA26" s="136">
        <v>-3029089</v>
      </c>
      <c r="BB26" s="136">
        <v>-4421305</v>
      </c>
      <c r="BC26" s="133"/>
      <c r="BD26" s="133"/>
      <c r="BE26" s="133"/>
      <c r="BF26" s="136">
        <v>-700367.37000000034</v>
      </c>
      <c r="BG26" s="136">
        <v>-30673355.930000003</v>
      </c>
      <c r="BH26" s="133"/>
      <c r="BI26" s="133"/>
      <c r="BJ26" s="133"/>
      <c r="BK26" s="136">
        <v>-14596286.669999996</v>
      </c>
      <c r="BL26" s="136">
        <v>-10989860.999999998</v>
      </c>
      <c r="BM26" s="133"/>
      <c r="BN26" s="133"/>
      <c r="BO26" s="133"/>
      <c r="BP26" s="136"/>
      <c r="BQ26" s="136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</row>
    <row r="27" spans="1:82" x14ac:dyDescent="0.2">
      <c r="A27" s="133"/>
      <c r="B27" s="133" t="s">
        <v>335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4"/>
      <c r="V27" s="134"/>
      <c r="W27" s="134"/>
      <c r="X27" s="135"/>
      <c r="Y27" s="135"/>
      <c r="Z27" s="135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>
        <v>6</v>
      </c>
      <c r="BN27" s="133">
        <v>7</v>
      </c>
      <c r="BO27" s="133">
        <v>8</v>
      </c>
      <c r="BP27" s="133"/>
      <c r="BQ27" s="133"/>
      <c r="BR27" s="133">
        <v>4</v>
      </c>
      <c r="BS27" s="133">
        <v>15</v>
      </c>
      <c r="BT27" s="133">
        <v>5</v>
      </c>
      <c r="BU27" s="133"/>
      <c r="BV27" s="133"/>
      <c r="BW27" s="133">
        <v>8</v>
      </c>
      <c r="BX27" s="133">
        <v>16</v>
      </c>
      <c r="BY27" s="133">
        <v>13</v>
      </c>
      <c r="BZ27" s="133"/>
      <c r="CA27" s="133"/>
      <c r="CB27" s="133"/>
      <c r="CC27" s="133"/>
      <c r="CD27" s="133"/>
    </row>
    <row r="30" spans="1:82" ht="12.75" x14ac:dyDescent="0.2">
      <c r="B30" s="51" t="s">
        <v>285</v>
      </c>
      <c r="C30" s="51"/>
      <c r="D30" s="51"/>
      <c r="E30" s="51"/>
      <c r="F30" s="51"/>
      <c r="G30" s="51"/>
      <c r="H30" s="51"/>
      <c r="I30" s="51"/>
      <c r="J30" s="51"/>
      <c r="K30" s="51"/>
    </row>
    <row r="31" spans="1:82" ht="33" customHeight="1" x14ac:dyDescent="0.2">
      <c r="B31" s="137" t="s">
        <v>286</v>
      </c>
      <c r="C31" s="137"/>
      <c r="D31" s="137"/>
      <c r="E31" s="137"/>
      <c r="F31" s="137"/>
      <c r="G31" s="137"/>
      <c r="H31" s="137"/>
      <c r="I31" s="137"/>
      <c r="J31" s="137"/>
      <c r="K31" s="137"/>
    </row>
    <row r="32" spans="1:82" ht="12.75" x14ac:dyDescent="0.2">
      <c r="B32" s="51" t="s">
        <v>336</v>
      </c>
      <c r="C32" s="51"/>
      <c r="D32" s="51"/>
      <c r="E32" s="51"/>
      <c r="F32" s="51"/>
      <c r="G32" s="51"/>
      <c r="H32" s="51"/>
      <c r="I32" s="51"/>
      <c r="J32" s="51"/>
      <c r="K32" s="51"/>
    </row>
    <row r="33" spans="2:11" ht="12.75" x14ac:dyDescent="0.2">
      <c r="B33" s="51" t="s">
        <v>287</v>
      </c>
      <c r="C33" s="51"/>
      <c r="D33" s="51"/>
      <c r="E33" s="51"/>
      <c r="F33" s="51"/>
      <c r="G33" s="51"/>
      <c r="H33" s="51"/>
      <c r="I33" s="51"/>
      <c r="J33" s="51"/>
      <c r="K33" s="51"/>
    </row>
  </sheetData>
  <mergeCells count="1">
    <mergeCell ref="B31:K31"/>
  </mergeCells>
  <conditionalFormatting sqref="AM5:AP21">
    <cfRule type="cellIs" dxfId="5" priority="6" operator="lessThan">
      <formula>0</formula>
    </cfRule>
  </conditionalFormatting>
  <conditionalFormatting sqref="AV5:AW21 BA5:BB21 BF5:BG21 BK5:BL21 BP5:BQ21 BU5:BV21 BZ5:CA21">
    <cfRule type="cellIs" dxfId="4" priority="5" operator="greaterThan">
      <formula>0</formula>
    </cfRule>
  </conditionalFormatting>
  <conditionalFormatting sqref="BM5:BO21">
    <cfRule type="cellIs" dxfId="3" priority="4" operator="greaterThan">
      <formula>0.05</formula>
    </cfRule>
  </conditionalFormatting>
  <conditionalFormatting sqref="BR5:BT21">
    <cfRule type="cellIs" dxfId="2" priority="3" operator="greaterThan">
      <formula>0.15</formula>
    </cfRule>
  </conditionalFormatting>
  <conditionalFormatting sqref="BW5:BY21">
    <cfRule type="cellIs" dxfId="1" priority="2" operator="greaterThan">
      <formula>0.5</formula>
    </cfRule>
  </conditionalFormatting>
  <conditionalFormatting sqref="L5:N21 R5:T21 BM5:CA2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показатели</vt:lpstr>
      <vt:lpstr>СЕС-код 42 и код 98</vt:lpstr>
      <vt:lpstr>общини фин. оздр.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2025-08-08T06:37:25Z</dcterms:created>
  <dcterms:modified xsi:type="dcterms:W3CDTF">2025-09-29T11:01:16Z</dcterms:modified>
</cp:coreProperties>
</file>