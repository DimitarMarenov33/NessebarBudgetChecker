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chev\Desktop\за качване на сайта\"/>
    </mc:Choice>
  </mc:AlternateContent>
  <bookViews>
    <workbookView xWindow="0" yWindow="0" windowWidth="24000" windowHeight="9000"/>
  </bookViews>
  <sheets>
    <sheet name="danni 2021-2024" sheetId="1" r:id="rId1"/>
    <sheet name="показатели" sheetId="6" r:id="rId2"/>
    <sheet name="СЕС-код 42 и код 98" sheetId="7" r:id="rId3"/>
    <sheet name="общини фин. оздр." sheetId="8" r:id="rId4"/>
    <sheet name="ОбщВрБезлихвЗеми" sheetId="9" r:id="rId5"/>
    <sheet name="чл. 94, ал.3, т.2 от ЗПФ" sheetId="2" r:id="rId6"/>
  </sheets>
  <definedNames>
    <definedName name="_xlnm._FilterDatabase" localSheetId="0" hidden="1">'danni 2021-2024'!$A$2:$AW$273</definedName>
    <definedName name="_xlnm._FilterDatabase" localSheetId="1" hidden="1">показатели!$A$1:$AS$268</definedName>
    <definedName name="_xlnm._FilterDatabase" localSheetId="5" hidden="1">'чл. 94, ал.3, т.2 от ЗПФ'!$A$2:$Q$268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277" i="1" l="1"/>
  <c r="AQ277" i="1"/>
  <c r="AP277" i="1"/>
  <c r="AO277" i="1"/>
  <c r="AN277" i="1"/>
  <c r="Z268" i="1"/>
  <c r="Z277" i="1" s="1"/>
  <c r="Y268" i="1"/>
  <c r="Y277" i="1" s="1"/>
  <c r="U268" i="1"/>
  <c r="S268" i="1"/>
  <c r="R268" i="1"/>
  <c r="M268" i="1"/>
  <c r="K268" i="1"/>
  <c r="I268" i="1"/>
  <c r="V267" i="1"/>
  <c r="AG267" i="1" s="1"/>
  <c r="T267" i="1"/>
  <c r="AD267" i="1"/>
  <c r="N267" i="1"/>
  <c r="AC267" i="1" s="1"/>
  <c r="T266" i="1"/>
  <c r="T265" i="1"/>
  <c r="AD265" i="1"/>
  <c r="T264" i="1"/>
  <c r="AD264" i="1"/>
  <c r="V263" i="1"/>
  <c r="AG263" i="1" s="1"/>
  <c r="T263" i="1"/>
  <c r="AD263" i="1"/>
  <c r="N263" i="1"/>
  <c r="AC263" i="1" s="1"/>
  <c r="T262" i="1"/>
  <c r="T261" i="1"/>
  <c r="AD261" i="1"/>
  <c r="V260" i="1"/>
  <c r="AG260" i="1" s="1"/>
  <c r="T260" i="1"/>
  <c r="AD260" i="1"/>
  <c r="V259" i="1"/>
  <c r="AG259" i="1" s="1"/>
  <c r="T259" i="1"/>
  <c r="AD259" i="1"/>
  <c r="T258" i="1"/>
  <c r="T257" i="1"/>
  <c r="AD257" i="1"/>
  <c r="T256" i="1"/>
  <c r="AD256" i="1"/>
  <c r="V255" i="1"/>
  <c r="AG255" i="1" s="1"/>
  <c r="T255" i="1"/>
  <c r="T254" i="1"/>
  <c r="AD254" i="1"/>
  <c r="T253" i="1"/>
  <c r="AD253" i="1"/>
  <c r="AC252" i="1"/>
  <c r="V252" i="1"/>
  <c r="AG252" i="1" s="1"/>
  <c r="T252" i="1"/>
  <c r="AD252" i="1"/>
  <c r="N252" i="1"/>
  <c r="V251" i="1"/>
  <c r="AG251" i="1" s="1"/>
  <c r="T251" i="1"/>
  <c r="AD251" i="1"/>
  <c r="H251" i="1"/>
  <c r="T250" i="1"/>
  <c r="T249" i="1"/>
  <c r="AD249" i="1"/>
  <c r="AG248" i="1"/>
  <c r="V248" i="1"/>
  <c r="T248" i="1"/>
  <c r="AD248" i="1"/>
  <c r="AD247" i="1"/>
  <c r="V247" i="1"/>
  <c r="AG247" i="1" s="1"/>
  <c r="T247" i="1"/>
  <c r="H247" i="1"/>
  <c r="T246" i="1"/>
  <c r="AD246" i="1"/>
  <c r="T245" i="1"/>
  <c r="V244" i="1"/>
  <c r="AG244" i="1" s="1"/>
  <c r="T244" i="1"/>
  <c r="AD244" i="1"/>
  <c r="N244" i="1"/>
  <c r="AC244" i="1" s="1"/>
  <c r="AD243" i="1"/>
  <c r="V243" i="1"/>
  <c r="AG243" i="1" s="1"/>
  <c r="T243" i="1"/>
  <c r="T242" i="1"/>
  <c r="AD242" i="1"/>
  <c r="T241" i="1"/>
  <c r="AD241" i="1"/>
  <c r="AC240" i="1"/>
  <c r="V240" i="1"/>
  <c r="AG240" i="1" s="1"/>
  <c r="T240" i="1"/>
  <c r="AD240" i="1"/>
  <c r="N240" i="1"/>
  <c r="AD239" i="1"/>
  <c r="V239" i="1"/>
  <c r="AG239" i="1" s="1"/>
  <c r="T239" i="1"/>
  <c r="T238" i="1"/>
  <c r="AD238" i="1"/>
  <c r="V237" i="1"/>
  <c r="AG237" i="1" s="1"/>
  <c r="T237" i="1"/>
  <c r="T236" i="1"/>
  <c r="N236" i="1"/>
  <c r="AC236" i="1" s="1"/>
  <c r="V235" i="1"/>
  <c r="AG235" i="1" s="1"/>
  <c r="T235" i="1"/>
  <c r="AD235" i="1"/>
  <c r="L235" i="1"/>
  <c r="AB235" i="1" s="1"/>
  <c r="H235" i="1"/>
  <c r="J235" i="1" s="1"/>
  <c r="AA235" i="1" s="1"/>
  <c r="T234" i="1"/>
  <c r="AD234" i="1"/>
  <c r="T233" i="1"/>
  <c r="V232" i="1"/>
  <c r="AG232" i="1" s="1"/>
  <c r="T232" i="1"/>
  <c r="AD231" i="1"/>
  <c r="T231" i="1"/>
  <c r="H231" i="1"/>
  <c r="T230" i="1"/>
  <c r="AD230" i="1"/>
  <c r="V230" i="1"/>
  <c r="AG230" i="1" s="1"/>
  <c r="V229" i="1"/>
  <c r="AG229" i="1" s="1"/>
  <c r="T229" i="1"/>
  <c r="T228" i="1"/>
  <c r="V227" i="1"/>
  <c r="AG227" i="1" s="1"/>
  <c r="T227" i="1"/>
  <c r="AD227" i="1"/>
  <c r="T226" i="1"/>
  <c r="AD226" i="1"/>
  <c r="V225" i="1"/>
  <c r="AG225" i="1" s="1"/>
  <c r="T225" i="1"/>
  <c r="T224" i="1"/>
  <c r="V223" i="1"/>
  <c r="AG223" i="1" s="1"/>
  <c r="T223" i="1"/>
  <c r="AD223" i="1"/>
  <c r="L223" i="1"/>
  <c r="AB223" i="1" s="1"/>
  <c r="H223" i="1"/>
  <c r="J223" i="1" s="1"/>
  <c r="AA223" i="1" s="1"/>
  <c r="T222" i="1"/>
  <c r="T221" i="1"/>
  <c r="V220" i="1"/>
  <c r="AG220" i="1" s="1"/>
  <c r="T220" i="1"/>
  <c r="T219" i="1"/>
  <c r="AD219" i="1"/>
  <c r="H219" i="1"/>
  <c r="V219" i="1"/>
  <c r="AG219" i="1" s="1"/>
  <c r="T218" i="1"/>
  <c r="AD218" i="1"/>
  <c r="T217" i="1"/>
  <c r="AD217" i="1"/>
  <c r="V217" i="1"/>
  <c r="AG217" i="1" s="1"/>
  <c r="T216" i="1"/>
  <c r="AC215" i="1"/>
  <c r="V215" i="1"/>
  <c r="AG215" i="1" s="1"/>
  <c r="T215" i="1"/>
  <c r="N215" i="1"/>
  <c r="T214" i="1"/>
  <c r="AD214" i="1"/>
  <c r="T213" i="1"/>
  <c r="AD213" i="1"/>
  <c r="V212" i="1"/>
  <c r="AG212" i="1" s="1"/>
  <c r="T212" i="1"/>
  <c r="AD211" i="1"/>
  <c r="T211" i="1"/>
  <c r="N211" i="1"/>
  <c r="AC211" i="1" s="1"/>
  <c r="H211" i="1"/>
  <c r="AD210" i="1"/>
  <c r="V210" i="1"/>
  <c r="AG210" i="1" s="1"/>
  <c r="T210" i="1"/>
  <c r="V209" i="1"/>
  <c r="AG209" i="1" s="1"/>
  <c r="T209" i="1"/>
  <c r="T208" i="1"/>
  <c r="N208" i="1"/>
  <c r="AC208" i="1" s="1"/>
  <c r="V207" i="1"/>
  <c r="AG207" i="1" s="1"/>
  <c r="T207" i="1"/>
  <c r="AD207" i="1"/>
  <c r="T206" i="1"/>
  <c r="AD206" i="1"/>
  <c r="N206" i="1"/>
  <c r="AC206" i="1" s="1"/>
  <c r="AD205" i="1"/>
  <c r="T205" i="1"/>
  <c r="V204" i="1"/>
  <c r="AG204" i="1" s="1"/>
  <c r="T204" i="1"/>
  <c r="AD204" i="1"/>
  <c r="T203" i="1"/>
  <c r="AD203" i="1"/>
  <c r="AD202" i="1"/>
  <c r="T202" i="1"/>
  <c r="V201" i="1"/>
  <c r="AG201" i="1" s="1"/>
  <c r="T201" i="1"/>
  <c r="AD201" i="1"/>
  <c r="T200" i="1"/>
  <c r="N200" i="1"/>
  <c r="AC200" i="1" s="1"/>
  <c r="V199" i="1"/>
  <c r="AG199" i="1" s="1"/>
  <c r="T199" i="1"/>
  <c r="AD199" i="1"/>
  <c r="AG198" i="1"/>
  <c r="V198" i="1"/>
  <c r="T198" i="1"/>
  <c r="AD198" i="1"/>
  <c r="N198" i="1"/>
  <c r="AC198" i="1" s="1"/>
  <c r="T197" i="1"/>
  <c r="AD197" i="1"/>
  <c r="H197" i="1"/>
  <c r="J197" i="1" s="1"/>
  <c r="AA197" i="1" s="1"/>
  <c r="V197" i="1"/>
  <c r="AG197" i="1" s="1"/>
  <c r="T196" i="1"/>
  <c r="AD196" i="1"/>
  <c r="V195" i="1"/>
  <c r="AG195" i="1" s="1"/>
  <c r="T195" i="1"/>
  <c r="N195" i="1"/>
  <c r="AC195" i="1" s="1"/>
  <c r="V194" i="1"/>
  <c r="AG194" i="1" s="1"/>
  <c r="T194" i="1"/>
  <c r="AD194" i="1"/>
  <c r="N194" i="1"/>
  <c r="AC194" i="1" s="1"/>
  <c r="J194" i="1"/>
  <c r="AA194" i="1" s="1"/>
  <c r="H194" i="1"/>
  <c r="L194" i="1" s="1"/>
  <c r="AB194" i="1" s="1"/>
  <c r="AD193" i="1"/>
  <c r="V193" i="1"/>
  <c r="AG193" i="1" s="1"/>
  <c r="T193" i="1"/>
  <c r="V192" i="1"/>
  <c r="AG192" i="1" s="1"/>
  <c r="T192" i="1"/>
  <c r="N192" i="1"/>
  <c r="AC192" i="1" s="1"/>
  <c r="AD191" i="1"/>
  <c r="V191" i="1"/>
  <c r="AG191" i="1" s="1"/>
  <c r="T191" i="1"/>
  <c r="N191" i="1"/>
  <c r="AC191" i="1" s="1"/>
  <c r="L191" i="1"/>
  <c r="AB191" i="1" s="1"/>
  <c r="H191" i="1"/>
  <c r="J191" i="1" s="1"/>
  <c r="AA191" i="1" s="1"/>
  <c r="T190" i="1"/>
  <c r="AD190" i="1"/>
  <c r="V189" i="1"/>
  <c r="AG189" i="1" s="1"/>
  <c r="T189" i="1"/>
  <c r="H189" i="1"/>
  <c r="V188" i="1"/>
  <c r="AG188" i="1" s="1"/>
  <c r="T188" i="1"/>
  <c r="AD188" i="1"/>
  <c r="N188" i="1"/>
  <c r="AC188" i="1" s="1"/>
  <c r="AC187" i="1"/>
  <c r="V187" i="1"/>
  <c r="AG187" i="1" s="1"/>
  <c r="T187" i="1"/>
  <c r="N187" i="1"/>
  <c r="AG186" i="1"/>
  <c r="V186" i="1"/>
  <c r="T186" i="1"/>
  <c r="AD186" i="1"/>
  <c r="N186" i="1"/>
  <c r="AC186" i="1" s="1"/>
  <c r="AD185" i="1"/>
  <c r="V185" i="1"/>
  <c r="AG185" i="1" s="1"/>
  <c r="T185" i="1"/>
  <c r="V184" i="1"/>
  <c r="AG184" i="1" s="1"/>
  <c r="T184" i="1"/>
  <c r="N184" i="1"/>
  <c r="AC184" i="1" s="1"/>
  <c r="AC183" i="1"/>
  <c r="V183" i="1"/>
  <c r="AG183" i="1" s="1"/>
  <c r="T183" i="1"/>
  <c r="N183" i="1"/>
  <c r="T182" i="1"/>
  <c r="AD182" i="1"/>
  <c r="V181" i="1"/>
  <c r="AG181" i="1" s="1"/>
  <c r="T181" i="1"/>
  <c r="AD181" i="1"/>
  <c r="T180" i="1"/>
  <c r="AD179" i="1"/>
  <c r="T179" i="1"/>
  <c r="N179" i="1"/>
  <c r="AC179" i="1" s="1"/>
  <c r="V178" i="1"/>
  <c r="AG178" i="1" s="1"/>
  <c r="T178" i="1"/>
  <c r="AD178" i="1"/>
  <c r="N178" i="1"/>
  <c r="AC178" i="1" s="1"/>
  <c r="T177" i="1"/>
  <c r="T176" i="1"/>
  <c r="AD176" i="1"/>
  <c r="H176" i="1"/>
  <c r="J176" i="1" s="1"/>
  <c r="AA176" i="1" s="1"/>
  <c r="T175" i="1"/>
  <c r="AD175" i="1"/>
  <c r="V175" i="1"/>
  <c r="AG175" i="1" s="1"/>
  <c r="V174" i="1"/>
  <c r="AG174" i="1" s="1"/>
  <c r="T174" i="1"/>
  <c r="AD174" i="1"/>
  <c r="H174" i="1"/>
  <c r="T173" i="1"/>
  <c r="N173" i="1"/>
  <c r="AC173" i="1" s="1"/>
  <c r="AC172" i="1"/>
  <c r="V172" i="1"/>
  <c r="AG172" i="1" s="1"/>
  <c r="T172" i="1"/>
  <c r="AD172" i="1"/>
  <c r="N172" i="1"/>
  <c r="AD171" i="1"/>
  <c r="T171" i="1"/>
  <c r="V170" i="1"/>
  <c r="AG170" i="1" s="1"/>
  <c r="T170" i="1"/>
  <c r="AD170" i="1"/>
  <c r="V169" i="1"/>
  <c r="AG169" i="1" s="1"/>
  <c r="T169" i="1"/>
  <c r="AD168" i="1"/>
  <c r="V168" i="1"/>
  <c r="AG168" i="1" s="1"/>
  <c r="T168" i="1"/>
  <c r="T167" i="1"/>
  <c r="N167" i="1"/>
  <c r="AC167" i="1" s="1"/>
  <c r="V166" i="1"/>
  <c r="AG166" i="1" s="1"/>
  <c r="T166" i="1"/>
  <c r="N166" i="1"/>
  <c r="AC166" i="1" s="1"/>
  <c r="AD165" i="1"/>
  <c r="V165" i="1"/>
  <c r="AG165" i="1" s="1"/>
  <c r="T165" i="1"/>
  <c r="AD164" i="1"/>
  <c r="T164" i="1"/>
  <c r="H164" i="1"/>
  <c r="J164" i="1" s="1"/>
  <c r="AA164" i="1" s="1"/>
  <c r="V163" i="1"/>
  <c r="AG163" i="1" s="1"/>
  <c r="T163" i="1"/>
  <c r="AD163" i="1"/>
  <c r="N163" i="1"/>
  <c r="AC163" i="1" s="1"/>
  <c r="V162" i="1"/>
  <c r="AG162" i="1" s="1"/>
  <c r="T162" i="1"/>
  <c r="AD162" i="1"/>
  <c r="AD161" i="1"/>
  <c r="T161" i="1"/>
  <c r="L161" i="1"/>
  <c r="AB161" i="1" s="1"/>
  <c r="H161" i="1"/>
  <c r="J161" i="1" s="1"/>
  <c r="AA161" i="1" s="1"/>
  <c r="V160" i="1"/>
  <c r="AG160" i="1" s="1"/>
  <c r="T160" i="1"/>
  <c r="AD160" i="1"/>
  <c r="L160" i="1"/>
  <c r="AB160" i="1" s="1"/>
  <c r="H160" i="1"/>
  <c r="J160" i="1" s="1"/>
  <c r="AA160" i="1" s="1"/>
  <c r="V159" i="1"/>
  <c r="AG159" i="1" s="1"/>
  <c r="T159" i="1"/>
  <c r="AD159" i="1"/>
  <c r="AD158" i="1"/>
  <c r="T158" i="1"/>
  <c r="T157" i="1"/>
  <c r="AD157" i="1"/>
  <c r="N157" i="1"/>
  <c r="AC157" i="1" s="1"/>
  <c r="L157" i="1"/>
  <c r="AB157" i="1" s="1"/>
  <c r="H157" i="1"/>
  <c r="J157" i="1" s="1"/>
  <c r="AA157" i="1" s="1"/>
  <c r="V156" i="1"/>
  <c r="AG156" i="1" s="1"/>
  <c r="T156" i="1"/>
  <c r="AD156" i="1"/>
  <c r="AG155" i="1"/>
  <c r="V155" i="1"/>
  <c r="T155" i="1"/>
  <c r="T154" i="1"/>
  <c r="AD154" i="1"/>
  <c r="N154" i="1"/>
  <c r="AC154" i="1" s="1"/>
  <c r="V153" i="1"/>
  <c r="AG153" i="1" s="1"/>
  <c r="T153" i="1"/>
  <c r="AD153" i="1"/>
  <c r="AD152" i="1"/>
  <c r="V152" i="1"/>
  <c r="AG152" i="1" s="1"/>
  <c r="T152" i="1"/>
  <c r="T151" i="1"/>
  <c r="N151" i="1"/>
  <c r="AC151" i="1" s="1"/>
  <c r="V150" i="1"/>
  <c r="AG150" i="1" s="1"/>
  <c r="T150" i="1"/>
  <c r="N150" i="1"/>
  <c r="AC150" i="1" s="1"/>
  <c r="L150" i="1"/>
  <c r="AB150" i="1" s="1"/>
  <c r="H150" i="1"/>
  <c r="J150" i="1" s="1"/>
  <c r="AA150" i="1" s="1"/>
  <c r="AD149" i="1"/>
  <c r="V149" i="1"/>
  <c r="AG149" i="1" s="1"/>
  <c r="T149" i="1"/>
  <c r="AD148" i="1"/>
  <c r="T148" i="1"/>
  <c r="L148" i="1"/>
  <c r="AB148" i="1" s="1"/>
  <c r="H148" i="1"/>
  <c r="J148" i="1" s="1"/>
  <c r="AA148" i="1" s="1"/>
  <c r="V147" i="1"/>
  <c r="AG147" i="1" s="1"/>
  <c r="T147" i="1"/>
  <c r="AD147" i="1"/>
  <c r="N147" i="1"/>
  <c r="AC147" i="1" s="1"/>
  <c r="AD146" i="1"/>
  <c r="V146" i="1"/>
  <c r="AG146" i="1" s="1"/>
  <c r="T146" i="1"/>
  <c r="AD145" i="1"/>
  <c r="T145" i="1"/>
  <c r="N145" i="1"/>
  <c r="AC145" i="1" s="1"/>
  <c r="V144" i="1"/>
  <c r="AG144" i="1" s="1"/>
  <c r="T144" i="1"/>
  <c r="AD144" i="1"/>
  <c r="T143" i="1"/>
  <c r="AG142" i="1"/>
  <c r="V142" i="1"/>
  <c r="T142" i="1"/>
  <c r="N142" i="1"/>
  <c r="AC142" i="1" s="1"/>
  <c r="L142" i="1"/>
  <c r="AB142" i="1" s="1"/>
  <c r="H142" i="1"/>
  <c r="J142" i="1" s="1"/>
  <c r="AA142" i="1" s="1"/>
  <c r="AD141" i="1"/>
  <c r="T141" i="1"/>
  <c r="V140" i="1"/>
  <c r="AG140" i="1" s="1"/>
  <c r="T140" i="1"/>
  <c r="AD140" i="1"/>
  <c r="L140" i="1"/>
  <c r="AB140" i="1" s="1"/>
  <c r="J140" i="1"/>
  <c r="AA140" i="1" s="1"/>
  <c r="H140" i="1"/>
  <c r="T139" i="1"/>
  <c r="T138" i="1"/>
  <c r="AD138" i="1"/>
  <c r="H138" i="1"/>
  <c r="J138" i="1" s="1"/>
  <c r="AA138" i="1" s="1"/>
  <c r="AD137" i="1"/>
  <c r="V137" i="1"/>
  <c r="AG137" i="1" s="1"/>
  <c r="T137" i="1"/>
  <c r="T136" i="1"/>
  <c r="H136" i="1"/>
  <c r="J136" i="1" s="1"/>
  <c r="AA136" i="1" s="1"/>
  <c r="V136" i="1"/>
  <c r="AG136" i="1" s="1"/>
  <c r="V135" i="1"/>
  <c r="AG135" i="1" s="1"/>
  <c r="T135" i="1"/>
  <c r="AD135" i="1"/>
  <c r="AD134" i="1"/>
  <c r="T134" i="1"/>
  <c r="V133" i="1"/>
  <c r="AG133" i="1" s="1"/>
  <c r="T133" i="1"/>
  <c r="AD133" i="1"/>
  <c r="T132" i="1"/>
  <c r="AD132" i="1"/>
  <c r="H132" i="1"/>
  <c r="J132" i="1" s="1"/>
  <c r="AA132" i="1" s="1"/>
  <c r="V131" i="1"/>
  <c r="AG131" i="1" s="1"/>
  <c r="T131" i="1"/>
  <c r="AD131" i="1"/>
  <c r="AG130" i="1"/>
  <c r="V130" i="1"/>
  <c r="T130" i="1"/>
  <c r="AD130" i="1"/>
  <c r="N130" i="1"/>
  <c r="AC130" i="1" s="1"/>
  <c r="AD129" i="1"/>
  <c r="T129" i="1"/>
  <c r="H129" i="1"/>
  <c r="J129" i="1" s="1"/>
  <c r="AA129" i="1" s="1"/>
  <c r="AD128" i="1"/>
  <c r="T128" i="1"/>
  <c r="V127" i="1"/>
  <c r="AG127" i="1" s="1"/>
  <c r="T127" i="1"/>
  <c r="AD127" i="1"/>
  <c r="AG126" i="1"/>
  <c r="V126" i="1"/>
  <c r="T126" i="1"/>
  <c r="N126" i="1"/>
  <c r="AC126" i="1" s="1"/>
  <c r="AD125" i="1"/>
  <c r="T125" i="1"/>
  <c r="H125" i="1"/>
  <c r="J125" i="1" s="1"/>
  <c r="AA125" i="1" s="1"/>
  <c r="AD124" i="1"/>
  <c r="T124" i="1"/>
  <c r="V123" i="1"/>
  <c r="AG123" i="1" s="1"/>
  <c r="T123" i="1"/>
  <c r="AG122" i="1"/>
  <c r="V122" i="1"/>
  <c r="T122" i="1"/>
  <c r="N122" i="1"/>
  <c r="AC122" i="1" s="1"/>
  <c r="AD121" i="1"/>
  <c r="AC121" i="1"/>
  <c r="T121" i="1"/>
  <c r="N121" i="1"/>
  <c r="AD120" i="1"/>
  <c r="V120" i="1"/>
  <c r="AG120" i="1" s="1"/>
  <c r="T120" i="1"/>
  <c r="V119" i="1"/>
  <c r="AG119" i="1" s="1"/>
  <c r="T119" i="1"/>
  <c r="AG118" i="1"/>
  <c r="V118" i="1"/>
  <c r="T118" i="1"/>
  <c r="AD118" i="1"/>
  <c r="N118" i="1"/>
  <c r="AC118" i="1" s="1"/>
  <c r="T117" i="1"/>
  <c r="AD117" i="1"/>
  <c r="N117" i="1"/>
  <c r="AC117" i="1" s="1"/>
  <c r="AD116" i="1"/>
  <c r="T116" i="1"/>
  <c r="T115" i="1"/>
  <c r="V114" i="1"/>
  <c r="AG114" i="1" s="1"/>
  <c r="T114" i="1"/>
  <c r="N114" i="1"/>
  <c r="AC114" i="1" s="1"/>
  <c r="T113" i="1"/>
  <c r="AD113" i="1"/>
  <c r="AD112" i="1"/>
  <c r="T112" i="1"/>
  <c r="V112" i="1"/>
  <c r="AG112" i="1" s="1"/>
  <c r="V111" i="1"/>
  <c r="AG111" i="1" s="1"/>
  <c r="T111" i="1"/>
  <c r="V110" i="1"/>
  <c r="AG110" i="1" s="1"/>
  <c r="T110" i="1"/>
  <c r="N110" i="1"/>
  <c r="AC110" i="1" s="1"/>
  <c r="T109" i="1"/>
  <c r="AD109" i="1"/>
  <c r="N109" i="1"/>
  <c r="AC109" i="1" s="1"/>
  <c r="T108" i="1"/>
  <c r="AD108" i="1"/>
  <c r="T107" i="1"/>
  <c r="V107" i="1"/>
  <c r="AG107" i="1" s="1"/>
  <c r="AC106" i="1"/>
  <c r="T106" i="1"/>
  <c r="AD106" i="1"/>
  <c r="N106" i="1"/>
  <c r="AC105" i="1"/>
  <c r="V105" i="1"/>
  <c r="AG105" i="1" s="1"/>
  <c r="T105" i="1"/>
  <c r="AD105" i="1"/>
  <c r="N105" i="1"/>
  <c r="AD104" i="1"/>
  <c r="T104" i="1"/>
  <c r="H104" i="1"/>
  <c r="T103" i="1"/>
  <c r="AD103" i="1"/>
  <c r="V103" i="1"/>
  <c r="AG103" i="1" s="1"/>
  <c r="T102" i="1"/>
  <c r="N102" i="1"/>
  <c r="AC102" i="1" s="1"/>
  <c r="AD101" i="1"/>
  <c r="V101" i="1"/>
  <c r="AG101" i="1" s="1"/>
  <c r="T101" i="1"/>
  <c r="T100" i="1"/>
  <c r="AD100" i="1"/>
  <c r="T99" i="1"/>
  <c r="AD99" i="1"/>
  <c r="H99" i="1"/>
  <c r="L99" i="1" s="1"/>
  <c r="AB99" i="1" s="1"/>
  <c r="V99" i="1"/>
  <c r="AG99" i="1" s="1"/>
  <c r="V98" i="1"/>
  <c r="AG98" i="1" s="1"/>
  <c r="T98" i="1"/>
  <c r="AG97" i="1"/>
  <c r="V97" i="1"/>
  <c r="T97" i="1"/>
  <c r="AD97" i="1"/>
  <c r="N97" i="1"/>
  <c r="AC97" i="1" s="1"/>
  <c r="H97" i="1"/>
  <c r="L97" i="1" s="1"/>
  <c r="AB97" i="1" s="1"/>
  <c r="AD96" i="1"/>
  <c r="T96" i="1"/>
  <c r="N96" i="1"/>
  <c r="AC96" i="1" s="1"/>
  <c r="H96" i="1"/>
  <c r="L96" i="1" s="1"/>
  <c r="AB96" i="1" s="1"/>
  <c r="AD95" i="1"/>
  <c r="T95" i="1"/>
  <c r="N95" i="1"/>
  <c r="AC95" i="1" s="1"/>
  <c r="AG94" i="1"/>
  <c r="V94" i="1"/>
  <c r="T94" i="1"/>
  <c r="AD94" i="1"/>
  <c r="N94" i="1"/>
  <c r="AC94" i="1" s="1"/>
  <c r="H94" i="1"/>
  <c r="L94" i="1" s="1"/>
  <c r="AB94" i="1" s="1"/>
  <c r="AG93" i="1"/>
  <c r="V93" i="1"/>
  <c r="T93" i="1"/>
  <c r="N93" i="1"/>
  <c r="AC93" i="1" s="1"/>
  <c r="AD92" i="1"/>
  <c r="T92" i="1"/>
  <c r="N92" i="1"/>
  <c r="AC92" i="1" s="1"/>
  <c r="J92" i="1"/>
  <c r="AA92" i="1" s="1"/>
  <c r="H92" i="1"/>
  <c r="L92" i="1" s="1"/>
  <c r="AB92" i="1" s="1"/>
  <c r="AD91" i="1"/>
  <c r="T91" i="1"/>
  <c r="N91" i="1"/>
  <c r="AC91" i="1" s="1"/>
  <c r="AG90" i="1"/>
  <c r="V90" i="1"/>
  <c r="T90" i="1"/>
  <c r="AD90" i="1"/>
  <c r="N90" i="1"/>
  <c r="AC90" i="1" s="1"/>
  <c r="H90" i="1"/>
  <c r="L90" i="1" s="1"/>
  <c r="AB90" i="1" s="1"/>
  <c r="AG89" i="1"/>
  <c r="V89" i="1"/>
  <c r="T89" i="1"/>
  <c r="N89" i="1"/>
  <c r="AC89" i="1" s="1"/>
  <c r="AD88" i="1"/>
  <c r="T88" i="1"/>
  <c r="N88" i="1"/>
  <c r="AC88" i="1" s="1"/>
  <c r="H88" i="1"/>
  <c r="AD87" i="1"/>
  <c r="T87" i="1"/>
  <c r="N87" i="1"/>
  <c r="AC87" i="1" s="1"/>
  <c r="AG86" i="1"/>
  <c r="V86" i="1"/>
  <c r="T86" i="1"/>
  <c r="AD86" i="1"/>
  <c r="N86" i="1"/>
  <c r="AC86" i="1" s="1"/>
  <c r="H86" i="1"/>
  <c r="AG85" i="1"/>
  <c r="V85" i="1"/>
  <c r="T85" i="1"/>
  <c r="AD85" i="1"/>
  <c r="N85" i="1"/>
  <c r="AC85" i="1" s="1"/>
  <c r="AD84" i="1"/>
  <c r="T84" i="1"/>
  <c r="N84" i="1"/>
  <c r="AC84" i="1" s="1"/>
  <c r="H84" i="1"/>
  <c r="L84" i="1" s="1"/>
  <c r="AB84" i="1" s="1"/>
  <c r="AD83" i="1"/>
  <c r="T83" i="1"/>
  <c r="N83" i="1"/>
  <c r="AC83" i="1" s="1"/>
  <c r="AG82" i="1"/>
  <c r="AD82" i="1"/>
  <c r="V82" i="1"/>
  <c r="T82" i="1"/>
  <c r="N82" i="1"/>
  <c r="AC82" i="1" s="1"/>
  <c r="AG81" i="1"/>
  <c r="V81" i="1"/>
  <c r="T81" i="1"/>
  <c r="AD81" i="1"/>
  <c r="N81" i="1"/>
  <c r="AC81" i="1" s="1"/>
  <c r="T80" i="1"/>
  <c r="AD80" i="1"/>
  <c r="N80" i="1"/>
  <c r="AC80" i="1" s="1"/>
  <c r="J80" i="1"/>
  <c r="AA80" i="1" s="1"/>
  <c r="H80" i="1"/>
  <c r="L80" i="1" s="1"/>
  <c r="AB80" i="1" s="1"/>
  <c r="AD79" i="1"/>
  <c r="T79" i="1"/>
  <c r="N79" i="1"/>
  <c r="AC79" i="1" s="1"/>
  <c r="H79" i="1"/>
  <c r="AG78" i="1"/>
  <c r="V78" i="1"/>
  <c r="T78" i="1"/>
  <c r="AD78" i="1"/>
  <c r="N78" i="1"/>
  <c r="AC78" i="1" s="1"/>
  <c r="H78" i="1"/>
  <c r="AG77" i="1"/>
  <c r="V77" i="1"/>
  <c r="T77" i="1"/>
  <c r="AD77" i="1"/>
  <c r="N77" i="1"/>
  <c r="AC77" i="1" s="1"/>
  <c r="T76" i="1"/>
  <c r="AD76" i="1"/>
  <c r="N76" i="1"/>
  <c r="AC76" i="1" s="1"/>
  <c r="H76" i="1"/>
  <c r="L76" i="1" s="1"/>
  <c r="AB76" i="1" s="1"/>
  <c r="AD75" i="1"/>
  <c r="T75" i="1"/>
  <c r="N75" i="1"/>
  <c r="AC75" i="1" s="1"/>
  <c r="AD74" i="1"/>
  <c r="V74" i="1"/>
  <c r="AG74" i="1" s="1"/>
  <c r="T74" i="1"/>
  <c r="N74" i="1"/>
  <c r="AC74" i="1" s="1"/>
  <c r="AG73" i="1"/>
  <c r="V73" i="1"/>
  <c r="T73" i="1"/>
  <c r="N73" i="1"/>
  <c r="AC73" i="1" s="1"/>
  <c r="AD72" i="1"/>
  <c r="T72" i="1"/>
  <c r="N72" i="1"/>
  <c r="AC72" i="1" s="1"/>
  <c r="H72" i="1"/>
  <c r="AD71" i="1"/>
  <c r="T71" i="1"/>
  <c r="N71" i="1"/>
  <c r="AC71" i="1" s="1"/>
  <c r="V70" i="1"/>
  <c r="AG70" i="1" s="1"/>
  <c r="T70" i="1"/>
  <c r="AD70" i="1"/>
  <c r="N70" i="1"/>
  <c r="AC70" i="1" s="1"/>
  <c r="H70" i="1"/>
  <c r="AG69" i="1"/>
  <c r="V69" i="1"/>
  <c r="T69" i="1"/>
  <c r="AD69" i="1"/>
  <c r="N69" i="1"/>
  <c r="AC69" i="1" s="1"/>
  <c r="T68" i="1"/>
  <c r="AD68" i="1"/>
  <c r="N68" i="1"/>
  <c r="AC68" i="1" s="1"/>
  <c r="H68" i="1"/>
  <c r="L68" i="1" s="1"/>
  <c r="AB68" i="1" s="1"/>
  <c r="AD67" i="1"/>
  <c r="T67" i="1"/>
  <c r="N67" i="1"/>
  <c r="AC67" i="1" s="1"/>
  <c r="AD66" i="1"/>
  <c r="V66" i="1"/>
  <c r="AG66" i="1" s="1"/>
  <c r="T66" i="1"/>
  <c r="N66" i="1"/>
  <c r="AC66" i="1" s="1"/>
  <c r="AG65" i="1"/>
  <c r="V65" i="1"/>
  <c r="T65" i="1"/>
  <c r="N65" i="1"/>
  <c r="AC65" i="1" s="1"/>
  <c r="AD64" i="1"/>
  <c r="T64" i="1"/>
  <c r="N64" i="1"/>
  <c r="AC64" i="1" s="1"/>
  <c r="H64" i="1"/>
  <c r="AD63" i="1"/>
  <c r="T63" i="1"/>
  <c r="N63" i="1"/>
  <c r="AC63" i="1" s="1"/>
  <c r="V62" i="1"/>
  <c r="AG62" i="1" s="1"/>
  <c r="T62" i="1"/>
  <c r="AD62" i="1"/>
  <c r="N62" i="1"/>
  <c r="AC62" i="1" s="1"/>
  <c r="AG61" i="1"/>
  <c r="V61" i="1"/>
  <c r="T61" i="1"/>
  <c r="AD61" i="1"/>
  <c r="N61" i="1"/>
  <c r="AC61" i="1" s="1"/>
  <c r="AD60" i="1"/>
  <c r="T60" i="1"/>
  <c r="N60" i="1"/>
  <c r="AC60" i="1" s="1"/>
  <c r="H60" i="1"/>
  <c r="L60" i="1" s="1"/>
  <c r="AB60" i="1" s="1"/>
  <c r="AD59" i="1"/>
  <c r="T59" i="1"/>
  <c r="N59" i="1"/>
  <c r="AC59" i="1" s="1"/>
  <c r="V58" i="1"/>
  <c r="AG58" i="1" s="1"/>
  <c r="T58" i="1"/>
  <c r="AD58" i="1"/>
  <c r="N58" i="1"/>
  <c r="AC58" i="1" s="1"/>
  <c r="H58" i="1"/>
  <c r="AG57" i="1"/>
  <c r="V57" i="1"/>
  <c r="T57" i="1"/>
  <c r="AD57" i="1"/>
  <c r="N57" i="1"/>
  <c r="AC57" i="1" s="1"/>
  <c r="AD56" i="1"/>
  <c r="T56" i="1"/>
  <c r="N56" i="1"/>
  <c r="AC56" i="1" s="1"/>
  <c r="T55" i="1"/>
  <c r="AD55" i="1"/>
  <c r="N55" i="1"/>
  <c r="AC55" i="1" s="1"/>
  <c r="AG54" i="1"/>
  <c r="AD54" i="1"/>
  <c r="V54" i="1"/>
  <c r="T54" i="1"/>
  <c r="N54" i="1"/>
  <c r="AC54" i="1" s="1"/>
  <c r="AG53" i="1"/>
  <c r="V53" i="1"/>
  <c r="T53" i="1"/>
  <c r="AD53" i="1"/>
  <c r="N53" i="1"/>
  <c r="AC53" i="1" s="1"/>
  <c r="H53" i="1"/>
  <c r="T52" i="1"/>
  <c r="AD52" i="1"/>
  <c r="N52" i="1"/>
  <c r="AC52" i="1" s="1"/>
  <c r="T51" i="1"/>
  <c r="AD51" i="1"/>
  <c r="N51" i="1"/>
  <c r="AC51" i="1" s="1"/>
  <c r="AC50" i="1"/>
  <c r="V50" i="1"/>
  <c r="AG50" i="1" s="1"/>
  <c r="T50" i="1"/>
  <c r="AD50" i="1"/>
  <c r="N50" i="1"/>
  <c r="AG49" i="1"/>
  <c r="V49" i="1"/>
  <c r="T49" i="1"/>
  <c r="AD49" i="1"/>
  <c r="N49" i="1"/>
  <c r="AC49" i="1" s="1"/>
  <c r="T48" i="1"/>
  <c r="AD48" i="1"/>
  <c r="H48" i="1"/>
  <c r="V47" i="1"/>
  <c r="AG47" i="1" s="1"/>
  <c r="T47" i="1"/>
  <c r="AD47" i="1"/>
  <c r="N47" i="1"/>
  <c r="AC47" i="1" s="1"/>
  <c r="AG46" i="1"/>
  <c r="V46" i="1"/>
  <c r="T46" i="1"/>
  <c r="N46" i="1"/>
  <c r="AC46" i="1" s="1"/>
  <c r="AD45" i="1"/>
  <c r="V45" i="1"/>
  <c r="AG45" i="1" s="1"/>
  <c r="T45" i="1"/>
  <c r="N45" i="1"/>
  <c r="AC45" i="1" s="1"/>
  <c r="T44" i="1"/>
  <c r="T43" i="1"/>
  <c r="AD43" i="1"/>
  <c r="N43" i="1"/>
  <c r="AC43" i="1" s="1"/>
  <c r="AD42" i="1"/>
  <c r="T42" i="1"/>
  <c r="V41" i="1"/>
  <c r="AG41" i="1" s="1"/>
  <c r="T41" i="1"/>
  <c r="N41" i="1"/>
  <c r="AC41" i="1" s="1"/>
  <c r="T40" i="1"/>
  <c r="AD40" i="1"/>
  <c r="N40" i="1"/>
  <c r="AC40" i="1" s="1"/>
  <c r="T39" i="1"/>
  <c r="AD39" i="1"/>
  <c r="AG38" i="1"/>
  <c r="V38" i="1"/>
  <c r="T38" i="1"/>
  <c r="AD38" i="1"/>
  <c r="N38" i="1"/>
  <c r="AC38" i="1" s="1"/>
  <c r="AG37" i="1"/>
  <c r="V37" i="1"/>
  <c r="T37" i="1"/>
  <c r="AD37" i="1"/>
  <c r="N37" i="1"/>
  <c r="AC37" i="1" s="1"/>
  <c r="H37" i="1"/>
  <c r="AG36" i="1"/>
  <c r="AD36" i="1"/>
  <c r="V36" i="1"/>
  <c r="T36" i="1"/>
  <c r="N36" i="1"/>
  <c r="AC36" i="1" s="1"/>
  <c r="AD35" i="1"/>
  <c r="T35" i="1"/>
  <c r="AG34" i="1"/>
  <c r="V34" i="1"/>
  <c r="T34" i="1"/>
  <c r="AD34" i="1"/>
  <c r="N34" i="1"/>
  <c r="AC34" i="1" s="1"/>
  <c r="AG33" i="1"/>
  <c r="V33" i="1"/>
  <c r="T33" i="1"/>
  <c r="AD33" i="1"/>
  <c r="N33" i="1"/>
  <c r="AC33" i="1" s="1"/>
  <c r="H33" i="1"/>
  <c r="AG32" i="1"/>
  <c r="AD32" i="1"/>
  <c r="V32" i="1"/>
  <c r="T32" i="1"/>
  <c r="N32" i="1"/>
  <c r="AC32" i="1" s="1"/>
  <c r="H32" i="1"/>
  <c r="L32" i="1" s="1"/>
  <c r="AB32" i="1" s="1"/>
  <c r="T31" i="1"/>
  <c r="AD31" i="1"/>
  <c r="V30" i="1"/>
  <c r="AG30" i="1" s="1"/>
  <c r="T30" i="1"/>
  <c r="AD30" i="1"/>
  <c r="N30" i="1"/>
  <c r="AC30" i="1" s="1"/>
  <c r="AG29" i="1"/>
  <c r="V29" i="1"/>
  <c r="T29" i="1"/>
  <c r="AD29" i="1"/>
  <c r="N29" i="1"/>
  <c r="AC29" i="1" s="1"/>
  <c r="H29" i="1"/>
  <c r="AG28" i="1"/>
  <c r="V28" i="1"/>
  <c r="T28" i="1"/>
  <c r="AD28" i="1"/>
  <c r="N28" i="1"/>
  <c r="AC28" i="1" s="1"/>
  <c r="AD27" i="1"/>
  <c r="T27" i="1"/>
  <c r="AG26" i="1"/>
  <c r="V26" i="1"/>
  <c r="T26" i="1"/>
  <c r="N26" i="1"/>
  <c r="AC26" i="1" s="1"/>
  <c r="AG25" i="1"/>
  <c r="V25" i="1"/>
  <c r="T25" i="1"/>
  <c r="AD25" i="1"/>
  <c r="N25" i="1"/>
  <c r="AC25" i="1" s="1"/>
  <c r="AG24" i="1"/>
  <c r="AD24" i="1"/>
  <c r="V24" i="1"/>
  <c r="T24" i="1"/>
  <c r="N24" i="1"/>
  <c r="AC24" i="1" s="1"/>
  <c r="T23" i="1"/>
  <c r="AD23" i="1"/>
  <c r="V22" i="1"/>
  <c r="AG22" i="1" s="1"/>
  <c r="T22" i="1"/>
  <c r="N22" i="1"/>
  <c r="AC22" i="1" s="1"/>
  <c r="AG21" i="1"/>
  <c r="AD21" i="1"/>
  <c r="V21" i="1"/>
  <c r="T21" i="1"/>
  <c r="N21" i="1"/>
  <c r="AC21" i="1" s="1"/>
  <c r="H21" i="1"/>
  <c r="L21" i="1" s="1"/>
  <c r="AB21" i="1" s="1"/>
  <c r="AG20" i="1"/>
  <c r="AD20" i="1"/>
  <c r="V20" i="1"/>
  <c r="T20" i="1"/>
  <c r="N20" i="1"/>
  <c r="AC20" i="1" s="1"/>
  <c r="T19" i="1"/>
  <c r="AD19" i="1"/>
  <c r="V18" i="1"/>
  <c r="AG18" i="1" s="1"/>
  <c r="T18" i="1"/>
  <c r="T17" i="1"/>
  <c r="AD17" i="1"/>
  <c r="V16" i="1"/>
  <c r="AG16" i="1" s="1"/>
  <c r="T16" i="1"/>
  <c r="AD16" i="1"/>
  <c r="N16" i="1"/>
  <c r="AC16" i="1" s="1"/>
  <c r="AD15" i="1"/>
  <c r="T15" i="1"/>
  <c r="AC14" i="1"/>
  <c r="V14" i="1"/>
  <c r="AG14" i="1" s="1"/>
  <c r="T14" i="1"/>
  <c r="AD14" i="1"/>
  <c r="N14" i="1"/>
  <c r="T13" i="1"/>
  <c r="AD13" i="1"/>
  <c r="AG12" i="1"/>
  <c r="AD12" i="1"/>
  <c r="V12" i="1"/>
  <c r="T12" i="1"/>
  <c r="N12" i="1"/>
  <c r="AC12" i="1" s="1"/>
  <c r="H12" i="1"/>
  <c r="L12" i="1" s="1"/>
  <c r="AB12" i="1" s="1"/>
  <c r="T11" i="1"/>
  <c r="AD11" i="1"/>
  <c r="T10" i="1"/>
  <c r="T9" i="1"/>
  <c r="AD9" i="1"/>
  <c r="AG8" i="1"/>
  <c r="V8" i="1"/>
  <c r="T8" i="1"/>
  <c r="AD8" i="1"/>
  <c r="N8" i="1"/>
  <c r="AC8" i="1" s="1"/>
  <c r="T7" i="1"/>
  <c r="AD7" i="1"/>
  <c r="V6" i="1"/>
  <c r="AG6" i="1" s="1"/>
  <c r="T6" i="1"/>
  <c r="AD5" i="1"/>
  <c r="T5" i="1"/>
  <c r="AD4" i="1"/>
  <c r="V4" i="1"/>
  <c r="AG4" i="1" s="1"/>
  <c r="T4" i="1"/>
  <c r="N4" i="1"/>
  <c r="AC4" i="1" s="1"/>
  <c r="V3" i="1"/>
  <c r="AG3" i="1" s="1"/>
  <c r="T3" i="1"/>
  <c r="P268" i="1"/>
  <c r="H3" i="1"/>
  <c r="L3" i="1" l="1"/>
  <c r="AB3" i="1" s="1"/>
  <c r="J3" i="1"/>
  <c r="AA3" i="1" s="1"/>
  <c r="V31" i="1"/>
  <c r="AG31" i="1" s="1"/>
  <c r="N31" i="1"/>
  <c r="AC31" i="1" s="1"/>
  <c r="H40" i="1"/>
  <c r="V42" i="1"/>
  <c r="AG42" i="1" s="1"/>
  <c r="N42" i="1"/>
  <c r="AC42" i="1" s="1"/>
  <c r="Q268" i="1"/>
  <c r="H5" i="1"/>
  <c r="H13" i="1"/>
  <c r="V15" i="1"/>
  <c r="AG15" i="1" s="1"/>
  <c r="N15" i="1"/>
  <c r="AC15" i="1" s="1"/>
  <c r="V23" i="1"/>
  <c r="AG23" i="1" s="1"/>
  <c r="N23" i="1"/>
  <c r="AC23" i="1" s="1"/>
  <c r="H31" i="1"/>
  <c r="AE33" i="1"/>
  <c r="AD44" i="1"/>
  <c r="H66" i="1"/>
  <c r="H67" i="1"/>
  <c r="T268" i="1"/>
  <c r="AE27" i="1" s="1"/>
  <c r="AD6" i="1"/>
  <c r="H10" i="1"/>
  <c r="H15" i="1"/>
  <c r="AD18" i="1"/>
  <c r="V19" i="1"/>
  <c r="AG19" i="1" s="1"/>
  <c r="N19" i="1"/>
  <c r="AC19" i="1" s="1"/>
  <c r="AD22" i="1"/>
  <c r="H23" i="1"/>
  <c r="H25" i="1"/>
  <c r="L37" i="1"/>
  <c r="AB37" i="1" s="1"/>
  <c r="J37" i="1"/>
  <c r="AA37" i="1" s="1"/>
  <c r="AE44" i="1"/>
  <c r="L53" i="1"/>
  <c r="AB53" i="1" s="1"/>
  <c r="J53" i="1"/>
  <c r="AA53" i="1" s="1"/>
  <c r="N171" i="1"/>
  <c r="AC171" i="1" s="1"/>
  <c r="V171" i="1"/>
  <c r="AG171" i="1" s="1"/>
  <c r="H171" i="1"/>
  <c r="D268" i="1"/>
  <c r="N7" i="1"/>
  <c r="AC7" i="1" s="1"/>
  <c r="N13" i="1"/>
  <c r="AC13" i="1" s="1"/>
  <c r="H19" i="1"/>
  <c r="H28" i="1"/>
  <c r="J32" i="1"/>
  <c r="AA32" i="1" s="1"/>
  <c r="E268" i="1"/>
  <c r="H4" i="1"/>
  <c r="N5" i="1"/>
  <c r="AC5" i="1" s="1"/>
  <c r="H7" i="1"/>
  <c r="V9" i="1"/>
  <c r="AG9" i="1" s="1"/>
  <c r="H17" i="1"/>
  <c r="H39" i="1"/>
  <c r="H74" i="1"/>
  <c r="AE70" i="1"/>
  <c r="L88" i="1"/>
  <c r="AB88" i="1" s="1"/>
  <c r="J88" i="1"/>
  <c r="AA88" i="1" s="1"/>
  <c r="G268" i="1"/>
  <c r="N10" i="1"/>
  <c r="AC10" i="1" s="1"/>
  <c r="J12" i="1"/>
  <c r="AA12" i="1" s="1"/>
  <c r="N17" i="1"/>
  <c r="AC17" i="1" s="1"/>
  <c r="J21" i="1"/>
  <c r="AA21" i="1" s="1"/>
  <c r="H24" i="1"/>
  <c r="AD41" i="1"/>
  <c r="L64" i="1"/>
  <c r="AB64" i="1" s="1"/>
  <c r="J64" i="1"/>
  <c r="AA64" i="1" s="1"/>
  <c r="AE77" i="1"/>
  <c r="L48" i="1"/>
  <c r="AB48" i="1" s="1"/>
  <c r="J48" i="1"/>
  <c r="AA48" i="1" s="1"/>
  <c r="H6" i="1"/>
  <c r="H36" i="1"/>
  <c r="AE37" i="1"/>
  <c r="F268" i="1"/>
  <c r="V13" i="1"/>
  <c r="AG13" i="1" s="1"/>
  <c r="H16" i="1"/>
  <c r="H18" i="1"/>
  <c r="H22" i="1"/>
  <c r="L33" i="1"/>
  <c r="AB33" i="1" s="1"/>
  <c r="J33" i="1"/>
  <c r="AA33" i="1" s="1"/>
  <c r="AF33" i="1" s="1"/>
  <c r="AH33" i="1" s="1"/>
  <c r="AE38" i="1"/>
  <c r="H81" i="1"/>
  <c r="AD10" i="1"/>
  <c r="H20" i="1"/>
  <c r="V35" i="1"/>
  <c r="AG35" i="1" s="1"/>
  <c r="N35" i="1"/>
  <c r="AC35" i="1" s="1"/>
  <c r="H57" i="1"/>
  <c r="L72" i="1"/>
  <c r="AB72" i="1" s="1"/>
  <c r="J72" i="1"/>
  <c r="AA72" i="1" s="1"/>
  <c r="AD3" i="1"/>
  <c r="AE3" i="1"/>
  <c r="N3" i="1"/>
  <c r="AC3" i="1" s="1"/>
  <c r="V11" i="1"/>
  <c r="AG11" i="1" s="1"/>
  <c r="N11" i="1"/>
  <c r="AC11" i="1" s="1"/>
  <c r="V27" i="1"/>
  <c r="AG27" i="1" s="1"/>
  <c r="N27" i="1"/>
  <c r="AC27" i="1" s="1"/>
  <c r="L29" i="1"/>
  <c r="AB29" i="1" s="1"/>
  <c r="J29" i="1"/>
  <c r="AA29" i="1" s="1"/>
  <c r="H30" i="1"/>
  <c r="H35" i="1"/>
  <c r="H95" i="1"/>
  <c r="H14" i="1"/>
  <c r="H26" i="1"/>
  <c r="H9" i="1"/>
  <c r="V5" i="1"/>
  <c r="AG5" i="1" s="1"/>
  <c r="AG268" i="1" s="1"/>
  <c r="O268" i="1"/>
  <c r="N6" i="1"/>
  <c r="AC6" i="1" s="1"/>
  <c r="V7" i="1"/>
  <c r="AG7" i="1" s="1"/>
  <c r="H8" i="1"/>
  <c r="N9" i="1"/>
  <c r="AC9" i="1" s="1"/>
  <c r="V10" i="1"/>
  <c r="AG10" i="1" s="1"/>
  <c r="H11" i="1"/>
  <c r="V17" i="1"/>
  <c r="AG17" i="1" s="1"/>
  <c r="N18" i="1"/>
  <c r="AC18" i="1" s="1"/>
  <c r="AD26" i="1"/>
  <c r="H27" i="1"/>
  <c r="AD46" i="1"/>
  <c r="AE47" i="1"/>
  <c r="H46" i="1"/>
  <c r="H56" i="1"/>
  <c r="H65" i="1"/>
  <c r="H73" i="1"/>
  <c r="L79" i="1"/>
  <c r="AB79" i="1" s="1"/>
  <c r="J79" i="1"/>
  <c r="AA79" i="1" s="1"/>
  <c r="H91" i="1"/>
  <c r="V48" i="1"/>
  <c r="AG48" i="1" s="1"/>
  <c r="AE58" i="1"/>
  <c r="AE85" i="1"/>
  <c r="AE103" i="1"/>
  <c r="AE78" i="1"/>
  <c r="H42" i="1"/>
  <c r="H45" i="1"/>
  <c r="H54" i="1"/>
  <c r="AE86" i="1"/>
  <c r="J96" i="1"/>
  <c r="AA96" i="1" s="1"/>
  <c r="J99" i="1"/>
  <c r="AA99" i="1" s="1"/>
  <c r="AE102" i="1"/>
  <c r="AE198" i="1"/>
  <c r="J60" i="1"/>
  <c r="AA60" i="1" s="1"/>
  <c r="H75" i="1"/>
  <c r="H82" i="1"/>
  <c r="AD89" i="1"/>
  <c r="H116" i="1"/>
  <c r="H146" i="1"/>
  <c r="H34" i="1"/>
  <c r="H38" i="1"/>
  <c r="N39" i="1"/>
  <c r="AC39" i="1" s="1"/>
  <c r="N48" i="1"/>
  <c r="AC48" i="1" s="1"/>
  <c r="H50" i="1"/>
  <c r="V52" i="1"/>
  <c r="AG52" i="1" s="1"/>
  <c r="AE53" i="1"/>
  <c r="V55" i="1"/>
  <c r="AG55" i="1" s="1"/>
  <c r="H61" i="1"/>
  <c r="AD65" i="1"/>
  <c r="H69" i="1"/>
  <c r="AD73" i="1"/>
  <c r="H77" i="1"/>
  <c r="AE89" i="1"/>
  <c r="AD93" i="1"/>
  <c r="AE100" i="1"/>
  <c r="N104" i="1"/>
  <c r="AC104" i="1" s="1"/>
  <c r="V104" i="1"/>
  <c r="AG104" i="1" s="1"/>
  <c r="AE114" i="1"/>
  <c r="AE131" i="1"/>
  <c r="V43" i="1"/>
  <c r="AG43" i="1" s="1"/>
  <c r="V44" i="1"/>
  <c r="AG44" i="1" s="1"/>
  <c r="H47" i="1"/>
  <c r="V51" i="1"/>
  <c r="AG51" i="1" s="1"/>
  <c r="H52" i="1"/>
  <c r="H55" i="1"/>
  <c r="AE65" i="1"/>
  <c r="AE73" i="1"/>
  <c r="H83" i="1"/>
  <c r="H85" i="1"/>
  <c r="AE90" i="1"/>
  <c r="AE93" i="1"/>
  <c r="H101" i="1"/>
  <c r="L104" i="1"/>
  <c r="AB104" i="1" s="1"/>
  <c r="J104" i="1"/>
  <c r="AA104" i="1" s="1"/>
  <c r="AE107" i="1"/>
  <c r="H41" i="1"/>
  <c r="H44" i="1"/>
  <c r="J68" i="1"/>
  <c r="AA68" i="1" s="1"/>
  <c r="J76" i="1"/>
  <c r="AA76" i="1" s="1"/>
  <c r="AE81" i="1"/>
  <c r="AE94" i="1"/>
  <c r="AE54" i="1"/>
  <c r="L58" i="1"/>
  <c r="AB58" i="1" s="1"/>
  <c r="J58" i="1"/>
  <c r="AA58" i="1" s="1"/>
  <c r="AF58" i="1" s="1"/>
  <c r="AH58" i="1" s="1"/>
  <c r="AE66" i="1"/>
  <c r="AE74" i="1"/>
  <c r="AE112" i="1"/>
  <c r="V59" i="1"/>
  <c r="AG59" i="1" s="1"/>
  <c r="H62" i="1"/>
  <c r="V63" i="1"/>
  <c r="AG63" i="1" s="1"/>
  <c r="L70" i="1"/>
  <c r="AB70" i="1" s="1"/>
  <c r="J70" i="1"/>
  <c r="AA70" i="1" s="1"/>
  <c r="L78" i="1"/>
  <c r="AB78" i="1" s="1"/>
  <c r="J78" i="1"/>
  <c r="AA78" i="1" s="1"/>
  <c r="AE82" i="1"/>
  <c r="J84" i="1"/>
  <c r="AA84" i="1" s="1"/>
  <c r="H87" i="1"/>
  <c r="AE105" i="1"/>
  <c r="H108" i="1"/>
  <c r="H115" i="1"/>
  <c r="V39" i="1"/>
  <c r="AG39" i="1" s="1"/>
  <c r="V40" i="1"/>
  <c r="AG40" i="1" s="1"/>
  <c r="H43" i="1"/>
  <c r="N44" i="1"/>
  <c r="AC44" i="1" s="1"/>
  <c r="H49" i="1"/>
  <c r="AE50" i="1"/>
  <c r="H51" i="1"/>
  <c r="AE57" i="1"/>
  <c r="H59" i="1"/>
  <c r="H63" i="1"/>
  <c r="H71" i="1"/>
  <c r="L86" i="1"/>
  <c r="AB86" i="1" s="1"/>
  <c r="J86" i="1"/>
  <c r="AA86" i="1" s="1"/>
  <c r="AE111" i="1"/>
  <c r="N124" i="1"/>
  <c r="AC124" i="1" s="1"/>
  <c r="V124" i="1"/>
  <c r="AG124" i="1" s="1"/>
  <c r="H124" i="1"/>
  <c r="H162" i="1"/>
  <c r="H106" i="1"/>
  <c r="AD107" i="1"/>
  <c r="N108" i="1"/>
  <c r="AC108" i="1" s="1"/>
  <c r="N115" i="1"/>
  <c r="AC115" i="1" s="1"/>
  <c r="V125" i="1"/>
  <c r="AG125" i="1" s="1"/>
  <c r="AE130" i="1"/>
  <c r="AD150" i="1"/>
  <c r="L164" i="1"/>
  <c r="AB164" i="1" s="1"/>
  <c r="AD166" i="1"/>
  <c r="AD173" i="1"/>
  <c r="AE184" i="1"/>
  <c r="J189" i="1"/>
  <c r="AA189" i="1" s="1"/>
  <c r="L189" i="1"/>
  <c r="AB189" i="1" s="1"/>
  <c r="N196" i="1"/>
  <c r="AC196" i="1" s="1"/>
  <c r="V196" i="1"/>
  <c r="AG196" i="1" s="1"/>
  <c r="H98" i="1"/>
  <c r="V100" i="1"/>
  <c r="AG100" i="1" s="1"/>
  <c r="V113" i="1"/>
  <c r="AG113" i="1" s="1"/>
  <c r="N116" i="1"/>
  <c r="AC116" i="1" s="1"/>
  <c r="L176" i="1"/>
  <c r="AB176" i="1" s="1"/>
  <c r="H179" i="1"/>
  <c r="AE229" i="1"/>
  <c r="H113" i="1"/>
  <c r="AD114" i="1"/>
  <c r="L125" i="1"/>
  <c r="AB125" i="1" s="1"/>
  <c r="N128" i="1"/>
  <c r="AC128" i="1" s="1"/>
  <c r="H135" i="1"/>
  <c r="H152" i="1"/>
  <c r="H168" i="1"/>
  <c r="H178" i="1"/>
  <c r="AD102" i="1"/>
  <c r="AD115" i="1"/>
  <c r="AD122" i="1"/>
  <c r="AD123" i="1"/>
  <c r="N125" i="1"/>
  <c r="AC125" i="1" s="1"/>
  <c r="H128" i="1"/>
  <c r="V129" i="1"/>
  <c r="AG129" i="1" s="1"/>
  <c r="H133" i="1"/>
  <c r="N103" i="1"/>
  <c r="AC103" i="1" s="1"/>
  <c r="AE115" i="1"/>
  <c r="N120" i="1"/>
  <c r="AC120" i="1" s="1"/>
  <c r="AE123" i="1"/>
  <c r="AE124" i="1"/>
  <c r="H134" i="1"/>
  <c r="V134" i="1"/>
  <c r="AG134" i="1" s="1"/>
  <c r="AF142" i="1"/>
  <c r="AH142" i="1" s="1"/>
  <c r="V143" i="1"/>
  <c r="AG143" i="1" s="1"/>
  <c r="N143" i="1"/>
  <c r="AC143" i="1" s="1"/>
  <c r="J90" i="1"/>
  <c r="AA90" i="1" s="1"/>
  <c r="AF90" i="1" s="1"/>
  <c r="AH90" i="1" s="1"/>
  <c r="J94" i="1"/>
  <c r="AA94" i="1" s="1"/>
  <c r="AF94" i="1" s="1"/>
  <c r="AH94" i="1" s="1"/>
  <c r="N98" i="1"/>
  <c r="AC98" i="1" s="1"/>
  <c r="H100" i="1"/>
  <c r="N101" i="1"/>
  <c r="AC101" i="1" s="1"/>
  <c r="V102" i="1"/>
  <c r="AG102" i="1" s="1"/>
  <c r="H103" i="1"/>
  <c r="H111" i="1"/>
  <c r="N113" i="1"/>
  <c r="AC113" i="1" s="1"/>
  <c r="V115" i="1"/>
  <c r="AG115" i="1" s="1"/>
  <c r="H120" i="1"/>
  <c r="V121" i="1"/>
  <c r="AG121" i="1" s="1"/>
  <c r="L129" i="1"/>
  <c r="AB129" i="1" s="1"/>
  <c r="N134" i="1"/>
  <c r="AC134" i="1" s="1"/>
  <c r="V141" i="1"/>
  <c r="AG141" i="1" s="1"/>
  <c r="N141" i="1"/>
  <c r="AC141" i="1" s="1"/>
  <c r="H149" i="1"/>
  <c r="AE170" i="1"/>
  <c r="V56" i="1"/>
  <c r="AG56" i="1" s="1"/>
  <c r="V60" i="1"/>
  <c r="AG60" i="1" s="1"/>
  <c r="V64" i="1"/>
  <c r="AG64" i="1" s="1"/>
  <c r="V68" i="1"/>
  <c r="AG68" i="1" s="1"/>
  <c r="V72" i="1"/>
  <c r="AG72" i="1" s="1"/>
  <c r="V76" i="1"/>
  <c r="AG76" i="1" s="1"/>
  <c r="V80" i="1"/>
  <c r="AG80" i="1" s="1"/>
  <c r="V84" i="1"/>
  <c r="AG84" i="1" s="1"/>
  <c r="V88" i="1"/>
  <c r="AG88" i="1" s="1"/>
  <c r="V92" i="1"/>
  <c r="AG92" i="1" s="1"/>
  <c r="V96" i="1"/>
  <c r="AG96" i="1" s="1"/>
  <c r="H105" i="1"/>
  <c r="H107" i="1"/>
  <c r="N111" i="1"/>
  <c r="AC111" i="1" s="1"/>
  <c r="H121" i="1"/>
  <c r="N129" i="1"/>
  <c r="AC129" i="1" s="1"/>
  <c r="H131" i="1"/>
  <c r="N132" i="1"/>
  <c r="AC132" i="1" s="1"/>
  <c r="V132" i="1"/>
  <c r="AG132" i="1" s="1"/>
  <c r="AD136" i="1"/>
  <c r="H139" i="1"/>
  <c r="V158" i="1"/>
  <c r="AG158" i="1" s="1"/>
  <c r="N158" i="1"/>
  <c r="AC158" i="1" s="1"/>
  <c r="H89" i="1"/>
  <c r="H93" i="1"/>
  <c r="N107" i="1"/>
  <c r="AC107" i="1" s="1"/>
  <c r="V109" i="1"/>
  <c r="AG109" i="1" s="1"/>
  <c r="N112" i="1"/>
  <c r="AC112" i="1" s="1"/>
  <c r="V117" i="1"/>
  <c r="AG117" i="1" s="1"/>
  <c r="AE128" i="1"/>
  <c r="V139" i="1"/>
  <c r="AG139" i="1" s="1"/>
  <c r="N139" i="1"/>
  <c r="AC139" i="1" s="1"/>
  <c r="AE153" i="1"/>
  <c r="H165" i="1"/>
  <c r="J97" i="1"/>
  <c r="AA97" i="1" s="1"/>
  <c r="AD98" i="1"/>
  <c r="N100" i="1"/>
  <c r="AC100" i="1" s="1"/>
  <c r="H102" i="1"/>
  <c r="V108" i="1"/>
  <c r="AG108" i="1" s="1"/>
  <c r="H109" i="1"/>
  <c r="AD110" i="1"/>
  <c r="H112" i="1"/>
  <c r="H117" i="1"/>
  <c r="AD119" i="1"/>
  <c r="AD126" i="1"/>
  <c r="AE127" i="1"/>
  <c r="V128" i="1"/>
  <c r="AG128" i="1" s="1"/>
  <c r="L132" i="1"/>
  <c r="AB132" i="1" s="1"/>
  <c r="V67" i="1"/>
  <c r="AG67" i="1" s="1"/>
  <c r="V71" i="1"/>
  <c r="AG71" i="1" s="1"/>
  <c r="V75" i="1"/>
  <c r="AG75" i="1" s="1"/>
  <c r="V79" i="1"/>
  <c r="AG79" i="1" s="1"/>
  <c r="V83" i="1"/>
  <c r="AG83" i="1" s="1"/>
  <c r="V87" i="1"/>
  <c r="AG87" i="1" s="1"/>
  <c r="V91" i="1"/>
  <c r="AG91" i="1" s="1"/>
  <c r="V95" i="1"/>
  <c r="AG95" i="1" s="1"/>
  <c r="N99" i="1"/>
  <c r="AC99" i="1" s="1"/>
  <c r="V106" i="1"/>
  <c r="AG106" i="1" s="1"/>
  <c r="AD111" i="1"/>
  <c r="V116" i="1"/>
  <c r="AG116" i="1" s="1"/>
  <c r="AE119" i="1"/>
  <c r="AE120" i="1"/>
  <c r="H137" i="1"/>
  <c r="AD142" i="1"/>
  <c r="L136" i="1"/>
  <c r="AB136" i="1" s="1"/>
  <c r="N138" i="1"/>
  <c r="AC138" i="1" s="1"/>
  <c r="N148" i="1"/>
  <c r="AC148" i="1" s="1"/>
  <c r="H154" i="1"/>
  <c r="AE162" i="1"/>
  <c r="N164" i="1"/>
  <c r="AC164" i="1" s="1"/>
  <c r="H170" i="1"/>
  <c r="L197" i="1"/>
  <c r="AB197" i="1" s="1"/>
  <c r="H141" i="1"/>
  <c r="AE142" i="1"/>
  <c r="AE150" i="1"/>
  <c r="AF150" i="1" s="1"/>
  <c r="AH150" i="1" s="1"/>
  <c r="N152" i="1"/>
  <c r="AC152" i="1" s="1"/>
  <c r="H158" i="1"/>
  <c r="N161" i="1"/>
  <c r="AC161" i="1" s="1"/>
  <c r="AF161" i="1" s="1"/>
  <c r="AH161" i="1" s="1"/>
  <c r="AE166" i="1"/>
  <c r="N168" i="1"/>
  <c r="AC168" i="1" s="1"/>
  <c r="AE174" i="1"/>
  <c r="N176" i="1"/>
  <c r="AC176" i="1" s="1"/>
  <c r="V177" i="1"/>
  <c r="AG177" i="1" s="1"/>
  <c r="N177" i="1"/>
  <c r="AC177" i="1" s="1"/>
  <c r="AE190" i="1"/>
  <c r="V202" i="1"/>
  <c r="AG202" i="1" s="1"/>
  <c r="N202" i="1"/>
  <c r="AC202" i="1" s="1"/>
  <c r="H213" i="1"/>
  <c r="AE138" i="1"/>
  <c r="AE157" i="1"/>
  <c r="AF157" i="1" s="1"/>
  <c r="AH157" i="1" s="1"/>
  <c r="H183" i="1"/>
  <c r="AE187" i="1"/>
  <c r="H207" i="1"/>
  <c r="AE209" i="1"/>
  <c r="L219" i="1"/>
  <c r="AB219" i="1" s="1"/>
  <c r="J219" i="1"/>
  <c r="AA219" i="1" s="1"/>
  <c r="H119" i="1"/>
  <c r="H123" i="1"/>
  <c r="H127" i="1"/>
  <c r="AE134" i="1"/>
  <c r="V138" i="1"/>
  <c r="AG138" i="1" s="1"/>
  <c r="AE145" i="1"/>
  <c r="AD151" i="1"/>
  <c r="N155" i="1"/>
  <c r="AC155" i="1" s="1"/>
  <c r="V157" i="1"/>
  <c r="AG157" i="1" s="1"/>
  <c r="AD167" i="1"/>
  <c r="H172" i="1"/>
  <c r="V179" i="1"/>
  <c r="AG179" i="1" s="1"/>
  <c r="N180" i="1"/>
  <c r="AC180" i="1" s="1"/>
  <c r="V180" i="1"/>
  <c r="AG180" i="1" s="1"/>
  <c r="H182" i="1"/>
  <c r="AE189" i="1"/>
  <c r="AE192" i="1"/>
  <c r="H199" i="1"/>
  <c r="N131" i="1"/>
  <c r="AC131" i="1" s="1"/>
  <c r="N135" i="1"/>
  <c r="AC135" i="1" s="1"/>
  <c r="N137" i="1"/>
  <c r="AC137" i="1" s="1"/>
  <c r="N144" i="1"/>
  <c r="AC144" i="1" s="1"/>
  <c r="V145" i="1"/>
  <c r="AG145" i="1" s="1"/>
  <c r="N146" i="1"/>
  <c r="AC146" i="1" s="1"/>
  <c r="N149" i="1"/>
  <c r="AC149" i="1" s="1"/>
  <c r="AE154" i="1"/>
  <c r="N156" i="1"/>
  <c r="AC156" i="1" s="1"/>
  <c r="N165" i="1"/>
  <c r="AC165" i="1" s="1"/>
  <c r="V182" i="1"/>
  <c r="AG182" i="1" s="1"/>
  <c r="N182" i="1"/>
  <c r="AC182" i="1" s="1"/>
  <c r="N133" i="1"/>
  <c r="AC133" i="1" s="1"/>
  <c r="AD143" i="1"/>
  <c r="H144" i="1"/>
  <c r="V148" i="1"/>
  <c r="AG148" i="1" s="1"/>
  <c r="V151" i="1"/>
  <c r="AG151" i="1" s="1"/>
  <c r="H153" i="1"/>
  <c r="V154" i="1"/>
  <c r="AG154" i="1" s="1"/>
  <c r="H156" i="1"/>
  <c r="AE161" i="1"/>
  <c r="V164" i="1"/>
  <c r="AG164" i="1" s="1"/>
  <c r="V167" i="1"/>
  <c r="AG167" i="1" s="1"/>
  <c r="H169" i="1"/>
  <c r="AD177" i="1"/>
  <c r="H210" i="1"/>
  <c r="N218" i="1"/>
  <c r="AC218" i="1" s="1"/>
  <c r="V218" i="1"/>
  <c r="AG218" i="1" s="1"/>
  <c r="H242" i="1"/>
  <c r="H110" i="1"/>
  <c r="H114" i="1"/>
  <c r="H118" i="1"/>
  <c r="N119" i="1"/>
  <c r="AC119" i="1" s="1"/>
  <c r="H122" i="1"/>
  <c r="N123" i="1"/>
  <c r="AC123" i="1" s="1"/>
  <c r="H126" i="1"/>
  <c r="N127" i="1"/>
  <c r="AC127" i="1" s="1"/>
  <c r="H130" i="1"/>
  <c r="AD139" i="1"/>
  <c r="N140" i="1"/>
  <c r="AC140" i="1" s="1"/>
  <c r="AD155" i="1"/>
  <c r="N159" i="1"/>
  <c r="AC159" i="1" s="1"/>
  <c r="V161" i="1"/>
  <c r="AG161" i="1" s="1"/>
  <c r="N162" i="1"/>
  <c r="AC162" i="1" s="1"/>
  <c r="V176" i="1"/>
  <c r="AG176" i="1" s="1"/>
  <c r="N185" i="1"/>
  <c r="AC185" i="1" s="1"/>
  <c r="H186" i="1"/>
  <c r="N136" i="1"/>
  <c r="AC136" i="1" s="1"/>
  <c r="AE141" i="1"/>
  <c r="N153" i="1"/>
  <c r="AC153" i="1" s="1"/>
  <c r="AE158" i="1"/>
  <c r="N160" i="1"/>
  <c r="AC160" i="1" s="1"/>
  <c r="H166" i="1"/>
  <c r="N169" i="1"/>
  <c r="AC169" i="1" s="1"/>
  <c r="H205" i="1"/>
  <c r="H215" i="1"/>
  <c r="AE223" i="1"/>
  <c r="AE137" i="1"/>
  <c r="AE146" i="1"/>
  <c r="AE149" i="1"/>
  <c r="AE165" i="1"/>
  <c r="H175" i="1"/>
  <c r="AE178" i="1"/>
  <c r="AE179" i="1"/>
  <c r="AE181" i="1"/>
  <c r="H193" i="1"/>
  <c r="AE201" i="1"/>
  <c r="AE230" i="1"/>
  <c r="AE238" i="1"/>
  <c r="AE133" i="1"/>
  <c r="L138" i="1"/>
  <c r="AB138" i="1" s="1"/>
  <c r="AF138" i="1" s="1"/>
  <c r="AH138" i="1" s="1"/>
  <c r="H145" i="1"/>
  <c r="J174" i="1"/>
  <c r="AA174" i="1" s="1"/>
  <c r="L174" i="1"/>
  <c r="AB174" i="1" s="1"/>
  <c r="N175" i="1"/>
  <c r="AC175" i="1" s="1"/>
  <c r="AE182" i="1"/>
  <c r="N190" i="1"/>
  <c r="AC190" i="1" s="1"/>
  <c r="V190" i="1"/>
  <c r="AG190" i="1" s="1"/>
  <c r="H187" i="1"/>
  <c r="AD189" i="1"/>
  <c r="AD195" i="1"/>
  <c r="AE207" i="1"/>
  <c r="H226" i="1"/>
  <c r="H233" i="1"/>
  <c r="AD250" i="1"/>
  <c r="AE267" i="1"/>
  <c r="N226" i="1"/>
  <c r="AC226" i="1" s="1"/>
  <c r="V226" i="1"/>
  <c r="AG226" i="1" s="1"/>
  <c r="N233" i="1"/>
  <c r="AC233" i="1" s="1"/>
  <c r="V233" i="1"/>
  <c r="AG233" i="1" s="1"/>
  <c r="H143" i="1"/>
  <c r="H147" i="1"/>
  <c r="H151" i="1"/>
  <c r="H155" i="1"/>
  <c r="H159" i="1"/>
  <c r="H163" i="1"/>
  <c r="H167" i="1"/>
  <c r="AD169" i="1"/>
  <c r="V173" i="1"/>
  <c r="AG173" i="1" s="1"/>
  <c r="H188" i="1"/>
  <c r="AE206" i="1"/>
  <c r="AE220" i="1"/>
  <c r="H239" i="1"/>
  <c r="H248" i="1"/>
  <c r="N170" i="1"/>
  <c r="AC170" i="1" s="1"/>
  <c r="H181" i="1"/>
  <c r="AD183" i="1"/>
  <c r="H185" i="1"/>
  <c r="AE186" i="1"/>
  <c r="N193" i="1"/>
  <c r="AC193" i="1" s="1"/>
  <c r="AE195" i="1"/>
  <c r="AE204" i="1"/>
  <c r="V211" i="1"/>
  <c r="AG211" i="1" s="1"/>
  <c r="AE227" i="1"/>
  <c r="AE245" i="1"/>
  <c r="V257" i="1"/>
  <c r="AG257" i="1" s="1"/>
  <c r="N257" i="1"/>
  <c r="AC257" i="1" s="1"/>
  <c r="L211" i="1"/>
  <c r="AB211" i="1" s="1"/>
  <c r="J211" i="1"/>
  <c r="AA211" i="1" s="1"/>
  <c r="AE219" i="1"/>
  <c r="L231" i="1"/>
  <c r="AB231" i="1" s="1"/>
  <c r="J231" i="1"/>
  <c r="AA231" i="1" s="1"/>
  <c r="AE235" i="1"/>
  <c r="AE244" i="1"/>
  <c r="L247" i="1"/>
  <c r="AB247" i="1" s="1"/>
  <c r="J247" i="1"/>
  <c r="AA247" i="1" s="1"/>
  <c r="H267" i="1"/>
  <c r="AE203" i="1"/>
  <c r="H208" i="1"/>
  <c r="AD215" i="1"/>
  <c r="AE216" i="1"/>
  <c r="AE242" i="1"/>
  <c r="AE175" i="1"/>
  <c r="AD184" i="1"/>
  <c r="AD187" i="1"/>
  <c r="AE200" i="1"/>
  <c r="V208" i="1"/>
  <c r="AG208" i="1" s="1"/>
  <c r="N222" i="1"/>
  <c r="AC222" i="1" s="1"/>
  <c r="V222" i="1"/>
  <c r="AG222" i="1" s="1"/>
  <c r="H246" i="1"/>
  <c r="AE249" i="1"/>
  <c r="AE254" i="1"/>
  <c r="N264" i="1"/>
  <c r="AC264" i="1" s="1"/>
  <c r="V264" i="1"/>
  <c r="AG264" i="1" s="1"/>
  <c r="N221" i="1"/>
  <c r="AC221" i="1" s="1"/>
  <c r="V221" i="1"/>
  <c r="AG221" i="1" s="1"/>
  <c r="AE225" i="1"/>
  <c r="AE231" i="1"/>
  <c r="AE232" i="1"/>
  <c r="H236" i="1"/>
  <c r="AE240" i="1"/>
  <c r="AE241" i="1"/>
  <c r="H190" i="1"/>
  <c r="H202" i="1"/>
  <c r="N205" i="1"/>
  <c r="AC205" i="1" s="1"/>
  <c r="V205" i="1"/>
  <c r="AG205" i="1" s="1"/>
  <c r="AD209" i="1"/>
  <c r="H220" i="1"/>
  <c r="V228" i="1"/>
  <c r="AG228" i="1" s="1"/>
  <c r="N228" i="1"/>
  <c r="AC228" i="1" s="1"/>
  <c r="AE222" i="1"/>
  <c r="H234" i="1"/>
  <c r="H243" i="1"/>
  <c r="V245" i="1"/>
  <c r="AG245" i="1" s="1"/>
  <c r="N245" i="1"/>
  <c r="AC245" i="1" s="1"/>
  <c r="N203" i="1"/>
  <c r="AC203" i="1" s="1"/>
  <c r="AD212" i="1"/>
  <c r="N214" i="1"/>
  <c r="AC214" i="1" s="1"/>
  <c r="H216" i="1"/>
  <c r="H224" i="1"/>
  <c r="AD225" i="1"/>
  <c r="AD232" i="1"/>
  <c r="AD258" i="1"/>
  <c r="AE259" i="1"/>
  <c r="AE266" i="1"/>
  <c r="AD192" i="1"/>
  <c r="H196" i="1"/>
  <c r="N213" i="1"/>
  <c r="AC213" i="1" s="1"/>
  <c r="H218" i="1"/>
  <c r="H222" i="1"/>
  <c r="N231" i="1"/>
  <c r="AC231" i="1" s="1"/>
  <c r="AE250" i="1"/>
  <c r="AE251" i="1"/>
  <c r="N256" i="1"/>
  <c r="AC256" i="1" s="1"/>
  <c r="AD200" i="1"/>
  <c r="H204" i="1"/>
  <c r="V206" i="1"/>
  <c r="AG206" i="1" s="1"/>
  <c r="AD221" i="1"/>
  <c r="H229" i="1"/>
  <c r="N234" i="1"/>
  <c r="AC234" i="1" s="1"/>
  <c r="V234" i="1"/>
  <c r="AG234" i="1" s="1"/>
  <c r="H237" i="1"/>
  <c r="AD245" i="1"/>
  <c r="AE258" i="1"/>
  <c r="V261" i="1"/>
  <c r="AG261" i="1" s="1"/>
  <c r="N261" i="1"/>
  <c r="AC261" i="1" s="1"/>
  <c r="AD180" i="1"/>
  <c r="H184" i="1"/>
  <c r="N201" i="1"/>
  <c r="AC201" i="1" s="1"/>
  <c r="N216" i="1"/>
  <c r="AC216" i="1" s="1"/>
  <c r="N224" i="1"/>
  <c r="AC224" i="1" s="1"/>
  <c r="N227" i="1"/>
  <c r="AC227" i="1" s="1"/>
  <c r="AD228" i="1"/>
  <c r="N229" i="1"/>
  <c r="AC229" i="1" s="1"/>
  <c r="AD233" i="1"/>
  <c r="N237" i="1"/>
  <c r="AC237" i="1" s="1"/>
  <c r="H240" i="1"/>
  <c r="AD262" i="1"/>
  <c r="N268" i="1"/>
  <c r="N181" i="1"/>
  <c r="AC181" i="1" s="1"/>
  <c r="H198" i="1"/>
  <c r="N199" i="1"/>
  <c r="AC199" i="1" s="1"/>
  <c r="V200" i="1"/>
  <c r="AG200" i="1" s="1"/>
  <c r="H201" i="1"/>
  <c r="V203" i="1"/>
  <c r="AG203" i="1" s="1"/>
  <c r="AD208" i="1"/>
  <c r="N210" i="1"/>
  <c r="AC210" i="1" s="1"/>
  <c r="H212" i="1"/>
  <c r="V214" i="1"/>
  <c r="AG214" i="1" s="1"/>
  <c r="AD222" i="1"/>
  <c r="H227" i="1"/>
  <c r="AD236" i="1"/>
  <c r="H244" i="1"/>
  <c r="AE246" i="1"/>
  <c r="N248" i="1"/>
  <c r="AC248" i="1" s="1"/>
  <c r="AD255" i="1"/>
  <c r="N260" i="1"/>
  <c r="AC260" i="1" s="1"/>
  <c r="AE263" i="1"/>
  <c r="H192" i="1"/>
  <c r="N209" i="1"/>
  <c r="AC209" i="1" s="1"/>
  <c r="N220" i="1"/>
  <c r="AC220" i="1" s="1"/>
  <c r="H225" i="1"/>
  <c r="H232" i="1"/>
  <c r="H253" i="1"/>
  <c r="V256" i="1"/>
  <c r="AG256" i="1" s="1"/>
  <c r="N189" i="1"/>
  <c r="AC189" i="1" s="1"/>
  <c r="H195" i="1"/>
  <c r="N204" i="1"/>
  <c r="AC204" i="1" s="1"/>
  <c r="H206" i="1"/>
  <c r="N207" i="1"/>
  <c r="AC207" i="1" s="1"/>
  <c r="H209" i="1"/>
  <c r="AD216" i="1"/>
  <c r="N223" i="1"/>
  <c r="AC223" i="1" s="1"/>
  <c r="AF223" i="1" s="1"/>
  <c r="AH223" i="1" s="1"/>
  <c r="AD224" i="1"/>
  <c r="N225" i="1"/>
  <c r="AC225" i="1" s="1"/>
  <c r="H230" i="1"/>
  <c r="V236" i="1"/>
  <c r="AG236" i="1" s="1"/>
  <c r="H238" i="1"/>
  <c r="V249" i="1"/>
  <c r="AG249" i="1" s="1"/>
  <c r="N249" i="1"/>
  <c r="AC249" i="1" s="1"/>
  <c r="V253" i="1"/>
  <c r="AG253" i="1" s="1"/>
  <c r="N253" i="1"/>
  <c r="AC253" i="1" s="1"/>
  <c r="AE262" i="1"/>
  <c r="H265" i="1"/>
  <c r="H200" i="1"/>
  <c r="N217" i="1"/>
  <c r="AC217" i="1" s="1"/>
  <c r="N230" i="1"/>
  <c r="AC230" i="1" s="1"/>
  <c r="N238" i="1"/>
  <c r="AC238" i="1" s="1"/>
  <c r="V238" i="1"/>
  <c r="AG238" i="1" s="1"/>
  <c r="H241" i="1"/>
  <c r="AE255" i="1"/>
  <c r="V265" i="1"/>
  <c r="AG265" i="1" s="1"/>
  <c r="N265" i="1"/>
  <c r="AC265" i="1" s="1"/>
  <c r="V268" i="1"/>
  <c r="H173" i="1"/>
  <c r="N174" i="1"/>
  <c r="AC174" i="1" s="1"/>
  <c r="H177" i="1"/>
  <c r="H180" i="1"/>
  <c r="N197" i="1"/>
  <c r="AC197" i="1" s="1"/>
  <c r="H203" i="1"/>
  <c r="N212" i="1"/>
  <c r="AC212" i="1" s="1"/>
  <c r="V213" i="1"/>
  <c r="AG213" i="1" s="1"/>
  <c r="H214" i="1"/>
  <c r="V216" i="1"/>
  <c r="AG216" i="1" s="1"/>
  <c r="H217" i="1"/>
  <c r="N219" i="1"/>
  <c r="AC219" i="1" s="1"/>
  <c r="AD220" i="1"/>
  <c r="H221" i="1"/>
  <c r="V224" i="1"/>
  <c r="AG224" i="1" s="1"/>
  <c r="H228" i="1"/>
  <c r="AD229" i="1"/>
  <c r="V231" i="1"/>
  <c r="AG231" i="1" s="1"/>
  <c r="N232" i="1"/>
  <c r="AC232" i="1" s="1"/>
  <c r="AD237" i="1"/>
  <c r="V241" i="1"/>
  <c r="AG241" i="1" s="1"/>
  <c r="N241" i="1"/>
  <c r="AC241" i="1" s="1"/>
  <c r="L251" i="1"/>
  <c r="AB251" i="1" s="1"/>
  <c r="J251" i="1"/>
  <c r="AA251" i="1" s="1"/>
  <c r="AF251" i="1" s="1"/>
  <c r="AH251" i="1" s="1"/>
  <c r="H263" i="1"/>
  <c r="AD266" i="1"/>
  <c r="H252" i="1"/>
  <c r="H256" i="1"/>
  <c r="H260" i="1"/>
  <c r="H264" i="1"/>
  <c r="V242" i="1"/>
  <c r="AG242" i="1" s="1"/>
  <c r="V246" i="1"/>
  <c r="AG246" i="1" s="1"/>
  <c r="V250" i="1"/>
  <c r="AG250" i="1" s="1"/>
  <c r="V254" i="1"/>
  <c r="AG254" i="1" s="1"/>
  <c r="V258" i="1"/>
  <c r="AG258" i="1" s="1"/>
  <c r="V262" i="1"/>
  <c r="AG262" i="1" s="1"/>
  <c r="V266" i="1"/>
  <c r="AG266" i="1" s="1"/>
  <c r="H255" i="1"/>
  <c r="H259" i="1"/>
  <c r="N235" i="1"/>
  <c r="AC235" i="1" s="1"/>
  <c r="AF235" i="1" s="1"/>
  <c r="AH235" i="1" s="1"/>
  <c r="N239" i="1"/>
  <c r="AC239" i="1" s="1"/>
  <c r="N243" i="1"/>
  <c r="AC243" i="1" s="1"/>
  <c r="N247" i="1"/>
  <c r="AC247" i="1" s="1"/>
  <c r="H250" i="1"/>
  <c r="N251" i="1"/>
  <c r="AC251" i="1" s="1"/>
  <c r="H254" i="1"/>
  <c r="N255" i="1"/>
  <c r="AC255" i="1" s="1"/>
  <c r="H258" i="1"/>
  <c r="N259" i="1"/>
  <c r="AC259" i="1" s="1"/>
  <c r="H262" i="1"/>
  <c r="H266" i="1"/>
  <c r="N242" i="1"/>
  <c r="AC242" i="1" s="1"/>
  <c r="H245" i="1"/>
  <c r="N246" i="1"/>
  <c r="AC246" i="1" s="1"/>
  <c r="H249" i="1"/>
  <c r="N250" i="1"/>
  <c r="AC250" i="1" s="1"/>
  <c r="N254" i="1"/>
  <c r="AC254" i="1" s="1"/>
  <c r="H257" i="1"/>
  <c r="N258" i="1"/>
  <c r="AC258" i="1" s="1"/>
  <c r="H261" i="1"/>
  <c r="N262" i="1"/>
  <c r="AC262" i="1" s="1"/>
  <c r="N266" i="1"/>
  <c r="AC266" i="1" s="1"/>
  <c r="L264" i="1" l="1"/>
  <c r="AB264" i="1" s="1"/>
  <c r="J264" i="1"/>
  <c r="AA264" i="1" s="1"/>
  <c r="L215" i="1"/>
  <c r="AB215" i="1" s="1"/>
  <c r="J215" i="1"/>
  <c r="AA215" i="1" s="1"/>
  <c r="J114" i="1"/>
  <c r="AA114" i="1" s="1"/>
  <c r="L114" i="1"/>
  <c r="AB114" i="1" s="1"/>
  <c r="J182" i="1"/>
  <c r="AA182" i="1" s="1"/>
  <c r="L182" i="1"/>
  <c r="AB182" i="1" s="1"/>
  <c r="L183" i="1"/>
  <c r="AB183" i="1" s="1"/>
  <c r="J183" i="1"/>
  <c r="AA183" i="1" s="1"/>
  <c r="J109" i="1"/>
  <c r="AA109" i="1" s="1"/>
  <c r="L109" i="1"/>
  <c r="AB109" i="1" s="1"/>
  <c r="L105" i="1"/>
  <c r="AB105" i="1" s="1"/>
  <c r="J105" i="1"/>
  <c r="AA105" i="1" s="1"/>
  <c r="L69" i="1"/>
  <c r="AB69" i="1" s="1"/>
  <c r="J69" i="1"/>
  <c r="AA69" i="1" s="1"/>
  <c r="L82" i="1"/>
  <c r="AB82" i="1" s="1"/>
  <c r="J82" i="1"/>
  <c r="AA82" i="1" s="1"/>
  <c r="AF82" i="1" s="1"/>
  <c r="AH82" i="1" s="1"/>
  <c r="L45" i="1"/>
  <c r="AB45" i="1" s="1"/>
  <c r="J45" i="1"/>
  <c r="AA45" i="1" s="1"/>
  <c r="L46" i="1"/>
  <c r="AB46" i="1" s="1"/>
  <c r="J46" i="1"/>
  <c r="AA46" i="1" s="1"/>
  <c r="L8" i="1"/>
  <c r="AB8" i="1" s="1"/>
  <c r="J8" i="1"/>
  <c r="AA8" i="1" s="1"/>
  <c r="AC268" i="1"/>
  <c r="AC277" i="1" s="1"/>
  <c r="AE61" i="1"/>
  <c r="L5" i="1"/>
  <c r="AB5" i="1" s="1"/>
  <c r="J5" i="1"/>
  <c r="AA5" i="1" s="1"/>
  <c r="AE9" i="1"/>
  <c r="J261" i="1"/>
  <c r="AA261" i="1" s="1"/>
  <c r="L261" i="1"/>
  <c r="AB261" i="1" s="1"/>
  <c r="L260" i="1"/>
  <c r="AB260" i="1" s="1"/>
  <c r="J260" i="1"/>
  <c r="AA260" i="1" s="1"/>
  <c r="J177" i="1"/>
  <c r="AA177" i="1" s="1"/>
  <c r="L177" i="1"/>
  <c r="AB177" i="1" s="1"/>
  <c r="L195" i="1"/>
  <c r="AB195" i="1" s="1"/>
  <c r="J195" i="1"/>
  <c r="AA195" i="1" s="1"/>
  <c r="L225" i="1"/>
  <c r="AB225" i="1" s="1"/>
  <c r="J225" i="1"/>
  <c r="AA225" i="1" s="1"/>
  <c r="L224" i="1"/>
  <c r="AB224" i="1" s="1"/>
  <c r="J224" i="1"/>
  <c r="AA224" i="1" s="1"/>
  <c r="L185" i="1"/>
  <c r="AB185" i="1" s="1"/>
  <c r="J185" i="1"/>
  <c r="AA185" i="1" s="1"/>
  <c r="L187" i="1"/>
  <c r="AB187" i="1" s="1"/>
  <c r="J187" i="1"/>
  <c r="AA187" i="1" s="1"/>
  <c r="L110" i="1"/>
  <c r="AB110" i="1" s="1"/>
  <c r="J110" i="1"/>
  <c r="AA110" i="1" s="1"/>
  <c r="J141" i="1"/>
  <c r="AA141" i="1" s="1"/>
  <c r="AF141" i="1" s="1"/>
  <c r="AH141" i="1" s="1"/>
  <c r="L141" i="1"/>
  <c r="AB141" i="1" s="1"/>
  <c r="L131" i="1"/>
  <c r="AB131" i="1" s="1"/>
  <c r="J131" i="1"/>
  <c r="AA131" i="1" s="1"/>
  <c r="AF131" i="1" s="1"/>
  <c r="AH131" i="1" s="1"/>
  <c r="J149" i="1"/>
  <c r="AA149" i="1" s="1"/>
  <c r="AF149" i="1" s="1"/>
  <c r="AH149" i="1" s="1"/>
  <c r="L149" i="1"/>
  <c r="AB149" i="1" s="1"/>
  <c r="L111" i="1"/>
  <c r="AB111" i="1" s="1"/>
  <c r="J111" i="1"/>
  <c r="AA111" i="1" s="1"/>
  <c r="AF111" i="1" s="1"/>
  <c r="AH111" i="1" s="1"/>
  <c r="J152" i="1"/>
  <c r="AA152" i="1" s="1"/>
  <c r="L152" i="1"/>
  <c r="AB152" i="1" s="1"/>
  <c r="AF86" i="1"/>
  <c r="AH86" i="1" s="1"/>
  <c r="AF78" i="1"/>
  <c r="AH78" i="1" s="1"/>
  <c r="L85" i="1"/>
  <c r="AB85" i="1" s="1"/>
  <c r="J85" i="1"/>
  <c r="AA85" i="1" s="1"/>
  <c r="L75" i="1"/>
  <c r="AB75" i="1" s="1"/>
  <c r="J75" i="1"/>
  <c r="AA75" i="1" s="1"/>
  <c r="L42" i="1"/>
  <c r="AB42" i="1" s="1"/>
  <c r="J42" i="1"/>
  <c r="AA42" i="1" s="1"/>
  <c r="L35" i="1"/>
  <c r="AB35" i="1" s="1"/>
  <c r="J35" i="1"/>
  <c r="AA35" i="1" s="1"/>
  <c r="L16" i="1"/>
  <c r="AB16" i="1" s="1"/>
  <c r="J16" i="1"/>
  <c r="AA16" i="1" s="1"/>
  <c r="J7" i="1"/>
  <c r="AA7" i="1" s="1"/>
  <c r="L7" i="1"/>
  <c r="AB7" i="1" s="1"/>
  <c r="AF53" i="1"/>
  <c r="AH53" i="1" s="1"/>
  <c r="AE5" i="1"/>
  <c r="L243" i="1"/>
  <c r="AB243" i="1" s="1"/>
  <c r="J243" i="1"/>
  <c r="AA243" i="1" s="1"/>
  <c r="L267" i="1"/>
  <c r="AB267" i="1" s="1"/>
  <c r="J267" i="1"/>
  <c r="AA267" i="1" s="1"/>
  <c r="AF267" i="1" s="1"/>
  <c r="AH267" i="1" s="1"/>
  <c r="L248" i="1"/>
  <c r="AB248" i="1" s="1"/>
  <c r="J248" i="1"/>
  <c r="AA248" i="1" s="1"/>
  <c r="J167" i="1"/>
  <c r="AA167" i="1" s="1"/>
  <c r="L167" i="1"/>
  <c r="AB167" i="1" s="1"/>
  <c r="J205" i="1"/>
  <c r="AA205" i="1" s="1"/>
  <c r="L205" i="1"/>
  <c r="AB205" i="1" s="1"/>
  <c r="J242" i="1"/>
  <c r="AA242" i="1" s="1"/>
  <c r="L242" i="1"/>
  <c r="AB242" i="1" s="1"/>
  <c r="J156" i="1"/>
  <c r="AA156" i="1" s="1"/>
  <c r="L156" i="1"/>
  <c r="AB156" i="1" s="1"/>
  <c r="L102" i="1"/>
  <c r="AB102" i="1" s="1"/>
  <c r="J102" i="1"/>
  <c r="AA102" i="1" s="1"/>
  <c r="AF102" i="1" s="1"/>
  <c r="AH102" i="1" s="1"/>
  <c r="L93" i="1"/>
  <c r="AB93" i="1" s="1"/>
  <c r="J93" i="1"/>
  <c r="AA93" i="1" s="1"/>
  <c r="L106" i="1"/>
  <c r="AB106" i="1" s="1"/>
  <c r="J106" i="1"/>
  <c r="AA106" i="1" s="1"/>
  <c r="L30" i="1"/>
  <c r="AB30" i="1" s="1"/>
  <c r="J30" i="1"/>
  <c r="AA30" i="1" s="1"/>
  <c r="AD268" i="1"/>
  <c r="AD277" i="1" s="1"/>
  <c r="L31" i="1"/>
  <c r="AB31" i="1" s="1"/>
  <c r="J31" i="1"/>
  <c r="AA31" i="1" s="1"/>
  <c r="AE26" i="1"/>
  <c r="L256" i="1"/>
  <c r="AB256" i="1" s="1"/>
  <c r="J256" i="1"/>
  <c r="AA256" i="1" s="1"/>
  <c r="L217" i="1"/>
  <c r="AB217" i="1" s="1"/>
  <c r="J217" i="1"/>
  <c r="AA217" i="1" s="1"/>
  <c r="J257" i="1"/>
  <c r="AA257" i="1" s="1"/>
  <c r="L257" i="1"/>
  <c r="AB257" i="1" s="1"/>
  <c r="J266" i="1"/>
  <c r="AA266" i="1" s="1"/>
  <c r="L266" i="1"/>
  <c r="AB266" i="1" s="1"/>
  <c r="L259" i="1"/>
  <c r="AB259" i="1" s="1"/>
  <c r="J259" i="1"/>
  <c r="AA259" i="1" s="1"/>
  <c r="L252" i="1"/>
  <c r="AB252" i="1" s="1"/>
  <c r="J252" i="1"/>
  <c r="AA252" i="1" s="1"/>
  <c r="J173" i="1"/>
  <c r="AA173" i="1" s="1"/>
  <c r="L173" i="1"/>
  <c r="AB173" i="1" s="1"/>
  <c r="L240" i="1"/>
  <c r="AB240" i="1" s="1"/>
  <c r="J240" i="1"/>
  <c r="AA240" i="1" s="1"/>
  <c r="AF240" i="1" s="1"/>
  <c r="AH240" i="1" s="1"/>
  <c r="L216" i="1"/>
  <c r="AB216" i="1" s="1"/>
  <c r="J216" i="1"/>
  <c r="AA216" i="1" s="1"/>
  <c r="J163" i="1"/>
  <c r="AA163" i="1" s="1"/>
  <c r="L163" i="1"/>
  <c r="AB163" i="1" s="1"/>
  <c r="L127" i="1"/>
  <c r="AB127" i="1" s="1"/>
  <c r="J127" i="1"/>
  <c r="AA127" i="1" s="1"/>
  <c r="AF127" i="1" s="1"/>
  <c r="AH127" i="1" s="1"/>
  <c r="L89" i="1"/>
  <c r="AB89" i="1" s="1"/>
  <c r="J89" i="1"/>
  <c r="AA89" i="1" s="1"/>
  <c r="L103" i="1"/>
  <c r="AB103" i="1" s="1"/>
  <c r="J103" i="1"/>
  <c r="AA103" i="1" s="1"/>
  <c r="AF103" i="1" s="1"/>
  <c r="AH103" i="1" s="1"/>
  <c r="L135" i="1"/>
  <c r="AB135" i="1" s="1"/>
  <c r="J135" i="1"/>
  <c r="AA135" i="1" s="1"/>
  <c r="L98" i="1"/>
  <c r="AB98" i="1" s="1"/>
  <c r="J98" i="1"/>
  <c r="AA98" i="1" s="1"/>
  <c r="L71" i="1"/>
  <c r="AB71" i="1" s="1"/>
  <c r="J71" i="1"/>
  <c r="AA71" i="1" s="1"/>
  <c r="AF70" i="1"/>
  <c r="AH70" i="1" s="1"/>
  <c r="L44" i="1"/>
  <c r="AB44" i="1" s="1"/>
  <c r="J44" i="1"/>
  <c r="AA44" i="1" s="1"/>
  <c r="AF44" i="1" s="1"/>
  <c r="AH44" i="1" s="1"/>
  <c r="L83" i="1"/>
  <c r="AB83" i="1" s="1"/>
  <c r="J83" i="1"/>
  <c r="AA83" i="1" s="1"/>
  <c r="L61" i="1"/>
  <c r="AB61" i="1" s="1"/>
  <c r="J61" i="1"/>
  <c r="AA61" i="1" s="1"/>
  <c r="AF61" i="1" s="1"/>
  <c r="AH61" i="1" s="1"/>
  <c r="L38" i="1"/>
  <c r="AB38" i="1" s="1"/>
  <c r="J38" i="1"/>
  <c r="AA38" i="1" s="1"/>
  <c r="L91" i="1"/>
  <c r="AB91" i="1" s="1"/>
  <c r="J91" i="1"/>
  <c r="AA91" i="1" s="1"/>
  <c r="L81" i="1"/>
  <c r="AB81" i="1" s="1"/>
  <c r="J81" i="1"/>
  <c r="AA81" i="1" s="1"/>
  <c r="AF81" i="1" s="1"/>
  <c r="AH81" i="1" s="1"/>
  <c r="L4" i="1"/>
  <c r="AB4" i="1" s="1"/>
  <c r="AB268" i="1" s="1"/>
  <c r="AB277" i="1" s="1"/>
  <c r="J4" i="1"/>
  <c r="AA4" i="1" s="1"/>
  <c r="L15" i="1"/>
  <c r="AB15" i="1" s="1"/>
  <c r="J15" i="1"/>
  <c r="AA15" i="1" s="1"/>
  <c r="AF3" i="1"/>
  <c r="J262" i="1"/>
  <c r="AA262" i="1" s="1"/>
  <c r="L262" i="1"/>
  <c r="AB262" i="1" s="1"/>
  <c r="L204" i="1"/>
  <c r="AB204" i="1" s="1"/>
  <c r="J204" i="1"/>
  <c r="AA204" i="1" s="1"/>
  <c r="L234" i="1"/>
  <c r="AB234" i="1" s="1"/>
  <c r="J234" i="1"/>
  <c r="AA234" i="1" s="1"/>
  <c r="J202" i="1"/>
  <c r="AA202" i="1" s="1"/>
  <c r="L202" i="1"/>
  <c r="AB202" i="1" s="1"/>
  <c r="J181" i="1"/>
  <c r="AA181" i="1" s="1"/>
  <c r="L181" i="1"/>
  <c r="AB181" i="1" s="1"/>
  <c r="L239" i="1"/>
  <c r="AB239" i="1" s="1"/>
  <c r="J239" i="1"/>
  <c r="AA239" i="1" s="1"/>
  <c r="J159" i="1"/>
  <c r="AA159" i="1" s="1"/>
  <c r="L159" i="1"/>
  <c r="AB159" i="1" s="1"/>
  <c r="AF174" i="1"/>
  <c r="AH174" i="1" s="1"/>
  <c r="J186" i="1"/>
  <c r="AA186" i="1" s="1"/>
  <c r="L186" i="1"/>
  <c r="AB186" i="1" s="1"/>
  <c r="J153" i="1"/>
  <c r="AA153" i="1" s="1"/>
  <c r="AF153" i="1" s="1"/>
  <c r="AH153" i="1" s="1"/>
  <c r="L153" i="1"/>
  <c r="AB153" i="1" s="1"/>
  <c r="L123" i="1"/>
  <c r="AB123" i="1" s="1"/>
  <c r="J123" i="1"/>
  <c r="AA123" i="1" s="1"/>
  <c r="AF123" i="1" s="1"/>
  <c r="AH123" i="1" s="1"/>
  <c r="J121" i="1"/>
  <c r="AA121" i="1" s="1"/>
  <c r="AF121" i="1" s="1"/>
  <c r="AH121" i="1" s="1"/>
  <c r="L121" i="1"/>
  <c r="AB121" i="1" s="1"/>
  <c r="L63" i="1"/>
  <c r="AB63" i="1" s="1"/>
  <c r="J63" i="1"/>
  <c r="AA63" i="1" s="1"/>
  <c r="L115" i="1"/>
  <c r="AB115" i="1" s="1"/>
  <c r="J115" i="1"/>
  <c r="AA115" i="1" s="1"/>
  <c r="L41" i="1"/>
  <c r="AB41" i="1" s="1"/>
  <c r="J41" i="1"/>
  <c r="AA41" i="1" s="1"/>
  <c r="L34" i="1"/>
  <c r="AB34" i="1" s="1"/>
  <c r="J34" i="1"/>
  <c r="AA34" i="1" s="1"/>
  <c r="L27" i="1"/>
  <c r="AB27" i="1" s="1"/>
  <c r="J27" i="1"/>
  <c r="AA27" i="1" s="1"/>
  <c r="AF27" i="1" s="1"/>
  <c r="AH27" i="1" s="1"/>
  <c r="AF37" i="1"/>
  <c r="AH37" i="1" s="1"/>
  <c r="L10" i="1"/>
  <c r="AB10" i="1" s="1"/>
  <c r="J10" i="1"/>
  <c r="AA10" i="1" s="1"/>
  <c r="L255" i="1"/>
  <c r="AB255" i="1" s="1"/>
  <c r="J255" i="1"/>
  <c r="AA255" i="1" s="1"/>
  <c r="AF255" i="1" s="1"/>
  <c r="AH255" i="1" s="1"/>
  <c r="L244" i="1"/>
  <c r="AB244" i="1" s="1"/>
  <c r="J244" i="1"/>
  <c r="AA244" i="1" s="1"/>
  <c r="J155" i="1"/>
  <c r="AA155" i="1" s="1"/>
  <c r="L155" i="1"/>
  <c r="AB155" i="1" s="1"/>
  <c r="J145" i="1"/>
  <c r="AA145" i="1" s="1"/>
  <c r="L145" i="1"/>
  <c r="AB145" i="1" s="1"/>
  <c r="L175" i="1"/>
  <c r="AB175" i="1" s="1"/>
  <c r="J175" i="1"/>
  <c r="AA175" i="1" s="1"/>
  <c r="J166" i="1"/>
  <c r="AA166" i="1" s="1"/>
  <c r="L166" i="1"/>
  <c r="AB166" i="1" s="1"/>
  <c r="J130" i="1"/>
  <c r="AA130" i="1" s="1"/>
  <c r="AF130" i="1" s="1"/>
  <c r="AH130" i="1" s="1"/>
  <c r="L130" i="1"/>
  <c r="AB130" i="1" s="1"/>
  <c r="L119" i="1"/>
  <c r="AB119" i="1" s="1"/>
  <c r="J119" i="1"/>
  <c r="AA119" i="1" s="1"/>
  <c r="AF119" i="1" s="1"/>
  <c r="AH119" i="1" s="1"/>
  <c r="L213" i="1"/>
  <c r="AB213" i="1" s="1"/>
  <c r="J213" i="1"/>
  <c r="AA213" i="1" s="1"/>
  <c r="L59" i="1"/>
  <c r="AB59" i="1" s="1"/>
  <c r="J59" i="1"/>
  <c r="AA59" i="1" s="1"/>
  <c r="J146" i="1"/>
  <c r="AA146" i="1" s="1"/>
  <c r="AF146" i="1" s="1"/>
  <c r="AH146" i="1" s="1"/>
  <c r="L146" i="1"/>
  <c r="AB146" i="1" s="1"/>
  <c r="L57" i="1"/>
  <c r="AB57" i="1" s="1"/>
  <c r="J57" i="1"/>
  <c r="AA57" i="1" s="1"/>
  <c r="AF57" i="1" s="1"/>
  <c r="AH57" i="1" s="1"/>
  <c r="L40" i="1"/>
  <c r="AB40" i="1" s="1"/>
  <c r="J40" i="1"/>
  <c r="AA40" i="1" s="1"/>
  <c r="H268" i="1"/>
  <c r="L214" i="1"/>
  <c r="AB214" i="1" s="1"/>
  <c r="J214" i="1"/>
  <c r="AA214" i="1" s="1"/>
  <c r="L222" i="1"/>
  <c r="AB222" i="1" s="1"/>
  <c r="J222" i="1"/>
  <c r="AA222" i="1" s="1"/>
  <c r="AF222" i="1" s="1"/>
  <c r="AH222" i="1" s="1"/>
  <c r="L249" i="1"/>
  <c r="AB249" i="1" s="1"/>
  <c r="J249" i="1"/>
  <c r="AA249" i="1" s="1"/>
  <c r="J258" i="1"/>
  <c r="AA258" i="1" s="1"/>
  <c r="L258" i="1"/>
  <c r="AB258" i="1" s="1"/>
  <c r="L263" i="1"/>
  <c r="AB263" i="1" s="1"/>
  <c r="J263" i="1"/>
  <c r="AA263" i="1" s="1"/>
  <c r="L228" i="1"/>
  <c r="AB228" i="1" s="1"/>
  <c r="J228" i="1"/>
  <c r="AA228" i="1" s="1"/>
  <c r="AF228" i="1" s="1"/>
  <c r="AH228" i="1" s="1"/>
  <c r="L201" i="1"/>
  <c r="AB201" i="1" s="1"/>
  <c r="J201" i="1"/>
  <c r="AA201" i="1" s="1"/>
  <c r="L184" i="1"/>
  <c r="AB184" i="1" s="1"/>
  <c r="J184" i="1"/>
  <c r="AA184" i="1" s="1"/>
  <c r="L237" i="1"/>
  <c r="AB237" i="1" s="1"/>
  <c r="J237" i="1"/>
  <c r="AA237" i="1" s="1"/>
  <c r="L218" i="1"/>
  <c r="AB218" i="1" s="1"/>
  <c r="J218" i="1"/>
  <c r="AA218" i="1" s="1"/>
  <c r="AF218" i="1" s="1"/>
  <c r="AH218" i="1" s="1"/>
  <c r="L190" i="1"/>
  <c r="AB190" i="1" s="1"/>
  <c r="J190" i="1"/>
  <c r="AA190" i="1" s="1"/>
  <c r="J151" i="1"/>
  <c r="AA151" i="1" s="1"/>
  <c r="L151" i="1"/>
  <c r="AB151" i="1" s="1"/>
  <c r="L233" i="1"/>
  <c r="AB233" i="1" s="1"/>
  <c r="J233" i="1"/>
  <c r="AA233" i="1" s="1"/>
  <c r="AF219" i="1"/>
  <c r="AH219" i="1" s="1"/>
  <c r="L170" i="1"/>
  <c r="AB170" i="1" s="1"/>
  <c r="J170" i="1"/>
  <c r="AA170" i="1" s="1"/>
  <c r="L100" i="1"/>
  <c r="AB100" i="1" s="1"/>
  <c r="J100" i="1"/>
  <c r="AA100" i="1" s="1"/>
  <c r="AF100" i="1" s="1"/>
  <c r="AH100" i="1" s="1"/>
  <c r="J162" i="1"/>
  <c r="AA162" i="1" s="1"/>
  <c r="AF162" i="1" s="1"/>
  <c r="AH162" i="1" s="1"/>
  <c r="L162" i="1"/>
  <c r="AB162" i="1" s="1"/>
  <c r="L108" i="1"/>
  <c r="AB108" i="1" s="1"/>
  <c r="J108" i="1"/>
  <c r="AA108" i="1" s="1"/>
  <c r="AF108" i="1" s="1"/>
  <c r="AH108" i="1" s="1"/>
  <c r="L55" i="1"/>
  <c r="AB55" i="1" s="1"/>
  <c r="J55" i="1"/>
  <c r="AA55" i="1" s="1"/>
  <c r="L9" i="1"/>
  <c r="AB9" i="1" s="1"/>
  <c r="J9" i="1"/>
  <c r="AA9" i="1" s="1"/>
  <c r="AF9" i="1" s="1"/>
  <c r="AH9" i="1" s="1"/>
  <c r="AE41" i="1"/>
  <c r="L24" i="1"/>
  <c r="AB24" i="1" s="1"/>
  <c r="J24" i="1"/>
  <c r="AA24" i="1" s="1"/>
  <c r="AF24" i="1" s="1"/>
  <c r="AH24" i="1" s="1"/>
  <c r="L74" i="1"/>
  <c r="AB74" i="1" s="1"/>
  <c r="J74" i="1"/>
  <c r="AA74" i="1" s="1"/>
  <c r="AE34" i="1"/>
  <c r="L192" i="1"/>
  <c r="AB192" i="1" s="1"/>
  <c r="J192" i="1"/>
  <c r="AA192" i="1" s="1"/>
  <c r="AF192" i="1" s="1"/>
  <c r="AH192" i="1" s="1"/>
  <c r="L236" i="1"/>
  <c r="AB236" i="1" s="1"/>
  <c r="J236" i="1"/>
  <c r="AA236" i="1" s="1"/>
  <c r="L147" i="1"/>
  <c r="AB147" i="1" s="1"/>
  <c r="J147" i="1"/>
  <c r="AA147" i="1" s="1"/>
  <c r="AF147" i="1" s="1"/>
  <c r="AH147" i="1" s="1"/>
  <c r="J126" i="1"/>
  <c r="AA126" i="1" s="1"/>
  <c r="L126" i="1"/>
  <c r="AB126" i="1" s="1"/>
  <c r="L210" i="1"/>
  <c r="AB210" i="1" s="1"/>
  <c r="J210" i="1"/>
  <c r="AA210" i="1" s="1"/>
  <c r="AF210" i="1" s="1"/>
  <c r="AH210" i="1" s="1"/>
  <c r="J144" i="1"/>
  <c r="AA144" i="1" s="1"/>
  <c r="L144" i="1"/>
  <c r="AB144" i="1" s="1"/>
  <c r="L172" i="1"/>
  <c r="AB172" i="1" s="1"/>
  <c r="J172" i="1"/>
  <c r="AA172" i="1" s="1"/>
  <c r="L139" i="1"/>
  <c r="AB139" i="1" s="1"/>
  <c r="J139" i="1"/>
  <c r="AA139" i="1" s="1"/>
  <c r="J134" i="1"/>
  <c r="AA134" i="1" s="1"/>
  <c r="AF134" i="1" s="1"/>
  <c r="AH134" i="1" s="1"/>
  <c r="L134" i="1"/>
  <c r="AB134" i="1" s="1"/>
  <c r="J133" i="1"/>
  <c r="AA133" i="1" s="1"/>
  <c r="L133" i="1"/>
  <c r="AB133" i="1" s="1"/>
  <c r="AF125" i="1"/>
  <c r="AH125" i="1" s="1"/>
  <c r="L179" i="1"/>
  <c r="AB179" i="1" s="1"/>
  <c r="J179" i="1"/>
  <c r="AA179" i="1" s="1"/>
  <c r="J51" i="1"/>
  <c r="AA51" i="1" s="1"/>
  <c r="L51" i="1"/>
  <c r="AB51" i="1" s="1"/>
  <c r="L62" i="1"/>
  <c r="AB62" i="1" s="1"/>
  <c r="J62" i="1"/>
  <c r="AA62" i="1" s="1"/>
  <c r="L52" i="1"/>
  <c r="AB52" i="1" s="1"/>
  <c r="J52" i="1"/>
  <c r="AA52" i="1" s="1"/>
  <c r="L73" i="1"/>
  <c r="AB73" i="1" s="1"/>
  <c r="J73" i="1"/>
  <c r="AA73" i="1" s="1"/>
  <c r="AF73" i="1" s="1"/>
  <c r="AH73" i="1" s="1"/>
  <c r="L26" i="1"/>
  <c r="AB26" i="1" s="1"/>
  <c r="J26" i="1"/>
  <c r="AA26" i="1" s="1"/>
  <c r="AF32" i="1"/>
  <c r="AH32" i="1" s="1"/>
  <c r="J171" i="1"/>
  <c r="AA171" i="1" s="1"/>
  <c r="L171" i="1"/>
  <c r="AB171" i="1" s="1"/>
  <c r="L25" i="1"/>
  <c r="AB25" i="1" s="1"/>
  <c r="J25" i="1"/>
  <c r="AA25" i="1" s="1"/>
  <c r="AF25" i="1" s="1"/>
  <c r="AH25" i="1" s="1"/>
  <c r="AE265" i="1"/>
  <c r="AE261" i="1"/>
  <c r="AE257" i="1"/>
  <c r="AE253" i="1"/>
  <c r="AE264" i="1"/>
  <c r="AE260" i="1"/>
  <c r="AE256" i="1"/>
  <c r="AE252" i="1"/>
  <c r="AE233" i="1"/>
  <c r="AE228" i="1"/>
  <c r="AE221" i="1"/>
  <c r="AE217" i="1"/>
  <c r="AE215" i="1"/>
  <c r="AE212" i="1"/>
  <c r="AE210" i="1"/>
  <c r="AE193" i="1"/>
  <c r="AE248" i="1"/>
  <c r="AE243" i="1"/>
  <c r="AE234" i="1"/>
  <c r="AE202" i="1"/>
  <c r="AE185" i="1"/>
  <c r="AE224" i="1"/>
  <c r="AE205" i="1"/>
  <c r="AE213" i="1"/>
  <c r="AE177" i="1"/>
  <c r="AE226" i="1"/>
  <c r="AE218" i="1"/>
  <c r="AE197" i="1"/>
  <c r="AF197" i="1" s="1"/>
  <c r="AH197" i="1" s="1"/>
  <c r="AE196" i="1"/>
  <c r="AE236" i="1"/>
  <c r="AE194" i="1"/>
  <c r="AF194" i="1" s="1"/>
  <c r="AH194" i="1" s="1"/>
  <c r="AE167" i="1"/>
  <c r="AE163" i="1"/>
  <c r="AE159" i="1"/>
  <c r="AE155" i="1"/>
  <c r="AE151" i="1"/>
  <c r="AE147" i="1"/>
  <c r="AE237" i="1"/>
  <c r="AE173" i="1"/>
  <c r="AE171" i="1"/>
  <c r="AE168" i="1"/>
  <c r="AE164" i="1"/>
  <c r="AF164" i="1" s="1"/>
  <c r="AH164" i="1" s="1"/>
  <c r="AE160" i="1"/>
  <c r="AF160" i="1" s="1"/>
  <c r="AH160" i="1" s="1"/>
  <c r="AE156" i="1"/>
  <c r="AE152" i="1"/>
  <c r="AE148" i="1"/>
  <c r="AF148" i="1" s="1"/>
  <c r="AH148" i="1" s="1"/>
  <c r="AE144" i="1"/>
  <c r="AE176" i="1"/>
  <c r="AF176" i="1" s="1"/>
  <c r="AH176" i="1" s="1"/>
  <c r="AE239" i="1"/>
  <c r="AE136" i="1"/>
  <c r="AF136" i="1" s="1"/>
  <c r="AH136" i="1" s="1"/>
  <c r="AE126" i="1"/>
  <c r="AE214" i="1"/>
  <c r="AE208" i="1"/>
  <c r="AE188" i="1"/>
  <c r="AE140" i="1"/>
  <c r="AF140" i="1" s="1"/>
  <c r="AH140" i="1" s="1"/>
  <c r="AE191" i="1"/>
  <c r="AF191" i="1" s="1"/>
  <c r="AH191" i="1" s="1"/>
  <c r="AE169" i="1"/>
  <c r="AE211" i="1"/>
  <c r="AE183" i="1"/>
  <c r="AE172" i="1"/>
  <c r="AE135" i="1"/>
  <c r="AE180" i="1"/>
  <c r="AE143" i="1"/>
  <c r="AE129" i="1"/>
  <c r="AF129" i="1" s="1"/>
  <c r="AH129" i="1" s="1"/>
  <c r="AE125" i="1"/>
  <c r="AE121" i="1"/>
  <c r="AE117" i="1"/>
  <c r="AE109" i="1"/>
  <c r="AE97" i="1"/>
  <c r="AF97" i="1" s="1"/>
  <c r="AH97" i="1" s="1"/>
  <c r="AE122" i="1"/>
  <c r="AE116" i="1"/>
  <c r="AE101" i="1"/>
  <c r="AE98" i="1"/>
  <c r="AE95" i="1"/>
  <c r="AE91" i="1"/>
  <c r="AE87" i="1"/>
  <c r="AE83" i="1"/>
  <c r="AE79" i="1"/>
  <c r="AF79" i="1" s="1"/>
  <c r="AH79" i="1" s="1"/>
  <c r="AE75" i="1"/>
  <c r="AE71" i="1"/>
  <c r="AE67" i="1"/>
  <c r="AE63" i="1"/>
  <c r="AE139" i="1"/>
  <c r="AE132" i="1"/>
  <c r="AF132" i="1" s="1"/>
  <c r="AH132" i="1" s="1"/>
  <c r="AE113" i="1"/>
  <c r="AE108" i="1"/>
  <c r="AE247" i="1"/>
  <c r="AF247" i="1" s="1"/>
  <c r="AH247" i="1" s="1"/>
  <c r="AE106" i="1"/>
  <c r="AE118" i="1"/>
  <c r="AE96" i="1"/>
  <c r="AE92" i="1"/>
  <c r="AF92" i="1" s="1"/>
  <c r="AH92" i="1" s="1"/>
  <c r="AE80" i="1"/>
  <c r="AF80" i="1" s="1"/>
  <c r="AH80" i="1" s="1"/>
  <c r="AE59" i="1"/>
  <c r="AE56" i="1"/>
  <c r="AE49" i="1"/>
  <c r="AE99" i="1"/>
  <c r="AF99" i="1" s="1"/>
  <c r="AH99" i="1" s="1"/>
  <c r="AE88" i="1"/>
  <c r="AF88" i="1" s="1"/>
  <c r="AH88" i="1" s="1"/>
  <c r="AE72" i="1"/>
  <c r="AF72" i="1" s="1"/>
  <c r="AH72" i="1" s="1"/>
  <c r="AE64" i="1"/>
  <c r="AF64" i="1" s="1"/>
  <c r="AH64" i="1" s="1"/>
  <c r="AE55" i="1"/>
  <c r="AE84" i="1"/>
  <c r="AE52" i="1"/>
  <c r="AE199" i="1"/>
  <c r="AE45" i="1"/>
  <c r="AE42" i="1"/>
  <c r="AE39" i="1"/>
  <c r="AE35" i="1"/>
  <c r="AE31" i="1"/>
  <c r="AE110" i="1"/>
  <c r="AE76" i="1"/>
  <c r="AF76" i="1" s="1"/>
  <c r="AH76" i="1" s="1"/>
  <c r="AE51" i="1"/>
  <c r="AE46" i="1"/>
  <c r="AE43" i="1"/>
  <c r="AE40" i="1"/>
  <c r="AE48" i="1"/>
  <c r="AF48" i="1" s="1"/>
  <c r="AH48" i="1" s="1"/>
  <c r="AE23" i="1"/>
  <c r="AE104" i="1"/>
  <c r="AF104" i="1" s="1"/>
  <c r="AH104" i="1" s="1"/>
  <c r="AE36" i="1"/>
  <c r="AE18" i="1"/>
  <c r="AE16" i="1"/>
  <c r="AE13" i="1"/>
  <c r="AE68" i="1"/>
  <c r="AF68" i="1" s="1"/>
  <c r="AH68" i="1" s="1"/>
  <c r="AE22" i="1"/>
  <c r="AE4" i="1"/>
  <c r="AE268" i="1" s="1"/>
  <c r="AE277" i="1" s="1"/>
  <c r="AE25" i="1"/>
  <c r="AE24" i="1"/>
  <c r="AE14" i="1"/>
  <c r="AE60" i="1"/>
  <c r="AF60" i="1" s="1"/>
  <c r="AH60" i="1" s="1"/>
  <c r="AE7" i="1"/>
  <c r="AE8" i="1"/>
  <c r="AE21" i="1"/>
  <c r="AF21" i="1" s="1"/>
  <c r="AH21" i="1" s="1"/>
  <c r="AE17" i="1"/>
  <c r="AE10" i="1"/>
  <c r="AE1" i="1"/>
  <c r="AE28" i="1"/>
  <c r="AE19" i="1"/>
  <c r="AE32" i="1"/>
  <c r="T1" i="1"/>
  <c r="L245" i="1"/>
  <c r="AB245" i="1" s="1"/>
  <c r="J245" i="1"/>
  <c r="AA245" i="1" s="1"/>
  <c r="AF245" i="1" s="1"/>
  <c r="AH245" i="1" s="1"/>
  <c r="J254" i="1"/>
  <c r="AA254" i="1" s="1"/>
  <c r="AF254" i="1" s="1"/>
  <c r="AH254" i="1" s="1"/>
  <c r="L254" i="1"/>
  <c r="AB254" i="1" s="1"/>
  <c r="J203" i="1"/>
  <c r="AA203" i="1" s="1"/>
  <c r="L203" i="1"/>
  <c r="AB203" i="1" s="1"/>
  <c r="J200" i="1"/>
  <c r="AA200" i="1" s="1"/>
  <c r="AF200" i="1" s="1"/>
  <c r="AH200" i="1" s="1"/>
  <c r="L200" i="1"/>
  <c r="AB200" i="1" s="1"/>
  <c r="L209" i="1"/>
  <c r="AB209" i="1" s="1"/>
  <c r="J209" i="1"/>
  <c r="AA209" i="1" s="1"/>
  <c r="L227" i="1"/>
  <c r="AB227" i="1" s="1"/>
  <c r="J227" i="1"/>
  <c r="AA227" i="1" s="1"/>
  <c r="AF227" i="1" s="1"/>
  <c r="AH227" i="1" s="1"/>
  <c r="J246" i="1"/>
  <c r="AA246" i="1" s="1"/>
  <c r="AF246" i="1" s="1"/>
  <c r="AH246" i="1" s="1"/>
  <c r="L246" i="1"/>
  <c r="AB246" i="1" s="1"/>
  <c r="AF231" i="1"/>
  <c r="AH231" i="1" s="1"/>
  <c r="J188" i="1"/>
  <c r="AA188" i="1" s="1"/>
  <c r="L188" i="1"/>
  <c r="AB188" i="1" s="1"/>
  <c r="L143" i="1"/>
  <c r="AB143" i="1" s="1"/>
  <c r="J143" i="1"/>
  <c r="AA143" i="1" s="1"/>
  <c r="L226" i="1"/>
  <c r="AB226" i="1" s="1"/>
  <c r="J226" i="1"/>
  <c r="AA226" i="1" s="1"/>
  <c r="AF226" i="1" s="1"/>
  <c r="AH226" i="1" s="1"/>
  <c r="L199" i="1"/>
  <c r="AB199" i="1" s="1"/>
  <c r="J199" i="1"/>
  <c r="AA199" i="1" s="1"/>
  <c r="J158" i="1"/>
  <c r="AA158" i="1" s="1"/>
  <c r="L158" i="1"/>
  <c r="AB158" i="1" s="1"/>
  <c r="J165" i="1"/>
  <c r="AA165" i="1" s="1"/>
  <c r="AF165" i="1" s="1"/>
  <c r="AH165" i="1" s="1"/>
  <c r="L165" i="1"/>
  <c r="AB165" i="1" s="1"/>
  <c r="L124" i="1"/>
  <c r="AB124" i="1" s="1"/>
  <c r="J124" i="1"/>
  <c r="AA124" i="1" s="1"/>
  <c r="L116" i="1"/>
  <c r="AB116" i="1" s="1"/>
  <c r="J116" i="1"/>
  <c r="AA116" i="1" s="1"/>
  <c r="AF116" i="1" s="1"/>
  <c r="AH116" i="1" s="1"/>
  <c r="AF96" i="1"/>
  <c r="AH96" i="1" s="1"/>
  <c r="L36" i="1"/>
  <c r="AB36" i="1" s="1"/>
  <c r="J36" i="1"/>
  <c r="AA36" i="1" s="1"/>
  <c r="AE69" i="1"/>
  <c r="AE29" i="1"/>
  <c r="AF29" i="1" s="1"/>
  <c r="AH29" i="1" s="1"/>
  <c r="L23" i="1"/>
  <c r="AB23" i="1" s="1"/>
  <c r="J23" i="1"/>
  <c r="AA23" i="1" s="1"/>
  <c r="L67" i="1"/>
  <c r="AB67" i="1" s="1"/>
  <c r="J67" i="1"/>
  <c r="AA67" i="1" s="1"/>
  <c r="AF67" i="1" s="1"/>
  <c r="AH67" i="1" s="1"/>
  <c r="AE15" i="1"/>
  <c r="J238" i="1"/>
  <c r="AA238" i="1" s="1"/>
  <c r="L238" i="1"/>
  <c r="AB238" i="1" s="1"/>
  <c r="L221" i="1"/>
  <c r="AB221" i="1" s="1"/>
  <c r="J221" i="1"/>
  <c r="AA221" i="1" s="1"/>
  <c r="J253" i="1"/>
  <c r="AA253" i="1" s="1"/>
  <c r="L253" i="1"/>
  <c r="AB253" i="1" s="1"/>
  <c r="L198" i="1"/>
  <c r="AB198" i="1" s="1"/>
  <c r="J198" i="1"/>
  <c r="AA198" i="1" s="1"/>
  <c r="L122" i="1"/>
  <c r="AB122" i="1" s="1"/>
  <c r="J122" i="1"/>
  <c r="AA122" i="1" s="1"/>
  <c r="AF122" i="1" s="1"/>
  <c r="AH122" i="1" s="1"/>
  <c r="L207" i="1"/>
  <c r="AB207" i="1" s="1"/>
  <c r="J207" i="1"/>
  <c r="AA207" i="1" s="1"/>
  <c r="J137" i="1"/>
  <c r="AA137" i="1" s="1"/>
  <c r="L137" i="1"/>
  <c r="AB137" i="1" s="1"/>
  <c r="J117" i="1"/>
  <c r="AA117" i="1" s="1"/>
  <c r="AF117" i="1" s="1"/>
  <c r="AH117" i="1" s="1"/>
  <c r="L117" i="1"/>
  <c r="AB117" i="1" s="1"/>
  <c r="J178" i="1"/>
  <c r="AA178" i="1" s="1"/>
  <c r="L178" i="1"/>
  <c r="AB178" i="1" s="1"/>
  <c r="L113" i="1"/>
  <c r="AB113" i="1" s="1"/>
  <c r="J113" i="1"/>
  <c r="AA113" i="1" s="1"/>
  <c r="AF189" i="1"/>
  <c r="AH189" i="1" s="1"/>
  <c r="J49" i="1"/>
  <c r="AA49" i="1" s="1"/>
  <c r="AF49" i="1" s="1"/>
  <c r="AH49" i="1" s="1"/>
  <c r="L49" i="1"/>
  <c r="AB49" i="1" s="1"/>
  <c r="L87" i="1"/>
  <c r="AB87" i="1" s="1"/>
  <c r="J87" i="1"/>
  <c r="AA87" i="1" s="1"/>
  <c r="L101" i="1"/>
  <c r="AB101" i="1" s="1"/>
  <c r="J101" i="1"/>
  <c r="AA101" i="1" s="1"/>
  <c r="L47" i="1"/>
  <c r="AB47" i="1" s="1"/>
  <c r="J47" i="1"/>
  <c r="AA47" i="1" s="1"/>
  <c r="AF47" i="1" s="1"/>
  <c r="AH47" i="1" s="1"/>
  <c r="L77" i="1"/>
  <c r="AB77" i="1" s="1"/>
  <c r="J77" i="1"/>
  <c r="AA77" i="1" s="1"/>
  <c r="L65" i="1"/>
  <c r="AB65" i="1" s="1"/>
  <c r="J65" i="1"/>
  <c r="AA65" i="1" s="1"/>
  <c r="AF65" i="1" s="1"/>
  <c r="AH65" i="1" s="1"/>
  <c r="J11" i="1"/>
  <c r="AA11" i="1" s="1"/>
  <c r="AF11" i="1" s="1"/>
  <c r="AH11" i="1" s="1"/>
  <c r="L11" i="1"/>
  <c r="AB11" i="1" s="1"/>
  <c r="J14" i="1"/>
  <c r="AA14" i="1" s="1"/>
  <c r="L14" i="1"/>
  <c r="AB14" i="1" s="1"/>
  <c r="L22" i="1"/>
  <c r="AB22" i="1" s="1"/>
  <c r="J22" i="1"/>
  <c r="AA22" i="1" s="1"/>
  <c r="L39" i="1"/>
  <c r="AB39" i="1" s="1"/>
  <c r="J39" i="1"/>
  <c r="AA39" i="1" s="1"/>
  <c r="AF39" i="1" s="1"/>
  <c r="AH39" i="1" s="1"/>
  <c r="L28" i="1"/>
  <c r="AB28" i="1" s="1"/>
  <c r="J28" i="1"/>
  <c r="AA28" i="1" s="1"/>
  <c r="AE6" i="1"/>
  <c r="J250" i="1"/>
  <c r="AA250" i="1" s="1"/>
  <c r="L250" i="1"/>
  <c r="AB250" i="1" s="1"/>
  <c r="J230" i="1"/>
  <c r="AA230" i="1" s="1"/>
  <c r="L230" i="1"/>
  <c r="AB230" i="1" s="1"/>
  <c r="L206" i="1"/>
  <c r="AB206" i="1" s="1"/>
  <c r="J206" i="1"/>
  <c r="AA206" i="1" s="1"/>
  <c r="L196" i="1"/>
  <c r="AB196" i="1" s="1"/>
  <c r="J196" i="1"/>
  <c r="AA196" i="1" s="1"/>
  <c r="AF196" i="1" s="1"/>
  <c r="AH196" i="1" s="1"/>
  <c r="L220" i="1"/>
  <c r="AB220" i="1" s="1"/>
  <c r="J220" i="1"/>
  <c r="AA220" i="1" s="1"/>
  <c r="J169" i="1"/>
  <c r="AA169" i="1" s="1"/>
  <c r="L169" i="1"/>
  <c r="AB169" i="1" s="1"/>
  <c r="J154" i="1"/>
  <c r="AA154" i="1" s="1"/>
  <c r="AF154" i="1" s="1"/>
  <c r="AH154" i="1" s="1"/>
  <c r="L154" i="1"/>
  <c r="AB154" i="1" s="1"/>
  <c r="J112" i="1"/>
  <c r="AA112" i="1" s="1"/>
  <c r="L112" i="1"/>
  <c r="AB112" i="1" s="1"/>
  <c r="L107" i="1"/>
  <c r="AB107" i="1" s="1"/>
  <c r="J107" i="1"/>
  <c r="AA107" i="1" s="1"/>
  <c r="L120" i="1"/>
  <c r="AB120" i="1" s="1"/>
  <c r="J120" i="1"/>
  <c r="AA120" i="1" s="1"/>
  <c r="AF120" i="1" s="1"/>
  <c r="AH120" i="1" s="1"/>
  <c r="L50" i="1"/>
  <c r="AB50" i="1" s="1"/>
  <c r="J50" i="1"/>
  <c r="AA50" i="1" s="1"/>
  <c r="L54" i="1"/>
  <c r="AB54" i="1" s="1"/>
  <c r="J54" i="1"/>
  <c r="AA54" i="1" s="1"/>
  <c r="AF54" i="1" s="1"/>
  <c r="AH54" i="1" s="1"/>
  <c r="L6" i="1"/>
  <c r="AB6" i="1" s="1"/>
  <c r="J6" i="1"/>
  <c r="AA6" i="1" s="1"/>
  <c r="AE30" i="1"/>
  <c r="L19" i="1"/>
  <c r="AB19" i="1" s="1"/>
  <c r="J19" i="1"/>
  <c r="AA19" i="1" s="1"/>
  <c r="L66" i="1"/>
  <c r="AB66" i="1" s="1"/>
  <c r="J66" i="1"/>
  <c r="AA66" i="1" s="1"/>
  <c r="AF66" i="1" s="1"/>
  <c r="AH66" i="1" s="1"/>
  <c r="AE11" i="1"/>
  <c r="J180" i="1"/>
  <c r="AA180" i="1" s="1"/>
  <c r="L180" i="1"/>
  <c r="AB180" i="1" s="1"/>
  <c r="L241" i="1"/>
  <c r="AB241" i="1" s="1"/>
  <c r="J241" i="1"/>
  <c r="AA241" i="1" s="1"/>
  <c r="J265" i="1"/>
  <c r="AA265" i="1" s="1"/>
  <c r="L265" i="1"/>
  <c r="AB265" i="1" s="1"/>
  <c r="L232" i="1"/>
  <c r="AB232" i="1" s="1"/>
  <c r="J232" i="1"/>
  <c r="AA232" i="1" s="1"/>
  <c r="L212" i="1"/>
  <c r="AB212" i="1" s="1"/>
  <c r="J212" i="1"/>
  <c r="AA212" i="1" s="1"/>
  <c r="AF212" i="1" s="1"/>
  <c r="AH212" i="1" s="1"/>
  <c r="L229" i="1"/>
  <c r="AB229" i="1" s="1"/>
  <c r="J229" i="1"/>
  <c r="AA229" i="1" s="1"/>
  <c r="L208" i="1"/>
  <c r="AB208" i="1" s="1"/>
  <c r="J208" i="1"/>
  <c r="AA208" i="1" s="1"/>
  <c r="AF208" i="1" s="1"/>
  <c r="AH208" i="1" s="1"/>
  <c r="AF211" i="1"/>
  <c r="AH211" i="1" s="1"/>
  <c r="L193" i="1"/>
  <c r="AB193" i="1" s="1"/>
  <c r="J193" i="1"/>
  <c r="AA193" i="1" s="1"/>
  <c r="L118" i="1"/>
  <c r="AB118" i="1" s="1"/>
  <c r="J118" i="1"/>
  <c r="AA118" i="1" s="1"/>
  <c r="L128" i="1"/>
  <c r="AB128" i="1" s="1"/>
  <c r="J128" i="1"/>
  <c r="AA128" i="1" s="1"/>
  <c r="AF128" i="1" s="1"/>
  <c r="AH128" i="1" s="1"/>
  <c r="J168" i="1"/>
  <c r="AA168" i="1" s="1"/>
  <c r="AF168" i="1" s="1"/>
  <c r="AH168" i="1" s="1"/>
  <c r="L168" i="1"/>
  <c r="AB168" i="1" s="1"/>
  <c r="J43" i="1"/>
  <c r="AA43" i="1" s="1"/>
  <c r="L43" i="1"/>
  <c r="AB43" i="1" s="1"/>
  <c r="AF84" i="1"/>
  <c r="AH84" i="1" s="1"/>
  <c r="L56" i="1"/>
  <c r="AB56" i="1" s="1"/>
  <c r="J56" i="1"/>
  <c r="AA56" i="1" s="1"/>
  <c r="AF56" i="1" s="1"/>
  <c r="AH56" i="1" s="1"/>
  <c r="L95" i="1"/>
  <c r="AB95" i="1" s="1"/>
  <c r="J95" i="1"/>
  <c r="AA95" i="1" s="1"/>
  <c r="L20" i="1"/>
  <c r="AB20" i="1" s="1"/>
  <c r="J20" i="1"/>
  <c r="AA20" i="1" s="1"/>
  <c r="L18" i="1"/>
  <c r="AB18" i="1" s="1"/>
  <c r="J18" i="1"/>
  <c r="AA18" i="1" s="1"/>
  <c r="L17" i="1"/>
  <c r="AB17" i="1" s="1"/>
  <c r="J17" i="1"/>
  <c r="AA17" i="1" s="1"/>
  <c r="AF17" i="1" s="1"/>
  <c r="AH17" i="1" s="1"/>
  <c r="AE62" i="1"/>
  <c r="L13" i="1"/>
  <c r="AB13" i="1" s="1"/>
  <c r="J13" i="1"/>
  <c r="AA13" i="1" s="1"/>
  <c r="AE12" i="1"/>
  <c r="AF12" i="1" s="1"/>
  <c r="AH12" i="1" s="1"/>
  <c r="AE20" i="1"/>
  <c r="AF232" i="1" l="1"/>
  <c r="AH232" i="1" s="1"/>
  <c r="AF19" i="1"/>
  <c r="AH19" i="1" s="1"/>
  <c r="AF107" i="1"/>
  <c r="AH107" i="1" s="1"/>
  <c r="AF206" i="1"/>
  <c r="AH206" i="1" s="1"/>
  <c r="AF253" i="1"/>
  <c r="AH253" i="1" s="1"/>
  <c r="AF36" i="1"/>
  <c r="AH36" i="1" s="1"/>
  <c r="AF199" i="1"/>
  <c r="AH199" i="1" s="1"/>
  <c r="AF26" i="1"/>
  <c r="AH26" i="1" s="1"/>
  <c r="AF179" i="1"/>
  <c r="AH179" i="1" s="1"/>
  <c r="AF190" i="1"/>
  <c r="AH190" i="1" s="1"/>
  <c r="AF263" i="1"/>
  <c r="AH263" i="1" s="1"/>
  <c r="AF40" i="1"/>
  <c r="AH40" i="1" s="1"/>
  <c r="AF244" i="1"/>
  <c r="AH244" i="1" s="1"/>
  <c r="AF38" i="1"/>
  <c r="AH38" i="1" s="1"/>
  <c r="AF216" i="1"/>
  <c r="AH216" i="1" s="1"/>
  <c r="AF215" i="1"/>
  <c r="AH215" i="1" s="1"/>
  <c r="AF20" i="1"/>
  <c r="AH20" i="1" s="1"/>
  <c r="AF95" i="1"/>
  <c r="AH95" i="1" s="1"/>
  <c r="AF118" i="1"/>
  <c r="AH118" i="1" s="1"/>
  <c r="AF22" i="1"/>
  <c r="AH22" i="1" s="1"/>
  <c r="AF101" i="1"/>
  <c r="AH101" i="1" s="1"/>
  <c r="AF221" i="1"/>
  <c r="AH221" i="1" s="1"/>
  <c r="AF209" i="1"/>
  <c r="AH209" i="1" s="1"/>
  <c r="AF144" i="1"/>
  <c r="AH144" i="1" s="1"/>
  <c r="AF74" i="1"/>
  <c r="AH74" i="1" s="1"/>
  <c r="AF34" i="1"/>
  <c r="AH34" i="1" s="1"/>
  <c r="AF4" i="1"/>
  <c r="AH4" i="1" s="1"/>
  <c r="AF135" i="1"/>
  <c r="AH135" i="1" s="1"/>
  <c r="AF257" i="1"/>
  <c r="AH257" i="1" s="1"/>
  <c r="AF205" i="1"/>
  <c r="AH205" i="1" s="1"/>
  <c r="AF7" i="1"/>
  <c r="AH7" i="1" s="1"/>
  <c r="AF195" i="1"/>
  <c r="AH195" i="1" s="1"/>
  <c r="AF202" i="1"/>
  <c r="AH202" i="1" s="1"/>
  <c r="AF217" i="1"/>
  <c r="AH217" i="1" s="1"/>
  <c r="AF106" i="1"/>
  <c r="AH106" i="1" s="1"/>
  <c r="AF16" i="1"/>
  <c r="AH16" i="1" s="1"/>
  <c r="AF105" i="1"/>
  <c r="AH105" i="1" s="1"/>
  <c r="AF193" i="1"/>
  <c r="AH193" i="1" s="1"/>
  <c r="AF112" i="1"/>
  <c r="AH112" i="1" s="1"/>
  <c r="AF230" i="1"/>
  <c r="AH230" i="1" s="1"/>
  <c r="AF87" i="1"/>
  <c r="AH87" i="1" s="1"/>
  <c r="AF137" i="1"/>
  <c r="AH137" i="1" s="1"/>
  <c r="AF258" i="1"/>
  <c r="AH258" i="1" s="1"/>
  <c r="AF41" i="1"/>
  <c r="AH41" i="1" s="1"/>
  <c r="AF234" i="1"/>
  <c r="AH234" i="1" s="1"/>
  <c r="AF167" i="1"/>
  <c r="AH167" i="1" s="1"/>
  <c r="AF110" i="1"/>
  <c r="AH110" i="1" s="1"/>
  <c r="AF8" i="1"/>
  <c r="AH8" i="1" s="1"/>
  <c r="AF264" i="1"/>
  <c r="AH264" i="1" s="1"/>
  <c r="AF13" i="1"/>
  <c r="AH13" i="1" s="1"/>
  <c r="AF265" i="1"/>
  <c r="AH265" i="1" s="1"/>
  <c r="AF6" i="1"/>
  <c r="AH6" i="1" s="1"/>
  <c r="AF14" i="1"/>
  <c r="AH14" i="1" s="1"/>
  <c r="AF207" i="1"/>
  <c r="AH207" i="1" s="1"/>
  <c r="AF238" i="1"/>
  <c r="AH238" i="1" s="1"/>
  <c r="AF143" i="1"/>
  <c r="AH143" i="1" s="1"/>
  <c r="AF133" i="1"/>
  <c r="AH133" i="1" s="1"/>
  <c r="AF170" i="1"/>
  <c r="AH170" i="1" s="1"/>
  <c r="AF237" i="1"/>
  <c r="AH237" i="1" s="1"/>
  <c r="AF249" i="1"/>
  <c r="AH249" i="1" s="1"/>
  <c r="AF166" i="1"/>
  <c r="AH166" i="1" s="1"/>
  <c r="AF186" i="1"/>
  <c r="AH186" i="1" s="1"/>
  <c r="AF83" i="1"/>
  <c r="AH83" i="1" s="1"/>
  <c r="AF256" i="1"/>
  <c r="AH256" i="1" s="1"/>
  <c r="AF93" i="1"/>
  <c r="AH93" i="1" s="1"/>
  <c r="AF248" i="1"/>
  <c r="AH248" i="1" s="1"/>
  <c r="AF177" i="1"/>
  <c r="AH177" i="1" s="1"/>
  <c r="AF241" i="1"/>
  <c r="AH241" i="1" s="1"/>
  <c r="AF124" i="1"/>
  <c r="AH124" i="1" s="1"/>
  <c r="AF52" i="1"/>
  <c r="AH52" i="1" s="1"/>
  <c r="AF126" i="1"/>
  <c r="AH126" i="1" s="1"/>
  <c r="AF175" i="1"/>
  <c r="AH175" i="1" s="1"/>
  <c r="AF10" i="1"/>
  <c r="AH10" i="1" s="1"/>
  <c r="AF115" i="1"/>
  <c r="AH115" i="1" s="1"/>
  <c r="AF204" i="1"/>
  <c r="AH204" i="1" s="1"/>
  <c r="AF89" i="1"/>
  <c r="AH89" i="1" s="1"/>
  <c r="AF173" i="1"/>
  <c r="AH173" i="1" s="1"/>
  <c r="AF35" i="1"/>
  <c r="AH35" i="1" s="1"/>
  <c r="AF152" i="1"/>
  <c r="AH152" i="1" s="1"/>
  <c r="AF187" i="1"/>
  <c r="AH187" i="1" s="1"/>
  <c r="AF260" i="1"/>
  <c r="AH260" i="1" s="1"/>
  <c r="AF46" i="1"/>
  <c r="AH46" i="1" s="1"/>
  <c r="AF109" i="1"/>
  <c r="AH109" i="1" s="1"/>
  <c r="AF184" i="1"/>
  <c r="AH184" i="1" s="1"/>
  <c r="AF252" i="1"/>
  <c r="AH252" i="1" s="1"/>
  <c r="AF183" i="1"/>
  <c r="AH183" i="1" s="1"/>
  <c r="AF43" i="1"/>
  <c r="AH43" i="1" s="1"/>
  <c r="AF169" i="1"/>
  <c r="AH169" i="1" s="1"/>
  <c r="AF250" i="1"/>
  <c r="AH250" i="1" s="1"/>
  <c r="AF188" i="1"/>
  <c r="AH188" i="1" s="1"/>
  <c r="AF203" i="1"/>
  <c r="AH203" i="1" s="1"/>
  <c r="AF139" i="1"/>
  <c r="AH139" i="1" s="1"/>
  <c r="AF59" i="1"/>
  <c r="AH59" i="1" s="1"/>
  <c r="AF63" i="1"/>
  <c r="AH63" i="1" s="1"/>
  <c r="AF159" i="1"/>
  <c r="AH159" i="1" s="1"/>
  <c r="AF31" i="1"/>
  <c r="AH31" i="1" s="1"/>
  <c r="AF42" i="1"/>
  <c r="AH42" i="1" s="1"/>
  <c r="AF185" i="1"/>
  <c r="AH185" i="1" s="1"/>
  <c r="AF45" i="1"/>
  <c r="AH45" i="1" s="1"/>
  <c r="AF229" i="1"/>
  <c r="AH229" i="1" s="1"/>
  <c r="AF180" i="1"/>
  <c r="AH180" i="1" s="1"/>
  <c r="AF50" i="1"/>
  <c r="AH50" i="1" s="1"/>
  <c r="AF220" i="1"/>
  <c r="AH220" i="1" s="1"/>
  <c r="AF113" i="1"/>
  <c r="AH113" i="1" s="1"/>
  <c r="AF23" i="1"/>
  <c r="AH23" i="1" s="1"/>
  <c r="AF62" i="1"/>
  <c r="AH62" i="1" s="1"/>
  <c r="AF236" i="1"/>
  <c r="AH236" i="1" s="1"/>
  <c r="AF55" i="1"/>
  <c r="AH55" i="1" s="1"/>
  <c r="AF233" i="1"/>
  <c r="AH233" i="1" s="1"/>
  <c r="AF201" i="1"/>
  <c r="AH201" i="1" s="1"/>
  <c r="AF145" i="1"/>
  <c r="AH145" i="1" s="1"/>
  <c r="AF239" i="1"/>
  <c r="AH239" i="1" s="1"/>
  <c r="AF262" i="1"/>
  <c r="AH262" i="1" s="1"/>
  <c r="AF259" i="1"/>
  <c r="AH259" i="1" s="1"/>
  <c r="AF243" i="1"/>
  <c r="AH243" i="1" s="1"/>
  <c r="AF261" i="1"/>
  <c r="AH261" i="1" s="1"/>
  <c r="AF18" i="1"/>
  <c r="AH18" i="1" s="1"/>
  <c r="AF28" i="1"/>
  <c r="AH28" i="1" s="1"/>
  <c r="AF77" i="1"/>
  <c r="AH77" i="1" s="1"/>
  <c r="AF198" i="1"/>
  <c r="AH198" i="1" s="1"/>
  <c r="AF171" i="1"/>
  <c r="AH171" i="1" s="1"/>
  <c r="AF214" i="1"/>
  <c r="AH214" i="1" s="1"/>
  <c r="AF213" i="1"/>
  <c r="AH213" i="1" s="1"/>
  <c r="AH3" i="1"/>
  <c r="AF71" i="1"/>
  <c r="AH71" i="1" s="1"/>
  <c r="AF156" i="1"/>
  <c r="AH156" i="1" s="1"/>
  <c r="AF75" i="1"/>
  <c r="AH75" i="1" s="1"/>
  <c r="AF224" i="1"/>
  <c r="AH224" i="1" s="1"/>
  <c r="AF182" i="1"/>
  <c r="AH182" i="1" s="1"/>
  <c r="AF172" i="1"/>
  <c r="AH172" i="1" s="1"/>
  <c r="AF155" i="1"/>
  <c r="AH155" i="1" s="1"/>
  <c r="AA268" i="1"/>
  <c r="AA277" i="1" s="1"/>
  <c r="AF91" i="1"/>
  <c r="AH91" i="1" s="1"/>
  <c r="AF5" i="1"/>
  <c r="AH5" i="1" s="1"/>
  <c r="AF178" i="1"/>
  <c r="AH178" i="1" s="1"/>
  <c r="AF158" i="1"/>
  <c r="AH158" i="1" s="1"/>
  <c r="AF51" i="1"/>
  <c r="AH51" i="1" s="1"/>
  <c r="AF151" i="1"/>
  <c r="AH151" i="1" s="1"/>
  <c r="J268" i="1"/>
  <c r="L268" i="1"/>
  <c r="AF181" i="1"/>
  <c r="AH181" i="1" s="1"/>
  <c r="AF15" i="1"/>
  <c r="AH15" i="1" s="1"/>
  <c r="AF98" i="1"/>
  <c r="AH98" i="1" s="1"/>
  <c r="AF163" i="1"/>
  <c r="AH163" i="1" s="1"/>
  <c r="AF266" i="1"/>
  <c r="AH266" i="1" s="1"/>
  <c r="AF30" i="1"/>
  <c r="AH30" i="1" s="1"/>
  <c r="AF242" i="1"/>
  <c r="AH242" i="1" s="1"/>
  <c r="AF85" i="1"/>
  <c r="AH85" i="1" s="1"/>
  <c r="AF225" i="1"/>
  <c r="AH225" i="1" s="1"/>
  <c r="AF69" i="1"/>
  <c r="AH69" i="1" s="1"/>
  <c r="AF114" i="1"/>
  <c r="AH114" i="1" s="1"/>
  <c r="AH268" i="1" l="1"/>
  <c r="AH277" i="1" s="1"/>
  <c r="AF269" i="1"/>
  <c r="AF270" i="1"/>
  <c r="AF273" i="1" s="1"/>
  <c r="AF277" i="1" s="1"/>
  <c r="AF271" i="1"/>
  <c r="AF272" i="1"/>
</calcChain>
</file>

<file path=xl/sharedStrings.xml><?xml version="1.0" encoding="utf-8"?>
<sst xmlns="http://schemas.openxmlformats.org/spreadsheetml/2006/main" count="1586" uniqueCount="428">
  <si>
    <t>Област</t>
  </si>
  <si>
    <t>Община код по ЕБК</t>
  </si>
  <si>
    <t>Община</t>
  </si>
  <si>
    <t xml:space="preserve">Разходи-общо 2021 г. </t>
  </si>
  <si>
    <t>Разходи-общо 2022 г.</t>
  </si>
  <si>
    <t>Разходи-общо 2023 г.</t>
  </si>
  <si>
    <t xml:space="preserve">Разходи-общо 2024 г. </t>
  </si>
  <si>
    <t>Средногодишни разходи за периода 2021 -2024 г.</t>
  </si>
  <si>
    <t xml:space="preserve">Отчетени задължения за разходи по бюджета на общината към 31.12.2024 г. </t>
  </si>
  <si>
    <t xml:space="preserve">Съотношение на задължения за разходи към средногодишните разходи за периода 2021 г. - 2024 г. </t>
  </si>
  <si>
    <t>Поети ангажименти за разходи по бюджета на общината към 31.12.2024 г.</t>
  </si>
  <si>
    <t xml:space="preserve">Съотношение на поетите ангажименти за разходи за разходи към средногодишните разходи за периода 2021 - 2024 г. </t>
  </si>
  <si>
    <t>Просрочени задължения по бюджета на общината към 31.12.2024 г.</t>
  </si>
  <si>
    <t>Съотношение на просрочените задължения по бюджета на общината към отчетените разходи за последната година</t>
  </si>
  <si>
    <t>Бюджетно салдо за 2022 г.</t>
  </si>
  <si>
    <t>Бюджетно салдо за 2023 г.</t>
  </si>
  <si>
    <t>Бюджетно салдо за 2024 г.</t>
  </si>
  <si>
    <t>Събираемост на данъка върху недвижимите имоти за 2024 г. (80,25%)</t>
  </si>
  <si>
    <t>Събираемост на данъка върху превозните средства за 2024 г. (71,84%)</t>
  </si>
  <si>
    <t>Просрочени задължения към доставчици от страната (счет. сметка 9923) от група Сметки за средства от ЕС</t>
  </si>
  <si>
    <t>Съотношение по чл. 92, ал. 1 от ЗДБРБ за 2025 г. - Просрочени задължения към доставчици (гр. СЕС) към отчетените разходи по бюджета на общината за последната година</t>
  </si>
  <si>
    <t>1. Съотношение на плащанията по общинския дълг към средногодишния размер на собствените приходи и изравнителната субсидия за последните 3 години (над 15%)</t>
  </si>
  <si>
    <t>2. Съотношение на номиналата на издадените общински гаранции към общата сума на приходите и общата изравнителна субсидия  (над 5%)</t>
  </si>
  <si>
    <t>3. Налични към края на годината задължения за разходи по бюджета на общината надвишаващи 15%  от средногод. размер на разходите за последните 4 години</t>
  </si>
  <si>
    <t>4. Налични към края на годината поети ангажименти за разходи по бюджета на общината надвишаващи 50%  от средногод. размер на разходите за последните 4 години</t>
  </si>
  <si>
    <t xml:space="preserve">5. Налични към края на годината просрочени задължения за разходи по бюджета на общината надвишаващи 5% от отчетените за последната година разходи </t>
  </si>
  <si>
    <t>6. Бюджетното салдо през последните три години е отрицателна величина за всяка една от трите години</t>
  </si>
  <si>
    <t>Брой на критериите по чл. 130а, ал. 1 от ЗПФ, на които отговаря общината за 2025 г.</t>
  </si>
  <si>
    <t>Община за финансово оздравяване по чл. 130а, ал. 1 от ЗПФ или друг показател:</t>
  </si>
  <si>
    <t>Брой на критериите по чл. 130а, ал. 1 от ЗПФ, на които отговаря общината за 2024 г.</t>
  </si>
  <si>
    <t>Брой на критериите по чл. 130а, ал. 1 от ЗПФ, на които отговаря общината за 2023 г.</t>
  </si>
  <si>
    <t>Брой на критериите по чл. 130а, ал. 1 от ЗПФ, на които отговаря общината за 2022 г.</t>
  </si>
  <si>
    <t>Брой на критериите по чл. 130а, ал. 1 от ЗПФ, на които отговаря общината за 2021 г.</t>
  </si>
  <si>
    <t>Брой на критериите по чл. 130а, ал. 1 от ЗПФ на които отговаря общината за 2020 г.</t>
  </si>
  <si>
    <t>Брой на критериите по чл. 130а, ал. 1 от ЗПФ на които отговаря общината за 2019 г.</t>
  </si>
  <si>
    <t>Брой на критериите по чл. 130а, ал. 1 от ЗПФ на които отговаря общината за 2018 г.</t>
  </si>
  <si>
    <t>Брой на критериите по чл. 130а, ал. 1 от ЗПФ на които отговаря общината за 2017 г.</t>
  </si>
  <si>
    <t>Брой на критериите по чл. 130а, ал. 1 от ЗПФ на които отговаряше общината за 2016 г.</t>
  </si>
  <si>
    <t>Благоевград</t>
  </si>
  <si>
    <t>Банско</t>
  </si>
  <si>
    <t>Белица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</si>
  <si>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</si>
  <si>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</si>
  <si>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</si>
  <si>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</si>
  <si>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</si>
  <si>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</si>
  <si>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</si>
  <si>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</si>
  <si>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</si>
  <si>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</si>
  <si>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</si>
  <si>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Бургас</t>
  </si>
  <si>
    <t>Айтос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</si>
  <si>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</si>
  <si>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</si>
  <si>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</si>
  <si>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</si>
  <si>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</si>
  <si>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</si>
  <si>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</si>
  <si>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</si>
  <si>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</si>
  <si>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</si>
  <si>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</si>
  <si>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Варна</t>
  </si>
  <si>
    <t>Аврен</t>
  </si>
  <si>
    <t>Аксаково</t>
  </si>
  <si>
    <t>Белослав</t>
  </si>
  <si>
    <t>Бяла</t>
  </si>
  <si>
    <t>Ветрино</t>
  </si>
  <si>
    <t>Вълчидол</t>
  </si>
  <si>
    <t>Девня</t>
  </si>
  <si>
    <t>Долни Чифлик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</si>
  <si>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</si>
  <si>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</si>
  <si>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</si>
  <si>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</si>
  <si>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</si>
  <si>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</si>
  <si>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</si>
  <si>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</si>
  <si>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</si>
  <si>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</si>
  <si>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</si>
  <si>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</si>
  <si>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</si>
  <si>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Видин</t>
  </si>
  <si>
    <t>Белоградчик</t>
  </si>
  <si>
    <t>Бойница</t>
  </si>
  <si>
    <t>Брегово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</si>
  <si>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</si>
  <si>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</si>
  <si>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</si>
  <si>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</si>
  <si>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</si>
  <si>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</si>
  <si>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</si>
  <si>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Враца</t>
  </si>
  <si>
    <t>Борован</t>
  </si>
  <si>
    <t>Бяла Слатина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</si>
  <si>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</si>
  <si>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</si>
  <si>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</si>
  <si>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</si>
  <si>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</si>
  <si>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</si>
  <si>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</si>
  <si>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</si>
  <si>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</si>
  <si>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</si>
  <si>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</si>
  <si>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Добрич</t>
  </si>
  <si>
    <t>Балчик</t>
  </si>
  <si>
    <t>Генерал Тошево</t>
  </si>
  <si>
    <t>Добричка</t>
  </si>
  <si>
    <t>Каварна</t>
  </si>
  <si>
    <t>Крушари</t>
  </si>
  <si>
    <t>Тервел</t>
  </si>
  <si>
    <t>Шабла</t>
  </si>
  <si>
    <t>Кърджали</t>
  </si>
  <si>
    <t>Ардино</t>
  </si>
  <si>
    <t>Джебел</t>
  </si>
  <si>
    <t>Кирково</t>
  </si>
  <si>
    <t>Крумовград</t>
  </si>
  <si>
    <t>Момчилград</t>
  </si>
  <si>
    <t>Черноочене</t>
  </si>
  <si>
    <t>Кюстендил</t>
  </si>
  <si>
    <t>Бобов дол</t>
  </si>
  <si>
    <t>Бобошево</t>
  </si>
  <si>
    <t>Дупница</t>
  </si>
  <si>
    <t>Кочериново</t>
  </si>
  <si>
    <t>Невестино</t>
  </si>
  <si>
    <t>Рила</t>
  </si>
  <si>
    <t>Сапарева баня</t>
  </si>
  <si>
    <t>Трекляно</t>
  </si>
  <si>
    <t>Ловеч</t>
  </si>
  <si>
    <t>Априлци</t>
  </si>
  <si>
    <t>Летница</t>
  </si>
  <si>
    <t>Луковит</t>
  </si>
  <si>
    <t>Тетевен</t>
  </si>
  <si>
    <t>Троян</t>
  </si>
  <si>
    <t>Угърчин</t>
  </si>
  <si>
    <t>Ябланица</t>
  </si>
  <si>
    <t>Монтана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</si>
  <si>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</si>
  <si>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</si>
  <si>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</si>
  <si>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</si>
  <si>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</si>
  <si>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</si>
  <si>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</si>
  <si>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</si>
  <si>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Чипровци</t>
  </si>
  <si>
    <t>Якимово</t>
  </si>
  <si>
    <t>Пазарджик</t>
  </si>
  <si>
    <t>Батак</t>
  </si>
  <si>
    <t>Белово</t>
  </si>
  <si>
    <t>Брацигово</t>
  </si>
  <si>
    <t>Велинград</t>
  </si>
  <si>
    <t>Лесичово</t>
  </si>
  <si>
    <t>Панагюрище</t>
  </si>
  <si>
    <t>Пещера</t>
  </si>
  <si>
    <t>Ракитово</t>
  </si>
  <si>
    <t>Септември</t>
  </si>
  <si>
    <t>Стрелча</t>
  </si>
  <si>
    <t>Сърница</t>
  </si>
  <si>
    <t>Перник</t>
  </si>
  <si>
    <t>Брезник</t>
  </si>
  <si>
    <t>Земен</t>
  </si>
  <si>
    <t>Ковачевци</t>
  </si>
  <si>
    <t>Радомир</t>
  </si>
  <si>
    <t>Трън</t>
  </si>
  <si>
    <t>Плевен</t>
  </si>
  <si>
    <t>Белене</t>
  </si>
  <si>
    <t>Гулянци</t>
  </si>
  <si>
    <t>Долна Митрополия</t>
  </si>
  <si>
    <t>Долни Дъбник</t>
  </si>
  <si>
    <t>Искър</t>
  </si>
  <si>
    <t>Левски</t>
  </si>
  <si>
    <t>Никопол</t>
  </si>
  <si>
    <t>Пордим</t>
  </si>
  <si>
    <t>Червен бряг</t>
  </si>
  <si>
    <t>Кнежа</t>
  </si>
  <si>
    <t>Пловдив</t>
  </si>
  <si>
    <t>Асеновград</t>
  </si>
  <si>
    <t>Брезово</t>
  </si>
  <si>
    <t>Калояново</t>
  </si>
  <si>
    <t>Карлово</t>
  </si>
  <si>
    <t>Кричим</t>
  </si>
  <si>
    <t>Лъки</t>
  </si>
  <si>
    <t>Марица</t>
  </si>
  <si>
    <t>Перущица</t>
  </si>
  <si>
    <t>Първомай</t>
  </si>
  <si>
    <t>Раковски</t>
  </si>
  <si>
    <t>Родопи</t>
  </si>
  <si>
    <t>Садово</t>
  </si>
  <si>
    <t>Стамболийски</t>
  </si>
  <si>
    <t>Съединение</t>
  </si>
  <si>
    <t>Хисаря</t>
  </si>
  <si>
    <t>Куклен</t>
  </si>
  <si>
    <t>Сопот</t>
  </si>
  <si>
    <t>Разград</t>
  </si>
  <si>
    <t>Завет</t>
  </si>
  <si>
    <t>Исперих</t>
  </si>
  <si>
    <t>Кубрат</t>
  </si>
  <si>
    <t>Лозница</t>
  </si>
  <si>
    <t>Самуил</t>
  </si>
  <si>
    <t>Цар Калоян</t>
  </si>
  <si>
    <t>Русе</t>
  </si>
  <si>
    <t>Борово</t>
  </si>
  <si>
    <t>Ветово</t>
  </si>
  <si>
    <t>Две могили</t>
  </si>
  <si>
    <t>Иваново</t>
  </si>
  <si>
    <t>Сливо поле</t>
  </si>
  <si>
    <t>Ценово</t>
  </si>
  <si>
    <t>Силистра</t>
  </si>
  <si>
    <t>Алфатар</t>
  </si>
  <si>
    <t>Главиница</t>
  </si>
  <si>
    <t>Дулово</t>
  </si>
  <si>
    <t>Кайнарджа</t>
  </si>
  <si>
    <t>Ситово</t>
  </si>
  <si>
    <t>Тутракан</t>
  </si>
  <si>
    <t>Сливен</t>
  </si>
  <si>
    <t>Котел</t>
  </si>
  <si>
    <t>Нова Загора</t>
  </si>
  <si>
    <t>Твърдица</t>
  </si>
  <si>
    <t>Смолян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</si>
  <si>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</si>
  <si>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</si>
  <si>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</si>
  <si>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</si>
  <si>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</si>
  <si>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</si>
  <si>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</si>
  <si>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</si>
  <si>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Чепеларе</t>
  </si>
  <si>
    <t>София - град</t>
  </si>
  <si>
    <t>Столична община</t>
  </si>
  <si>
    <t>София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</si>
  <si>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</si>
  <si>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</si>
  <si>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</si>
  <si>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</si>
  <si>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</si>
  <si>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</si>
  <si>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</si>
  <si>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</si>
  <si>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</si>
  <si>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</si>
  <si>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</si>
  <si>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</si>
  <si>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</si>
  <si>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</si>
  <si>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</si>
  <si>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</si>
  <si>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</si>
  <si>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</si>
  <si>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</si>
  <si>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</si>
  <si>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</si>
  <si>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</si>
  <si>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Стара Загора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</si>
  <si>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</si>
  <si>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</si>
  <si>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</si>
  <si>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</si>
  <si>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</si>
  <si>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</si>
  <si>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</si>
  <si>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</si>
  <si>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</si>
  <si>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Чирпан</t>
  </si>
  <si>
    <t>Търговище</t>
  </si>
  <si>
    <t>Антоново</t>
  </si>
  <si>
    <t>Омуртаг</t>
  </si>
  <si>
    <t>Опака</t>
  </si>
  <si>
    <t>Попово</t>
  </si>
  <si>
    <t>Хасково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</si>
  <si>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</si>
  <si>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</si>
  <si>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</si>
  <si>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</si>
  <si>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</si>
  <si>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</si>
  <si>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</si>
  <si>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</si>
  <si>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</si>
  <si>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</si>
  <si>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Шумен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</si>
  <si>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</si>
  <si>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</si>
  <si>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</si>
  <si>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</si>
  <si>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</si>
  <si>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</si>
  <si>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</si>
  <si>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</si>
  <si>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</si>
  <si>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Ямбол</t>
  </si>
  <si>
    <t>Болярово</t>
  </si>
  <si>
    <t>Елхово</t>
  </si>
  <si>
    <t>Стралджа</t>
  </si>
  <si>
    <t>Тунджа</t>
  </si>
  <si>
    <t>Grand Total</t>
  </si>
  <si>
    <t>бр.общ., отговарящи на 2 критерия</t>
  </si>
  <si>
    <t>бр.общ., отговарящи на 3 критерия</t>
  </si>
  <si>
    <t>бр.общ., отговарящи на 4 критерия</t>
  </si>
  <si>
    <t>бр.общ., отговарящи на 5 критерия</t>
  </si>
  <si>
    <t>Общ бр.общ., попадащи в над 3 критерия по чл. 130а, ал. 1 от  ЗПФ</t>
  </si>
  <si>
    <t>% от всичките общини</t>
  </si>
  <si>
    <t>Ангажименти за разходи, финансирани за сметка на помощи и дарения</t>
  </si>
  <si>
    <t>Ангажименти за разходи за извършваните от общината услуги по чл. 62 от Закона за местните данъци и такси</t>
  </si>
  <si>
    <t>Ангажименти за разходи за сметка на трансфери от централния бюджет по чл. 52, ал.1, т. 1, буква "г" от Закона за публичните финанси (ЗПФ)</t>
  </si>
  <si>
    <t>Съотношение на поетите ангажименти за разходи за разходи към средногодишните разходи за периода 2021 - 2024 г. по чл. 94, ал. 3, т. 2 от ЗПФ, предвид изключенията по чл. 96 от Закона за държавния бюджет на Република България за 2024 г.</t>
  </si>
  <si>
    <t>с</t>
  </si>
  <si>
    <t>* при изчислението на показатели 1, 2, 3, 4 и 5 от общия размер на приходите са приспаднати помощите, даренията и другите безвъзмездно получени суми от чужбина, отчитани по §46, §47 и §48 от ЕБК</t>
  </si>
  <si>
    <t>1. Дял на приходите от общите постъпления (%)</t>
  </si>
  <si>
    <t>2. Покритие на разходите за местни дейности с  приходи (%)</t>
  </si>
  <si>
    <t>3. Бюджетно салдо спрямо общите постъпления (%)</t>
  </si>
  <si>
    <t>4.2 Размер на дълга на човек от населението на общината по данни на НСИ (лв.)</t>
  </si>
  <si>
    <t>6. Население на един общински служител (бр.)</t>
  </si>
  <si>
    <t>7. Дял на разходите за заплати и осигуровки в общите разходи (%)</t>
  </si>
  <si>
    <t>8. Дял на капиталовите разходи в общите разходи (инвестиционна активност) (%)</t>
  </si>
  <si>
    <t>Общински приходи по чл. 45, ал. 1, т. 1 от ЗПФ (без §46, §47 и §48) (в лв.)</t>
  </si>
  <si>
    <t>Общински разходи по чл. 45, ал. 1, т. 2 от ЗПФ
(без §19) (в лв.)</t>
  </si>
  <si>
    <t>Бюджетно салдо (в лв.)</t>
  </si>
  <si>
    <t>Налични средства (в т.ч. преводи в процес на сетълмент) по бюджета (в лв.)</t>
  </si>
  <si>
    <t>Размер на общинския дълг (в лв.)</t>
  </si>
  <si>
    <t>Просрочени задължения по бюджет (в лв.)</t>
  </si>
  <si>
    <t>Задължения за разходи по бюджет (в лв.)</t>
  </si>
  <si>
    <t>Поети ангажименти за разходи по бюджет (в лв.)</t>
  </si>
  <si>
    <t>Събираемост на данък върху недвижимите имоти (%)</t>
  </si>
  <si>
    <t>Събираемост на данък върху превозните средства (%)</t>
  </si>
  <si>
    <t>Осреднена събираемост на двата данъка</t>
  </si>
  <si>
    <t xml:space="preserve">                          Периоди
   Общини</t>
  </si>
  <si>
    <t>За страната:*</t>
  </si>
  <si>
    <t>Забележка:</t>
  </si>
  <si>
    <t xml:space="preserve">* Изчислението на относителните показатели на ред "За страната" се извършва въз основа на общите данни за страната, а не като средно аритметично от показателите на отделните общини. </t>
  </si>
  <si>
    <t>Обобщена отчетна информация по някои фин. показатели за страната, в т.ч. и за общините се публикуват на страницата на МФ: https://www.minfin.bg/bg/statistics/6 и https://www.minfin.bg/bg/statistics/10.</t>
  </si>
  <si>
    <t>Показатели по сметките за средства от ЕС</t>
  </si>
  <si>
    <t>1. Приходи - код 42 (в лв.)</t>
  </si>
  <si>
    <t>2. Разходи - код 42 (в лв.)</t>
  </si>
  <si>
    <t>3. Трансфери - код 42 (в лв.)</t>
  </si>
  <si>
    <t>4. Безлихвени заеми - код 42 (в лв.)</t>
  </si>
  <si>
    <t>5. Салдо - код 42 (в лв.)</t>
  </si>
  <si>
    <t>1. Приходи - код 98 (в лв.)</t>
  </si>
  <si>
    <t>2. Разходи - код 98 (в лв.)</t>
  </si>
  <si>
    <t>3. Трансфери - код 98 (в лв.)</t>
  </si>
  <si>
    <t>4. Безлихвени заеми - код 98 (в лв.)</t>
  </si>
  <si>
    <t>5. Салдо - код 98 (в лв.)</t>
  </si>
  <si>
    <t>6. Задължения към доставчици от страната - отчетна група "Сметки за средства от ЕС" (в лв.)</t>
  </si>
  <si>
    <t>7. Задължения към бюджетни организации за възстановяване на средства по донорски програми - отчетна група "Сметки за средства от ЕС" (в лв.)</t>
  </si>
  <si>
    <t>8. Поети ангажименти за разходи - отчетна група "Сметки за средства от ЕС" (в лв.)</t>
  </si>
  <si>
    <t>9. Просрочени задължения за разходи - отчетна група "Сметки за средства от ЕС" (в лв.)</t>
  </si>
  <si>
    <t>prev-trimester</t>
  </si>
  <si>
    <t>final-trimester</t>
  </si>
  <si>
    <t>current-trimester</t>
  </si>
  <si>
    <t>Q</t>
  </si>
  <si>
    <t>R</t>
  </si>
  <si>
    <t>S</t>
  </si>
  <si>
    <t>T</t>
  </si>
  <si>
    <t>BI</t>
  </si>
  <si>
    <t>U</t>
  </si>
  <si>
    <t>V</t>
  </si>
  <si>
    <t>W</t>
  </si>
  <si>
    <t>X</t>
  </si>
  <si>
    <t>D</t>
  </si>
  <si>
    <t>M</t>
  </si>
  <si>
    <t>G</t>
  </si>
  <si>
    <t>BL</t>
  </si>
  <si>
    <t>H</t>
  </si>
  <si>
    <t>J</t>
  </si>
  <si>
    <t>AF</t>
  </si>
  <si>
    <t>AG</t>
  </si>
  <si>
    <t>AW</t>
  </si>
  <si>
    <t>AX</t>
  </si>
  <si>
    <t>AY</t>
  </si>
  <si>
    <t>AH</t>
  </si>
  <si>
    <t>AI</t>
  </si>
  <si>
    <t>AJ</t>
  </si>
  <si>
    <t xml:space="preserve">                                                 Периоди
   Общини</t>
  </si>
  <si>
    <t>с увеличение - брой</t>
  </si>
  <si>
    <t>с намаление - брой</t>
  </si>
  <si>
    <t>размер на увеличението</t>
  </si>
  <si>
    <t>размер на намалението</t>
  </si>
  <si>
    <t>бр.над законовото ограничение</t>
  </si>
  <si>
    <t>** На ред "За страната" в жълт цвят са маркирани стойностите за страната, а в син цвят са сумарните данни за общините  посочени в таблицата.</t>
  </si>
  <si>
    <t>4.1-Размер на дълга, като процент от собствени приходи, изравнителна субсидия и други трансфери за местни дейности от ЦБ (по отчет) (%)</t>
  </si>
  <si>
    <t>5. Просрочени задължения като процент от собствени приходи, изравнителна субсидия и други трансфери за местни дейности от ЦБ (%) (по отчет) (%)</t>
  </si>
  <si>
    <t>Дял на просрочените задължения по бюджета от отчетените разходи за годината (%)</t>
  </si>
  <si>
    <t>Дял на задълженията за разходи по бюджета  от средногодишните разходи за последните 4 години (%)</t>
  </si>
  <si>
    <t>Дял на поетите ангажименти по бюджета  от средногодишните разходи за последните 4 години</t>
  </si>
  <si>
    <t>2023 Q4</t>
  </si>
  <si>
    <t>2024 Q4</t>
  </si>
  <si>
    <t>Съотношение на задължения към доставчици от страната (гр. СЕС) към отчетените разходи по бюджета на общината за годината (%)</t>
  </si>
  <si>
    <t>Просрочени задължения към доставчици от страната (счет. сметка 9923 в гр. СЕС) към отчетените разходи по бюджета на общината за годината (%)</t>
  </si>
  <si>
    <t>Изменение 2024 Q4 спрямо 
2023 Q4</t>
  </si>
  <si>
    <t>За страната**</t>
  </si>
  <si>
    <t>Информация за общините с предоставени временни безлихвени заеми на основание чл. 130ж, ал. 1 от Закона за публичните финанси</t>
  </si>
  <si>
    <t>Код по ЕБК</t>
  </si>
  <si>
    <t>codes</t>
  </si>
  <si>
    <t>разх отч</t>
  </si>
  <si>
    <t>разх план</t>
  </si>
  <si>
    <t xml:space="preserve">                                                                                                Периоди
Показатели</t>
  </si>
  <si>
    <t>0016</t>
  </si>
  <si>
    <t>0031</t>
  </si>
  <si>
    <t>0030</t>
  </si>
  <si>
    <t>Дял на задълженията за разходи от разходите (%)*</t>
  </si>
  <si>
    <t>0017</t>
  </si>
  <si>
    <t>Дял на поетите ангажименти от разходите (%)*</t>
  </si>
  <si>
    <t>0008</t>
  </si>
  <si>
    <t>0011</t>
  </si>
  <si>
    <t>Дял на просрочените задължения по бюджета от разходите (%)*</t>
  </si>
  <si>
    <t>0005</t>
  </si>
  <si>
    <t>Размер на задълженията за разходи (в лв.)</t>
  </si>
  <si>
    <t>Размер на поетите ангажименти (в лв.)</t>
  </si>
  <si>
    <t>Размер на просрочените задължения по бюджета (в лв.)</t>
  </si>
  <si>
    <t>0006</t>
  </si>
  <si>
    <t>Размер на дълга (в лв.)</t>
  </si>
  <si>
    <t>0002</t>
  </si>
  <si>
    <t>Размер на приходите (в лв.)</t>
  </si>
  <si>
    <t>Размер на разходите (в лв.)</t>
  </si>
  <si>
    <t>0012</t>
  </si>
  <si>
    <t>Общ размер на капиталовите разходи § 51-00+§ 52-00+§ 53-00+§ 54-00+§ 55-00 (в лв.), в т.ч.:</t>
  </si>
  <si>
    <t xml:space="preserve">*Забележка: За 4-то тримесечие на съответната година посочените съотношения са изчислени съгласно чл. 130а, ал. 1, т. 2-4 от ЗПФ. За 1-во, 2-ро и 3-то тримесечие посочените съотношения са изчислени на база </t>
  </si>
  <si>
    <t>на планираните разходи по бюджета на общината на съответната година.</t>
  </si>
  <si>
    <t>Изменение 2024 Q4 спрямо 2023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</si>
</sst>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\ &quot;лв.&quot;"/>
    <numFmt numFmtId="165" formatCode="0.0%"/>
    <numFmt numFmtId="166" formatCode="###0.00%"/>
  </numFmts>
  <fonts count="2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u/>
      <sz val="12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u/>
      <sz val="12"/>
      <color rgb="FF000000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 diagonalDown="1">
      <left style="thin">
        <color theme="0" tint="-0.24994659260841701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 diagonalDown="1">
      <left style="medium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 style="thin">
        <color theme="0" tint="-4.9989318521683403E-2"/>
      </diagonal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5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</cellStyleXfs>
  <cellXfs count="278">
    <xf numFmtId="0" fontId="0" fillId="0" borderId="0" xfId="0"/>
    <xf numFmtId="0" fontId="2" fillId="0" borderId="1" xfId="0" applyFont="1" applyFill="1" applyBorder="1" applyAlignment="1">
      <alignment vertical="top" wrapText="1"/>
    </xf>
    <xf numFmtId="164" fontId="2" fillId="0" borderId="1" xfId="0" applyNumberFormat="1" applyFont="1" applyFill="1" applyBorder="1" applyAlignment="1">
      <alignment vertical="top" wrapText="1"/>
    </xf>
    <xf numFmtId="164" fontId="3" fillId="0" borderId="1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top" wrapText="1"/>
    </xf>
    <xf numFmtId="164" fontId="3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4" fillId="0" borderId="1" xfId="0" quotePrefix="1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2" fillId="0" borderId="2" xfId="0" applyFont="1" applyFill="1" applyBorder="1" applyAlignment="1">
      <alignment wrapText="1"/>
    </xf>
    <xf numFmtId="164" fontId="3" fillId="0" borderId="2" xfId="0" applyNumberFormat="1" applyFont="1" applyFill="1" applyBorder="1" applyAlignment="1">
      <alignment wrapText="1"/>
    </xf>
    <xf numFmtId="164" fontId="2" fillId="0" borderId="2" xfId="0" applyNumberFormat="1" applyFont="1" applyFill="1" applyBorder="1" applyAlignment="1">
      <alignment wrapText="1"/>
    </xf>
    <xf numFmtId="16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2" xfId="0" quotePrefix="1" applyFont="1" applyFill="1" applyBorder="1" applyAlignment="1">
      <alignment wrapText="1"/>
    </xf>
    <xf numFmtId="0" fontId="3" fillId="0" borderId="2" xfId="0" applyFont="1" applyFill="1" applyBorder="1"/>
    <xf numFmtId="164" fontId="3" fillId="0" borderId="2" xfId="0" applyNumberFormat="1" applyFont="1" applyFill="1" applyBorder="1"/>
    <xf numFmtId="0" fontId="4" fillId="0" borderId="0" xfId="0" applyFont="1" applyFill="1" applyBorder="1" applyAlignment="1">
      <alignment wrapText="1"/>
    </xf>
    <xf numFmtId="0" fontId="2" fillId="0" borderId="3" xfId="0" applyFont="1" applyFill="1" applyBorder="1"/>
    <xf numFmtId="0" fontId="2" fillId="0" borderId="3" xfId="0" applyNumberFormat="1" applyFont="1" applyFill="1" applyBorder="1"/>
    <xf numFmtId="164" fontId="2" fillId="0" borderId="3" xfId="0" applyNumberFormat="1" applyFont="1" applyFill="1" applyBorder="1"/>
    <xf numFmtId="165" fontId="2" fillId="0" borderId="3" xfId="1" applyNumberFormat="1" applyFont="1" applyFill="1" applyBorder="1"/>
    <xf numFmtId="164" fontId="4" fillId="0" borderId="3" xfId="0" applyNumberFormat="1" applyFont="1" applyFill="1" applyBorder="1"/>
    <xf numFmtId="165" fontId="4" fillId="0" borderId="3" xfId="1" applyNumberFormat="1" applyFont="1" applyFill="1" applyBorder="1"/>
    <xf numFmtId="166" fontId="7" fillId="0" borderId="3" xfId="0" applyNumberFormat="1" applyFont="1" applyFill="1" applyBorder="1" applyAlignment="1" applyProtection="1">
      <alignment horizontal="right" vertical="top" wrapText="1"/>
    </xf>
    <xf numFmtId="10" fontId="8" fillId="0" borderId="3" xfId="0" applyNumberFormat="1" applyFont="1" applyFill="1" applyBorder="1" applyAlignment="1">
      <alignment horizontal="right"/>
    </xf>
    <xf numFmtId="164" fontId="4" fillId="0" borderId="3" xfId="1" applyNumberFormat="1" applyFont="1" applyFill="1" applyBorder="1"/>
    <xf numFmtId="3" fontId="2" fillId="0" borderId="3" xfId="0" applyNumberFormat="1" applyFont="1" applyFill="1" applyBorder="1"/>
    <xf numFmtId="0" fontId="4" fillId="0" borderId="3" xfId="0" applyFont="1" applyFill="1" applyBorder="1"/>
    <xf numFmtId="165" fontId="4" fillId="0" borderId="3" xfId="1" applyNumberFormat="1" applyFont="1" applyFill="1" applyBorder="1" applyAlignment="1">
      <alignment horizontal="right"/>
    </xf>
    <xf numFmtId="165" fontId="4" fillId="0" borderId="3" xfId="1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3" xfId="0" applyNumberFormat="1" applyFont="1" applyFill="1" applyBorder="1"/>
    <xf numFmtId="165" fontId="4" fillId="0" borderId="3" xfId="0" applyNumberFormat="1" applyFont="1" applyFill="1" applyBorder="1"/>
    <xf numFmtId="0" fontId="4" fillId="0" borderId="0" xfId="0" applyFont="1" applyFill="1" applyBorder="1"/>
    <xf numFmtId="3" fontId="4" fillId="0" borderId="0" xfId="0" applyNumberFormat="1" applyFont="1" applyFill="1" applyBorder="1"/>
    <xf numFmtId="0" fontId="2" fillId="0" borderId="4" xfId="0" applyFont="1" applyFill="1" applyBorder="1"/>
    <xf numFmtId="0" fontId="2" fillId="0" borderId="4" xfId="0" applyNumberFormat="1" applyFont="1" applyFill="1" applyBorder="1"/>
    <xf numFmtId="164" fontId="2" fillId="0" borderId="4" xfId="0" applyNumberFormat="1" applyFont="1" applyFill="1" applyBorder="1"/>
    <xf numFmtId="165" fontId="2" fillId="0" borderId="4" xfId="1" applyNumberFormat="1" applyFont="1" applyFill="1" applyBorder="1"/>
    <xf numFmtId="164" fontId="4" fillId="0" borderId="4" xfId="0" applyNumberFormat="1" applyFont="1" applyFill="1" applyBorder="1"/>
    <xf numFmtId="165" fontId="4" fillId="0" borderId="4" xfId="1" applyNumberFormat="1" applyFont="1" applyFill="1" applyBorder="1"/>
    <xf numFmtId="166" fontId="7" fillId="0" borderId="4" xfId="0" applyNumberFormat="1" applyFont="1" applyFill="1" applyBorder="1" applyAlignment="1" applyProtection="1">
      <alignment horizontal="right" vertical="top" wrapText="1"/>
    </xf>
    <xf numFmtId="10" fontId="8" fillId="0" borderId="4" xfId="0" applyNumberFormat="1" applyFont="1" applyFill="1" applyBorder="1" applyAlignment="1">
      <alignment horizontal="right"/>
    </xf>
    <xf numFmtId="164" fontId="4" fillId="0" borderId="4" xfId="1" applyNumberFormat="1" applyFont="1" applyFill="1" applyBorder="1"/>
    <xf numFmtId="3" fontId="2" fillId="0" borderId="4" xfId="0" applyNumberFormat="1" applyFont="1" applyFill="1" applyBorder="1"/>
    <xf numFmtId="0" fontId="4" fillId="0" borderId="4" xfId="0" applyFont="1" applyFill="1" applyBorder="1"/>
    <xf numFmtId="165" fontId="4" fillId="0" borderId="4" xfId="1" applyNumberFormat="1" applyFont="1" applyFill="1" applyBorder="1" applyAlignment="1">
      <alignment horizontal="right"/>
    </xf>
    <xf numFmtId="165" fontId="4" fillId="0" borderId="4" xfId="1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65" fontId="4" fillId="0" borderId="4" xfId="0" applyNumberFormat="1" applyFont="1" applyFill="1" applyBorder="1"/>
    <xf numFmtId="0" fontId="2" fillId="0" borderId="5" xfId="0" applyFont="1" applyFill="1" applyBorder="1"/>
    <xf numFmtId="0" fontId="2" fillId="0" borderId="5" xfId="0" applyNumberFormat="1" applyFont="1" applyFill="1" applyBorder="1"/>
    <xf numFmtId="164" fontId="2" fillId="0" borderId="5" xfId="0" applyNumberFormat="1" applyFont="1" applyFill="1" applyBorder="1"/>
    <xf numFmtId="165" fontId="2" fillId="0" borderId="5" xfId="1" applyNumberFormat="1" applyFont="1" applyFill="1" applyBorder="1"/>
    <xf numFmtId="164" fontId="4" fillId="0" borderId="5" xfId="0" applyNumberFormat="1" applyFont="1" applyFill="1" applyBorder="1"/>
    <xf numFmtId="165" fontId="4" fillId="0" borderId="5" xfId="1" applyNumberFormat="1" applyFont="1" applyFill="1" applyBorder="1"/>
    <xf numFmtId="166" fontId="7" fillId="0" borderId="5" xfId="0" applyNumberFormat="1" applyFont="1" applyFill="1" applyBorder="1" applyAlignment="1" applyProtection="1">
      <alignment horizontal="right" vertical="top" wrapText="1"/>
    </xf>
    <xf numFmtId="10" fontId="8" fillId="0" borderId="5" xfId="0" applyNumberFormat="1" applyFont="1" applyFill="1" applyBorder="1" applyAlignment="1">
      <alignment horizontal="right"/>
    </xf>
    <xf numFmtId="164" fontId="4" fillId="0" borderId="5" xfId="1" applyNumberFormat="1" applyFont="1" applyFill="1" applyBorder="1"/>
    <xf numFmtId="3" fontId="2" fillId="0" borderId="5" xfId="0" applyNumberFormat="1" applyFont="1" applyFill="1" applyBorder="1"/>
    <xf numFmtId="0" fontId="4" fillId="0" borderId="5" xfId="0" applyFont="1" applyFill="1" applyBorder="1"/>
    <xf numFmtId="0" fontId="4" fillId="0" borderId="5" xfId="0" applyFont="1" applyFill="1" applyBorder="1" applyAlignment="1">
      <alignment horizontal="right"/>
    </xf>
    <xf numFmtId="0" fontId="4" fillId="0" borderId="5" xfId="0" applyFont="1" applyFill="1" applyBorder="1" applyAlignment="1">
      <alignment horizontal="center"/>
    </xf>
    <xf numFmtId="165" fontId="4" fillId="0" borderId="5" xfId="0" applyNumberFormat="1" applyFont="1" applyFill="1" applyBorder="1"/>
    <xf numFmtId="0" fontId="2" fillId="0" borderId="2" xfId="0" applyFont="1" applyFill="1" applyBorder="1"/>
    <xf numFmtId="164" fontId="2" fillId="0" borderId="2" xfId="0" applyNumberFormat="1" applyFont="1" applyFill="1" applyBorder="1"/>
    <xf numFmtId="10" fontId="2" fillId="0" borderId="2" xfId="1" applyNumberFormat="1" applyFont="1" applyFill="1" applyBorder="1"/>
    <xf numFmtId="10" fontId="4" fillId="0" borderId="2" xfId="1" applyNumberFormat="1" applyFont="1" applyFill="1" applyBorder="1"/>
    <xf numFmtId="164" fontId="4" fillId="0" borderId="2" xfId="0" applyNumberFormat="1" applyFont="1" applyFill="1" applyBorder="1"/>
    <xf numFmtId="166" fontId="9" fillId="0" borderId="2" xfId="0" applyNumberFormat="1" applyFont="1" applyFill="1" applyBorder="1" applyAlignment="1">
      <alignment horizontal="right"/>
    </xf>
    <xf numFmtId="165" fontId="4" fillId="0" borderId="2" xfId="1" applyNumberFormat="1" applyFont="1" applyFill="1" applyBorder="1"/>
    <xf numFmtId="3" fontId="2" fillId="0" borderId="2" xfId="0" applyNumberFormat="1" applyFont="1" applyFill="1" applyBorder="1"/>
    <xf numFmtId="0" fontId="4" fillId="0" borderId="2" xfId="0" applyFont="1" applyFill="1" applyBorder="1"/>
    <xf numFmtId="0" fontId="5" fillId="0" borderId="2" xfId="0" applyFont="1" applyFill="1" applyBorder="1"/>
    <xf numFmtId="0" fontId="2" fillId="0" borderId="3" xfId="0" applyFont="1" applyFill="1" applyBorder="1" applyAlignment="1">
      <alignment horizontal="right"/>
    </xf>
    <xf numFmtId="10" fontId="3" fillId="0" borderId="3" xfId="0" applyNumberFormat="1" applyFont="1" applyFill="1" applyBorder="1" applyAlignment="1">
      <alignment horizontal="right"/>
    </xf>
    <xf numFmtId="9" fontId="4" fillId="0" borderId="3" xfId="1" applyFont="1" applyFill="1" applyBorder="1"/>
    <xf numFmtId="0" fontId="5" fillId="0" borderId="3" xfId="0" applyFont="1" applyFill="1" applyBorder="1"/>
    <xf numFmtId="0" fontId="6" fillId="0" borderId="3" xfId="0" applyFont="1" applyFill="1" applyBorder="1"/>
    <xf numFmtId="0" fontId="2" fillId="0" borderId="4" xfId="0" applyFont="1" applyFill="1" applyBorder="1" applyAlignment="1">
      <alignment horizontal="right"/>
    </xf>
    <xf numFmtId="10" fontId="3" fillId="0" borderId="4" xfId="0" applyNumberFormat="1" applyFont="1" applyFill="1" applyBorder="1" applyAlignment="1">
      <alignment horizontal="right"/>
    </xf>
    <xf numFmtId="9" fontId="4" fillId="0" borderId="4" xfId="1" applyFont="1" applyFill="1" applyBorder="1"/>
    <xf numFmtId="0" fontId="5" fillId="0" borderId="4" xfId="0" applyFont="1" applyFill="1" applyBorder="1"/>
    <xf numFmtId="0" fontId="6" fillId="0" borderId="4" xfId="0" applyFont="1" applyFill="1" applyBorder="1"/>
    <xf numFmtId="0" fontId="2" fillId="0" borderId="6" xfId="0" applyFont="1" applyFill="1" applyBorder="1"/>
    <xf numFmtId="0" fontId="10" fillId="0" borderId="6" xfId="0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4" fillId="0" borderId="6" xfId="0" applyNumberFormat="1" applyFont="1" applyFill="1" applyBorder="1"/>
    <xf numFmtId="0" fontId="4" fillId="0" borderId="6" xfId="0" applyFont="1" applyFill="1" applyBorder="1"/>
    <xf numFmtId="10" fontId="3" fillId="0" borderId="6" xfId="0" applyNumberFormat="1" applyFont="1" applyFill="1" applyBorder="1" applyAlignment="1">
      <alignment horizontal="right"/>
    </xf>
    <xf numFmtId="164" fontId="3" fillId="0" borderId="6" xfId="0" applyNumberFormat="1" applyFont="1" applyFill="1" applyBorder="1" applyAlignment="1">
      <alignment horizontal="right"/>
    </xf>
    <xf numFmtId="3" fontId="2" fillId="0" borderId="6" xfId="0" applyNumberFormat="1" applyFont="1" applyFill="1" applyBorder="1"/>
    <xf numFmtId="9" fontId="4" fillId="0" borderId="6" xfId="1" applyFont="1" applyFill="1" applyBorder="1"/>
    <xf numFmtId="0" fontId="11" fillId="0" borderId="6" xfId="0" applyFont="1" applyFill="1" applyBorder="1"/>
    <xf numFmtId="0" fontId="12" fillId="0" borderId="6" xfId="0" applyFon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/>
    <xf numFmtId="164" fontId="4" fillId="0" borderId="0" xfId="0" applyNumberFormat="1" applyFont="1" applyFill="1" applyBorder="1"/>
    <xf numFmtId="10" fontId="2" fillId="0" borderId="0" xfId="0" applyNumberFormat="1" applyFont="1" applyFill="1" applyBorder="1" applyProtection="1"/>
    <xf numFmtId="164" fontId="2" fillId="0" borderId="0" xfId="0" applyNumberFormat="1" applyFont="1" applyFill="1" applyBorder="1" applyProtection="1"/>
    <xf numFmtId="9" fontId="4" fillId="0" borderId="0" xfId="1" applyFont="1" applyFill="1" applyBorder="1"/>
    <xf numFmtId="10" fontId="3" fillId="0" borderId="0" xfId="0" applyNumberFormat="1" applyFont="1" applyFill="1" applyBorder="1"/>
    <xf numFmtId="164" fontId="3" fillId="0" borderId="0" xfId="0" applyNumberFormat="1" applyFont="1" applyFill="1" applyBorder="1"/>
    <xf numFmtId="0" fontId="3" fillId="0" borderId="0" xfId="0" quotePrefix="1" applyFont="1" applyFill="1" applyBorder="1"/>
    <xf numFmtId="0" fontId="3" fillId="0" borderId="0" xfId="0" applyFont="1" applyFill="1" applyBorder="1"/>
    <xf numFmtId="164" fontId="5" fillId="0" borderId="0" xfId="0" applyNumberFormat="1" applyFont="1" applyFill="1" applyBorder="1"/>
    <xf numFmtId="0" fontId="5" fillId="0" borderId="0" xfId="0" applyFont="1" applyFill="1" applyBorder="1"/>
    <xf numFmtId="165" fontId="5" fillId="0" borderId="0" xfId="1" applyNumberFormat="1" applyFont="1" applyFill="1" applyBorder="1"/>
    <xf numFmtId="3" fontId="2" fillId="0" borderId="0" xfId="0" applyNumberFormat="1" applyFont="1" applyFill="1" applyBorder="1" applyProtection="1"/>
    <xf numFmtId="1" fontId="3" fillId="0" borderId="0" xfId="0" applyNumberFormat="1" applyFont="1" applyFill="1" applyBorder="1"/>
    <xf numFmtId="10" fontId="13" fillId="0" borderId="0" xfId="0" applyNumberFormat="1" applyFont="1" applyFill="1" applyBorder="1"/>
    <xf numFmtId="164" fontId="14" fillId="0" borderId="0" xfId="0" applyNumberFormat="1" applyFont="1" applyFill="1" applyBorder="1"/>
    <xf numFmtId="10" fontId="14" fillId="0" borderId="0" xfId="0" applyNumberFormat="1" applyFont="1" applyFill="1" applyBorder="1"/>
    <xf numFmtId="0" fontId="3" fillId="0" borderId="1" xfId="0" applyFont="1" applyFill="1" applyBorder="1" applyAlignment="1">
      <alignment vertical="top" wrapText="1"/>
    </xf>
    <xf numFmtId="0" fontId="2" fillId="0" borderId="3" xfId="0" applyFont="1" applyFill="1" applyBorder="1" applyAlignment="1">
      <alignment wrapText="1"/>
    </xf>
    <xf numFmtId="164" fontId="3" fillId="0" borderId="3" xfId="0" applyNumberFormat="1" applyFont="1" applyFill="1" applyBorder="1" applyAlignment="1">
      <alignment wrapText="1"/>
    </xf>
    <xf numFmtId="164" fontId="4" fillId="0" borderId="3" xfId="0" applyNumberFormat="1" applyFont="1" applyFill="1" applyBorder="1" applyAlignment="1">
      <alignment wrapText="1"/>
    </xf>
    <xf numFmtId="0" fontId="5" fillId="0" borderId="3" xfId="0" applyFont="1" applyFill="1" applyBorder="1" applyAlignment="1">
      <alignment wrapText="1"/>
    </xf>
    <xf numFmtId="165" fontId="5" fillId="0" borderId="4" xfId="1" applyNumberFormat="1" applyFont="1" applyFill="1" applyBorder="1"/>
    <xf numFmtId="0" fontId="2" fillId="0" borderId="7" xfId="0" applyFont="1" applyFill="1" applyBorder="1"/>
    <xf numFmtId="0" fontId="2" fillId="0" borderId="7" xfId="0" applyNumberFormat="1" applyFont="1" applyFill="1" applyBorder="1"/>
    <xf numFmtId="164" fontId="2" fillId="0" borderId="7" xfId="0" applyNumberFormat="1" applyFont="1" applyFill="1" applyBorder="1"/>
    <xf numFmtId="164" fontId="4" fillId="0" borderId="7" xfId="0" applyNumberFormat="1" applyFont="1" applyFill="1" applyBorder="1"/>
    <xf numFmtId="165" fontId="5" fillId="0" borderId="7" xfId="1" applyNumberFormat="1" applyFont="1" applyFill="1" applyBorder="1"/>
    <xf numFmtId="0" fontId="2" fillId="0" borderId="8" xfId="0" applyFont="1" applyFill="1" applyBorder="1"/>
    <xf numFmtId="164" fontId="2" fillId="0" borderId="8" xfId="0" applyNumberFormat="1" applyFont="1" applyFill="1" applyBorder="1"/>
    <xf numFmtId="165" fontId="5" fillId="0" borderId="8" xfId="1" applyNumberFormat="1" applyFont="1" applyFill="1" applyBorder="1"/>
    <xf numFmtId="0" fontId="16" fillId="0" borderId="9" xfId="2" quotePrefix="1" applyFont="1" applyBorder="1" applyAlignment="1">
      <alignment horizontal="centerContinuous" vertical="center" wrapText="1"/>
    </xf>
    <xf numFmtId="0" fontId="16" fillId="0" borderId="10" xfId="2" applyFont="1" applyBorder="1" applyAlignment="1">
      <alignment horizontal="centerContinuous" vertical="center" wrapText="1"/>
    </xf>
    <xf numFmtId="0" fontId="16" fillId="0" borderId="11" xfId="2" applyFont="1" applyBorder="1" applyAlignment="1">
      <alignment horizontal="centerContinuous" vertical="center" wrapText="1"/>
    </xf>
    <xf numFmtId="0" fontId="16" fillId="0" borderId="12" xfId="2" applyFont="1" applyBorder="1" applyAlignment="1">
      <alignment horizontal="centerContinuous" vertical="center" wrapText="1"/>
    </xf>
    <xf numFmtId="0" fontId="16" fillId="0" borderId="13" xfId="2" applyFont="1" applyBorder="1" applyAlignment="1">
      <alignment horizontal="centerContinuous" vertical="center" wrapText="1"/>
    </xf>
    <xf numFmtId="0" fontId="16" fillId="0" borderId="0" xfId="2" applyFont="1"/>
    <xf numFmtId="0" fontId="16" fillId="0" borderId="14" xfId="2" quotePrefix="1" applyFont="1" applyBorder="1" applyAlignment="1">
      <alignment horizontal="centerContinuous" vertical="center" wrapText="1"/>
    </xf>
    <xf numFmtId="0" fontId="16" fillId="0" borderId="15" xfId="2" quotePrefix="1" applyFont="1" applyBorder="1" applyAlignment="1">
      <alignment horizontal="centerContinuous" vertical="center" wrapText="1"/>
    </xf>
    <xf numFmtId="14" fontId="16" fillId="0" borderId="16" xfId="2" applyNumberFormat="1" applyFont="1" applyBorder="1" applyAlignment="1">
      <alignment horizontal="center" vertical="center"/>
    </xf>
    <xf numFmtId="14" fontId="16" fillId="0" borderId="17" xfId="2" applyNumberFormat="1" applyFont="1" applyBorder="1" applyAlignment="1">
      <alignment horizontal="center" vertical="center"/>
    </xf>
    <xf numFmtId="0" fontId="16" fillId="0" borderId="18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6" fillId="0" borderId="19" xfId="2" applyFont="1" applyBorder="1" applyAlignment="1">
      <alignment horizontal="center"/>
    </xf>
    <xf numFmtId="0" fontId="18" fillId="0" borderId="20" xfId="3" applyFont="1" applyBorder="1"/>
    <xf numFmtId="10" fontId="16" fillId="0" borderId="21" xfId="2" applyNumberFormat="1" applyFont="1" applyBorder="1"/>
    <xf numFmtId="10" fontId="16" fillId="0" borderId="22" xfId="2" applyNumberFormat="1" applyFont="1" applyBorder="1"/>
    <xf numFmtId="10" fontId="16" fillId="0" borderId="23" xfId="2" applyNumberFormat="1" applyFont="1" applyBorder="1"/>
    <xf numFmtId="3" fontId="16" fillId="0" borderId="21" xfId="2" applyNumberFormat="1" applyFont="1" applyBorder="1"/>
    <xf numFmtId="3" fontId="16" fillId="0" borderId="23" xfId="4" applyNumberFormat="1" applyFont="1" applyFill="1" applyBorder="1" applyAlignment="1">
      <alignment horizontal="right"/>
    </xf>
    <xf numFmtId="3" fontId="16" fillId="0" borderId="24" xfId="4" applyNumberFormat="1" applyFont="1" applyFill="1" applyBorder="1" applyAlignment="1">
      <alignment horizontal="right"/>
    </xf>
    <xf numFmtId="0" fontId="16" fillId="0" borderId="25" xfId="2" applyFont="1" applyBorder="1" applyAlignment="1">
      <alignment horizontal="center"/>
    </xf>
    <xf numFmtId="0" fontId="18" fillId="0" borderId="26" xfId="3" applyFont="1" applyBorder="1"/>
    <xf numFmtId="10" fontId="16" fillId="0" borderId="27" xfId="2" applyNumberFormat="1" applyFont="1" applyBorder="1"/>
    <xf numFmtId="10" fontId="16" fillId="0" borderId="28" xfId="2" applyNumberFormat="1" applyFont="1" applyBorder="1"/>
    <xf numFmtId="10" fontId="16" fillId="0" borderId="29" xfId="2" applyNumberFormat="1" applyFont="1" applyBorder="1"/>
    <xf numFmtId="3" fontId="16" fillId="0" borderId="27" xfId="4" applyNumberFormat="1" applyFont="1" applyFill="1" applyBorder="1" applyAlignment="1">
      <alignment horizontal="right"/>
    </xf>
    <xf numFmtId="3" fontId="16" fillId="0" borderId="29" xfId="4" applyNumberFormat="1" applyFont="1" applyFill="1" applyBorder="1" applyAlignment="1">
      <alignment horizontal="right"/>
    </xf>
    <xf numFmtId="3" fontId="16" fillId="0" borderId="30" xfId="4" applyNumberFormat="1" applyFont="1" applyFill="1" applyBorder="1" applyAlignment="1">
      <alignment horizontal="right"/>
    </xf>
    <xf numFmtId="0" fontId="16" fillId="0" borderId="26" xfId="3" applyFont="1" applyBorder="1"/>
    <xf numFmtId="0" fontId="16" fillId="0" borderId="31" xfId="2" applyFont="1" applyBorder="1" applyAlignment="1">
      <alignment horizontal="center"/>
    </xf>
    <xf numFmtId="0" fontId="16" fillId="0" borderId="32" xfId="2" applyFont="1" applyBorder="1"/>
    <xf numFmtId="10" fontId="16" fillId="0" borderId="33" xfId="2" applyNumberFormat="1" applyFont="1" applyBorder="1"/>
    <xf numFmtId="10" fontId="16" fillId="0" borderId="34" xfId="2" applyNumberFormat="1" applyFont="1" applyBorder="1"/>
    <xf numFmtId="10" fontId="16" fillId="0" borderId="35" xfId="2" applyNumberFormat="1" applyFont="1" applyBorder="1"/>
    <xf numFmtId="3" fontId="16" fillId="0" borderId="33" xfId="4" applyNumberFormat="1" applyFont="1" applyFill="1" applyBorder="1" applyAlignment="1">
      <alignment horizontal="right"/>
    </xf>
    <xf numFmtId="3" fontId="16" fillId="0" borderId="35" xfId="4" applyNumberFormat="1" applyFont="1" applyFill="1" applyBorder="1" applyAlignment="1">
      <alignment horizontal="right"/>
    </xf>
    <xf numFmtId="3" fontId="16" fillId="0" borderId="36" xfId="4" applyNumberFormat="1" applyFont="1" applyFill="1" applyBorder="1" applyAlignment="1">
      <alignment horizontal="right"/>
    </xf>
    <xf numFmtId="0" fontId="19" fillId="0" borderId="37" xfId="2" applyFont="1" applyBorder="1"/>
    <xf numFmtId="0" fontId="19" fillId="0" borderId="38" xfId="2" applyFont="1" applyBorder="1"/>
    <xf numFmtId="10" fontId="19" fillId="0" borderId="16" xfId="2" applyNumberFormat="1" applyFont="1" applyBorder="1"/>
    <xf numFmtId="10" fontId="19" fillId="0" borderId="17" xfId="2" applyNumberFormat="1" applyFont="1" applyBorder="1"/>
    <xf numFmtId="10" fontId="19" fillId="0" borderId="18" xfId="2" applyNumberFormat="1" applyFont="1" applyBorder="1"/>
    <xf numFmtId="3" fontId="19" fillId="0" borderId="16" xfId="4" applyNumberFormat="1" applyFont="1" applyFill="1" applyBorder="1" applyAlignment="1">
      <alignment horizontal="right"/>
    </xf>
    <xf numFmtId="3" fontId="19" fillId="0" borderId="18" xfId="4" applyNumberFormat="1" applyFont="1" applyFill="1" applyBorder="1" applyAlignment="1">
      <alignment horizontal="right"/>
    </xf>
    <xf numFmtId="3" fontId="19" fillId="0" borderId="39" xfId="4" applyNumberFormat="1" applyFont="1" applyFill="1" applyBorder="1" applyAlignment="1">
      <alignment horizontal="right"/>
    </xf>
    <xf numFmtId="0" fontId="19" fillId="0" borderId="0" xfId="2" applyFont="1"/>
    <xf numFmtId="0" fontId="20" fillId="0" borderId="0" xfId="2" applyFont="1" applyFill="1" applyBorder="1"/>
    <xf numFmtId="0" fontId="2" fillId="0" borderId="0" xfId="5" applyFont="1" applyFill="1" applyBorder="1"/>
    <xf numFmtId="164" fontId="2" fillId="0" borderId="0" xfId="5" applyNumberFormat="1" applyFont="1" applyFill="1" applyBorder="1"/>
    <xf numFmtId="164" fontId="4" fillId="0" borderId="0" xfId="5" applyNumberFormat="1" applyFont="1" applyFill="1" applyBorder="1"/>
    <xf numFmtId="2" fontId="16" fillId="0" borderId="0" xfId="2" applyNumberFormat="1" applyFont="1"/>
    <xf numFmtId="10" fontId="16" fillId="0" borderId="0" xfId="2" applyNumberFormat="1" applyFont="1"/>
    <xf numFmtId="3" fontId="16" fillId="0" borderId="0" xfId="2" applyNumberFormat="1" applyFont="1"/>
    <xf numFmtId="0" fontId="16" fillId="0" borderId="40" xfId="2" quotePrefix="1" applyFont="1" applyBorder="1" applyAlignment="1">
      <alignment horizontal="centerContinuous" vertical="center" wrapText="1"/>
    </xf>
    <xf numFmtId="0" fontId="21" fillId="0" borderId="40" xfId="2" quotePrefix="1" applyFont="1" applyBorder="1" applyAlignment="1">
      <alignment horizontal="centerContinuous" vertical="center" wrapText="1"/>
    </xf>
    <xf numFmtId="0" fontId="22" fillId="0" borderId="0" xfId="3" applyFont="1"/>
    <xf numFmtId="0" fontId="22" fillId="0" borderId="0" xfId="3" applyFont="1" applyAlignment="1">
      <alignment vertical="center"/>
    </xf>
    <xf numFmtId="0" fontId="23" fillId="0" borderId="0" xfId="2" applyFont="1"/>
    <xf numFmtId="0" fontId="16" fillId="0" borderId="10" xfId="2" quotePrefix="1" applyFont="1" applyBorder="1" applyAlignment="1">
      <alignment horizontal="centerContinuous" vertical="center" wrapText="1"/>
    </xf>
    <xf numFmtId="0" fontId="16" fillId="0" borderId="11" xfId="2" quotePrefix="1" applyFont="1" applyBorder="1" applyAlignment="1">
      <alignment horizontal="centerContinuous" vertical="center" wrapText="1"/>
    </xf>
    <xf numFmtId="0" fontId="16" fillId="0" borderId="10" xfId="2" applyFont="1" applyBorder="1" applyAlignment="1">
      <alignment horizontal="centerContinuous" vertical="center"/>
    </xf>
    <xf numFmtId="0" fontId="16" fillId="0" borderId="11" xfId="2" applyFont="1" applyBorder="1" applyAlignment="1">
      <alignment horizontal="centerContinuous" vertical="center"/>
    </xf>
    <xf numFmtId="0" fontId="16" fillId="0" borderId="12" xfId="2" applyFont="1" applyBorder="1" applyAlignment="1">
      <alignment horizontal="centerContinuous" vertical="center"/>
    </xf>
    <xf numFmtId="0" fontId="16" fillId="0" borderId="13" xfId="2" applyFont="1" applyBorder="1" applyAlignment="1">
      <alignment horizontal="centerContinuous" vertical="center"/>
    </xf>
    <xf numFmtId="0" fontId="16" fillId="0" borderId="11" xfId="2" applyFont="1" applyBorder="1" applyAlignment="1">
      <alignment horizontal="center" vertical="center" wrapText="1"/>
    </xf>
    <xf numFmtId="0" fontId="16" fillId="2" borderId="41" xfId="2" applyFont="1" applyFill="1" applyBorder="1" applyAlignment="1">
      <alignment horizontal="centerContinuous" vertical="center" wrapText="1"/>
    </xf>
    <xf numFmtId="0" fontId="16" fillId="2" borderId="11" xfId="2" applyFont="1" applyFill="1" applyBorder="1" applyAlignment="1">
      <alignment horizontal="centerContinuous" vertical="center" wrapText="1"/>
    </xf>
    <xf numFmtId="0" fontId="16" fillId="2" borderId="12" xfId="2" applyFont="1" applyFill="1" applyBorder="1" applyAlignment="1">
      <alignment horizontal="centerContinuous" vertical="center" wrapText="1"/>
    </xf>
    <xf numFmtId="0" fontId="16" fillId="0" borderId="0" xfId="2" applyFont="1" applyAlignment="1">
      <alignment vertical="center"/>
    </xf>
    <xf numFmtId="0" fontId="16" fillId="0" borderId="16" xfId="2" applyFont="1" applyBorder="1" applyAlignment="1">
      <alignment horizontal="center" vertical="center"/>
    </xf>
    <xf numFmtId="0" fontId="16" fillId="0" borderId="42" xfId="2" quotePrefix="1" applyFont="1" applyBorder="1" applyAlignment="1">
      <alignment horizontal="left" vertical="center" wrapText="1"/>
    </xf>
    <xf numFmtId="0" fontId="16" fillId="0" borderId="17" xfId="2" applyFont="1" applyBorder="1" applyAlignment="1">
      <alignment horizontal="center" vertical="center"/>
    </xf>
    <xf numFmtId="0" fontId="16" fillId="0" borderId="43" xfId="2" applyFont="1" applyBorder="1" applyAlignment="1">
      <alignment horizontal="center" vertical="center"/>
    </xf>
    <xf numFmtId="0" fontId="24" fillId="0" borderId="44" xfId="3" applyFont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0" fontId="16" fillId="2" borderId="46" xfId="2" applyFont="1" applyFill="1" applyBorder="1" applyAlignment="1">
      <alignment horizontal="center" vertical="center" wrapText="1"/>
    </xf>
    <xf numFmtId="0" fontId="16" fillId="2" borderId="17" xfId="2" applyFont="1" applyFill="1" applyBorder="1" applyAlignment="1">
      <alignment horizontal="center" vertical="center" wrapText="1"/>
    </xf>
    <xf numFmtId="0" fontId="16" fillId="2" borderId="18" xfId="2" applyFont="1" applyFill="1" applyBorder="1" applyAlignment="1">
      <alignment horizontal="center" vertical="center" wrapText="1"/>
    </xf>
    <xf numFmtId="0" fontId="16" fillId="0" borderId="27" xfId="2" applyFont="1" applyBorder="1"/>
    <xf numFmtId="0" fontId="18" fillId="3" borderId="47" xfId="3" applyFont="1" applyFill="1" applyBorder="1"/>
    <xf numFmtId="3" fontId="16" fillId="0" borderId="27" xfId="2" applyNumberFormat="1" applyFont="1" applyBorder="1"/>
    <xf numFmtId="3" fontId="16" fillId="0" borderId="28" xfId="2" applyNumberFormat="1" applyFont="1" applyBorder="1"/>
    <xf numFmtId="3" fontId="16" fillId="0" borderId="29" xfId="4" applyNumberFormat="1" applyFont="1" applyFill="1" applyBorder="1"/>
    <xf numFmtId="3" fontId="16" fillId="0" borderId="28" xfId="4" applyNumberFormat="1" applyFont="1" applyFill="1" applyBorder="1"/>
    <xf numFmtId="3" fontId="16" fillId="0" borderId="47" xfId="2" applyNumberFormat="1" applyFont="1" applyBorder="1"/>
    <xf numFmtId="3" fontId="16" fillId="0" borderId="48" xfId="2" applyNumberFormat="1" applyFont="1" applyBorder="1"/>
    <xf numFmtId="3" fontId="16" fillId="0" borderId="24" xfId="2" applyNumberFormat="1" applyFont="1" applyBorder="1"/>
    <xf numFmtId="3" fontId="16" fillId="0" borderId="49" xfId="2" applyNumberFormat="1" applyFont="1" applyBorder="1"/>
    <xf numFmtId="3" fontId="16" fillId="0" borderId="50" xfId="2" applyNumberFormat="1" applyFont="1" applyBorder="1"/>
    <xf numFmtId="165" fontId="16" fillId="0" borderId="27" xfId="4" applyNumberFormat="1" applyFont="1" applyFill="1" applyBorder="1"/>
    <xf numFmtId="165" fontId="16" fillId="0" borderId="28" xfId="4" applyNumberFormat="1" applyFont="1" applyFill="1" applyBorder="1"/>
    <xf numFmtId="10" fontId="16" fillId="0" borderId="47" xfId="4" applyNumberFormat="1" applyFont="1" applyFill="1" applyBorder="1"/>
    <xf numFmtId="10" fontId="16" fillId="0" borderId="50" xfId="4" applyNumberFormat="1" applyFont="1" applyFill="1" applyBorder="1"/>
    <xf numFmtId="165" fontId="16" fillId="0" borderId="51" xfId="4" applyNumberFormat="1" applyFont="1" applyFill="1" applyBorder="1"/>
    <xf numFmtId="165" fontId="16" fillId="0" borderId="29" xfId="4" applyNumberFormat="1" applyFont="1" applyFill="1" applyBorder="1"/>
    <xf numFmtId="0" fontId="19" fillId="4" borderId="16" xfId="2" applyFont="1" applyFill="1" applyBorder="1"/>
    <xf numFmtId="0" fontId="19" fillId="4" borderId="43" xfId="2" applyFont="1" applyFill="1" applyBorder="1"/>
    <xf numFmtId="10" fontId="19" fillId="4" borderId="16" xfId="2" applyNumberFormat="1" applyFont="1" applyFill="1" applyBorder="1"/>
    <xf numFmtId="10" fontId="19" fillId="4" borderId="18" xfId="2" applyNumberFormat="1" applyFont="1" applyFill="1" applyBorder="1"/>
    <xf numFmtId="3" fontId="19" fillId="4" borderId="16" xfId="2" applyNumberFormat="1" applyFont="1" applyFill="1" applyBorder="1"/>
    <xf numFmtId="3" fontId="19" fillId="4" borderId="17" xfId="2" applyNumberFormat="1" applyFont="1" applyFill="1" applyBorder="1"/>
    <xf numFmtId="3" fontId="19" fillId="4" borderId="18" xfId="4" applyNumberFormat="1" applyFont="1" applyFill="1" applyBorder="1"/>
    <xf numFmtId="3" fontId="19" fillId="4" borderId="17" xfId="4" applyNumberFormat="1" applyFont="1" applyFill="1" applyBorder="1"/>
    <xf numFmtId="3" fontId="19" fillId="5" borderId="16" xfId="2" applyNumberFormat="1" applyFont="1" applyFill="1" applyBorder="1"/>
    <xf numFmtId="3" fontId="19" fillId="5" borderId="18" xfId="4" applyNumberFormat="1" applyFont="1" applyFill="1" applyBorder="1"/>
    <xf numFmtId="3" fontId="19" fillId="5" borderId="43" xfId="2" applyNumberFormat="1" applyFont="1" applyFill="1" applyBorder="1"/>
    <xf numFmtId="3" fontId="19" fillId="5" borderId="44" xfId="2" applyNumberFormat="1" applyFont="1" applyFill="1" applyBorder="1"/>
    <xf numFmtId="3" fontId="19" fillId="5" borderId="39" xfId="2" applyNumberFormat="1" applyFont="1" applyFill="1" applyBorder="1"/>
    <xf numFmtId="3" fontId="19" fillId="5" borderId="45" xfId="2" applyNumberFormat="1" applyFont="1" applyFill="1" applyBorder="1"/>
    <xf numFmtId="165" fontId="19" fillId="4" borderId="16" xfId="4" applyNumberFormat="1" applyFont="1" applyFill="1" applyBorder="1"/>
    <xf numFmtId="165" fontId="19" fillId="4" borderId="17" xfId="4" applyNumberFormat="1" applyFont="1" applyFill="1" applyBorder="1"/>
    <xf numFmtId="10" fontId="19" fillId="4" borderId="43" xfId="4" applyNumberFormat="1" applyFont="1" applyFill="1" applyBorder="1"/>
    <xf numFmtId="10" fontId="19" fillId="4" borderId="45" xfId="4" applyNumberFormat="1" applyFont="1" applyFill="1" applyBorder="1"/>
    <xf numFmtId="165" fontId="19" fillId="4" borderId="46" xfId="4" applyNumberFormat="1" applyFont="1" applyFill="1" applyBorder="1"/>
    <xf numFmtId="165" fontId="19" fillId="4" borderId="18" xfId="4" applyNumberFormat="1" applyFont="1" applyFill="1" applyBorder="1"/>
    <xf numFmtId="0" fontId="19" fillId="0" borderId="0" xfId="2" applyFont="1" applyFill="1"/>
    <xf numFmtId="0" fontId="16" fillId="0" borderId="52" xfId="2" applyFont="1" applyBorder="1"/>
    <xf numFmtId="2" fontId="16" fillId="0" borderId="52" xfId="2" applyNumberFormat="1" applyFont="1" applyBorder="1"/>
    <xf numFmtId="10" fontId="16" fillId="0" borderId="52" xfId="2" applyNumberFormat="1" applyFont="1" applyBorder="1"/>
    <xf numFmtId="0" fontId="16" fillId="0" borderId="53" xfId="2" applyFont="1" applyBorder="1"/>
    <xf numFmtId="2" fontId="16" fillId="0" borderId="53" xfId="2" applyNumberFormat="1" applyFont="1" applyBorder="1"/>
    <xf numFmtId="10" fontId="16" fillId="0" borderId="53" xfId="2" applyNumberFormat="1" applyFont="1" applyBorder="1"/>
    <xf numFmtId="3" fontId="16" fillId="0" borderId="53" xfId="2" applyNumberFormat="1" applyFont="1" applyBorder="1"/>
    <xf numFmtId="0" fontId="24" fillId="0" borderId="0" xfId="0" applyFont="1"/>
    <xf numFmtId="0" fontId="25" fillId="0" borderId="0" xfId="0" applyFont="1"/>
    <xf numFmtId="3" fontId="24" fillId="0" borderId="0" xfId="0" applyNumberFormat="1" applyFont="1" applyFill="1"/>
    <xf numFmtId="3" fontId="24" fillId="0" borderId="0" xfId="0" applyNumberFormat="1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3" fontId="24" fillId="0" borderId="0" xfId="0" applyNumberFormat="1" applyFont="1" applyFill="1" applyBorder="1"/>
    <xf numFmtId="3" fontId="24" fillId="0" borderId="0" xfId="0" applyNumberFormat="1" applyFont="1" applyBorder="1"/>
    <xf numFmtId="0" fontId="24" fillId="0" borderId="54" xfId="0" applyFont="1" applyBorder="1" applyAlignment="1">
      <alignment vertical="center" wrapText="1"/>
    </xf>
    <xf numFmtId="3" fontId="24" fillId="0" borderId="55" xfId="0" applyNumberFormat="1" applyFont="1" applyFill="1" applyBorder="1" applyAlignment="1">
      <alignment horizontal="center"/>
    </xf>
    <xf numFmtId="0" fontId="24" fillId="0" borderId="55" xfId="0" applyFont="1" applyBorder="1" applyAlignment="1">
      <alignment wrapText="1"/>
    </xf>
    <xf numFmtId="49" fontId="24" fillId="0" borderId="0" xfId="0" applyNumberFormat="1" applyFont="1"/>
    <xf numFmtId="0" fontId="24" fillId="0" borderId="56" xfId="0" applyFont="1" applyBorder="1" applyAlignment="1">
      <alignment wrapText="1"/>
    </xf>
    <xf numFmtId="10" fontId="24" fillId="0" borderId="57" xfId="0" applyNumberFormat="1" applyFont="1" applyFill="1" applyBorder="1"/>
    <xf numFmtId="165" fontId="24" fillId="0" borderId="57" xfId="0" applyNumberFormat="1" applyFont="1" applyBorder="1"/>
    <xf numFmtId="3" fontId="24" fillId="0" borderId="57" xfId="0" applyNumberFormat="1" applyFont="1" applyFill="1" applyBorder="1"/>
    <xf numFmtId="3" fontId="24" fillId="0" borderId="57" xfId="0" applyNumberFormat="1" applyFont="1" applyBorder="1"/>
    <xf numFmtId="0" fontId="24" fillId="0" borderId="56" xfId="0" applyFont="1" applyFill="1" applyBorder="1" applyAlignment="1">
      <alignment wrapText="1"/>
    </xf>
    <xf numFmtId="0" fontId="24" fillId="0" borderId="58" xfId="0" applyFont="1" applyBorder="1" applyAlignment="1">
      <alignment wrapText="1"/>
    </xf>
    <xf numFmtId="3" fontId="24" fillId="0" borderId="59" xfId="0" applyNumberFormat="1" applyFont="1" applyFill="1" applyBorder="1"/>
    <xf numFmtId="3" fontId="24" fillId="0" borderId="59" xfId="0" applyNumberFormat="1" applyFont="1" applyBorder="1"/>
    <xf numFmtId="0" fontId="27" fillId="0" borderId="0" xfId="0" applyFont="1"/>
    <xf numFmtId="0" fontId="20" fillId="0" borderId="0" xfId="2" applyFont="1" applyFill="1" applyBorder="1" applyAlignment="1">
      <alignment horizontal="left" wrapText="1"/>
    </xf>
  </cellXfs>
  <cellStyles count="6">
    <cellStyle name="Normal" xfId="0" builtinId="0"/>
    <cellStyle name="Normal 13" xfId="5"/>
    <cellStyle name="Normal 2" xfId="3"/>
    <cellStyle name="Normal 2 2" xfId="2"/>
    <cellStyle name="Percent" xfId="1" builtinId="5"/>
    <cellStyle name="Percent 2" xfId="4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\-"/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numFmt numFmtId="167" formatCode="\-"/>
    </dxf>
    <dxf>
      <font>
        <color theme="0" tint="-0.34998626667073579"/>
      </font>
      <numFmt numFmtId="167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W326"/>
  <sheetViews>
    <sheetView showGridLines="0" showZeros="0" tabSelected="1" zoomScale="85" zoomScaleNormal="85" zoomScaleSheetLayoutView="100" workbookViewId="0">
      <pane xSplit="3" ySplit="1" topLeftCell="N2" activePane="bottomRight" state="frozen"/>
      <selection activeCell="T1" sqref="T1"/>
      <selection pane="topRight" activeCell="T1" sqref="T1"/>
      <selection pane="bottomLeft" activeCell="T1" sqref="T1"/>
      <selection pane="bottomRight"/>
    </sheetView>
  </sheetViews>
  <sheetFormatPr defaultRowHeight="15.75" x14ac:dyDescent="0.25"/>
  <cols>
    <col min="1" max="1" width="12.42578125" style="100" customWidth="1"/>
    <col min="2" max="2" width="9.7109375" style="100" customWidth="1"/>
    <col min="3" max="3" width="19.7109375" style="100" customWidth="1"/>
    <col min="4" max="7" width="19.5703125" style="101" customWidth="1"/>
    <col min="8" max="8" width="21.28515625" style="101" customWidth="1"/>
    <col min="9" max="9" width="17" style="101" bestFit="1" customWidth="1"/>
    <col min="10" max="10" width="17.42578125" style="100" customWidth="1"/>
    <col min="11" max="11" width="19" style="102" bestFit="1" customWidth="1"/>
    <col min="12" max="12" width="17.85546875" style="38" customWidth="1"/>
    <col min="13" max="13" width="19.140625" style="101" customWidth="1"/>
    <col min="14" max="14" width="19.28515625" style="38" customWidth="1"/>
    <col min="15" max="15" width="18.5703125" style="102" customWidth="1"/>
    <col min="16" max="16" width="17.7109375" style="102" customWidth="1"/>
    <col min="17" max="17" width="17.85546875" style="102" customWidth="1"/>
    <col min="18" max="20" width="15.5703125" style="38" customWidth="1"/>
    <col min="21" max="21" width="23.85546875" style="101" customWidth="1"/>
    <col min="22" max="22" width="23.85546875" style="100" customWidth="1"/>
    <col min="23" max="23" width="5.85546875" style="100" customWidth="1"/>
    <col min="24" max="24" width="10" style="38" customWidth="1"/>
    <col min="25" max="25" width="24.5703125" style="38" customWidth="1"/>
    <col min="26" max="26" width="22" style="38" customWidth="1"/>
    <col min="27" max="27" width="23.42578125" style="38" customWidth="1"/>
    <col min="28" max="28" width="23.5703125" style="38" customWidth="1"/>
    <col min="29" max="29" width="25" style="38" customWidth="1"/>
    <col min="30" max="30" width="16" style="38" customWidth="1"/>
    <col min="31" max="31" width="17.85546875" style="38" customWidth="1"/>
    <col min="32" max="32" width="15.5703125" style="38" customWidth="1"/>
    <col min="33" max="33" width="25.5703125" style="38" customWidth="1"/>
    <col min="34" max="34" width="14.42578125" style="38" customWidth="1"/>
    <col min="35" max="35" width="9.140625" style="38"/>
    <col min="36" max="44" width="15.7109375" style="38" customWidth="1"/>
    <col min="45" max="45" width="9.140625" style="38"/>
    <col min="46" max="46" width="11.140625" style="38" customWidth="1"/>
    <col min="47" max="47" width="10.28515625" style="38" customWidth="1"/>
    <col min="48" max="48" width="10" style="38" customWidth="1"/>
    <col min="49" max="16384" width="9.140625" style="38"/>
  </cols>
  <sheetData>
    <row r="1" spans="1:49" s="12" customFormat="1" ht="150" customHeight="1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4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6" t="str">
        <f>+"Осреднено равнище на събираемост на двата данъка за 2024 г. "&amp;
"("&amp;T268*100&amp;"%)"</f>
        <v>Осреднено равнище на събираемост на двата данъка за 2024 г. (76,04%)</v>
      </c>
      <c r="U1" s="7" t="s">
        <v>19</v>
      </c>
      <c r="V1" s="6" t="s">
        <v>20</v>
      </c>
      <c r="W1" s="8"/>
      <c r="X1" s="5"/>
      <c r="Y1" s="9" t="s">
        <v>21</v>
      </c>
      <c r="Z1" s="9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tr">
        <f>+"7. Осредненото равнището на събираемост на ДНИ и ДПрС (за 2024 г.) е под средното за страната ("&amp;T268*100&amp;"%), отчетено за последната година"</f>
        <v>7. Осредненото равнището на събираемост на ДНИ и ДПрС (за 2024 г.) е под средното за страната (76,04%), отчетено за последната година</v>
      </c>
      <c r="AF1" s="10" t="s">
        <v>27</v>
      </c>
      <c r="AG1" s="6" t="s">
        <v>20</v>
      </c>
      <c r="AH1" s="6" t="s">
        <v>28</v>
      </c>
      <c r="AI1" s="5"/>
      <c r="AJ1" s="11" t="s">
        <v>29</v>
      </c>
      <c r="AK1" s="11" t="s">
        <v>30</v>
      </c>
      <c r="AL1" s="11" t="s">
        <v>31</v>
      </c>
      <c r="AM1" s="11" t="s">
        <v>32</v>
      </c>
      <c r="AN1" s="11" t="s">
        <v>33</v>
      </c>
      <c r="AO1" s="11" t="s">
        <v>34</v>
      </c>
      <c r="AP1" s="11" t="s">
        <v>35</v>
      </c>
      <c r="AQ1" s="11" t="s">
        <v>36</v>
      </c>
      <c r="AR1" s="11" t="s">
        <v>37</v>
      </c>
    </row>
    <row r="2" spans="1:49" s="21" customFormat="1" ht="16.5" thickBot="1" x14ac:dyDescent="0.3">
      <c r="A2" s="13"/>
      <c r="B2" s="13"/>
      <c r="C2" s="13"/>
      <c r="D2" s="14"/>
      <c r="E2" s="14"/>
      <c r="F2" s="14"/>
      <c r="G2" s="14"/>
      <c r="H2" s="14"/>
      <c r="I2" s="15"/>
      <c r="J2" s="13"/>
      <c r="K2" s="16"/>
      <c r="L2" s="17"/>
      <c r="M2" s="15"/>
      <c r="N2" s="18"/>
      <c r="O2" s="16"/>
      <c r="P2" s="16"/>
      <c r="Q2" s="16"/>
      <c r="R2" s="19"/>
      <c r="S2" s="19"/>
      <c r="T2" s="19"/>
      <c r="U2" s="20"/>
      <c r="V2" s="19"/>
      <c r="W2" s="13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  <row r="3" spans="1:49" x14ac:dyDescent="0.25">
      <c r="A3" s="22" t="s">
        <v>38</v>
      </c>
      <c r="B3" s="23">
        <v>5101</v>
      </c>
      <c r="C3" s="22" t="s">
        <v>39</v>
      </c>
      <c r="D3" s="24">
        <v>25906263</v>
      </c>
      <c r="E3" s="24">
        <v>32013915</v>
      </c>
      <c r="F3" s="24">
        <v>56316848</v>
      </c>
      <c r="G3" s="24">
        <v>46281436</v>
      </c>
      <c r="H3" s="24">
        <f>ROUND((+F3+E3+D3+G3)/4,0)</f>
        <v>40129616</v>
      </c>
      <c r="I3" s="24">
        <v>5412499.79</v>
      </c>
      <c r="J3" s="25">
        <f t="shared" ref="J3:J66" si="0">+I3/$H3</f>
        <v>0.13487544436009555</v>
      </c>
      <c r="K3" s="26">
        <v>24622020.630000003</v>
      </c>
      <c r="L3" s="27">
        <f t="shared" ref="L3:L66" si="1">+K3/$H3</f>
        <v>0.61356232838111391</v>
      </c>
      <c r="M3" s="24">
        <v>0</v>
      </c>
      <c r="N3" s="27">
        <f>+M3/G3</f>
        <v>0</v>
      </c>
      <c r="O3" s="26">
        <v>10180861</v>
      </c>
      <c r="P3" s="26">
        <v>-12372339</v>
      </c>
      <c r="Q3" s="26">
        <v>1741090</v>
      </c>
      <c r="R3" s="28">
        <v>0.72069000000000005</v>
      </c>
      <c r="S3" s="28">
        <v>0.78759000000000001</v>
      </c>
      <c r="T3" s="29">
        <f>+ROUND(AVERAGE(R3:S3),4)</f>
        <v>0.75409999999999999</v>
      </c>
      <c r="U3" s="30">
        <v>0</v>
      </c>
      <c r="V3" s="27">
        <f t="shared" ref="V3:V66" si="2">+U3/G3</f>
        <v>0</v>
      </c>
      <c r="W3" s="31"/>
      <c r="X3" s="32"/>
      <c r="Y3" s="33"/>
      <c r="Z3" s="34"/>
      <c r="AA3" s="27" t="str">
        <f t="shared" ref="AA3:AA66" si="3">IF(J3&gt;15%,J3,"")</f>
        <v/>
      </c>
      <c r="AB3" s="27">
        <f t="shared" ref="AB3:AB66" si="4">IF(L3&gt;50%,L3,"")</f>
        <v>0.61356232838111391</v>
      </c>
      <c r="AC3" s="27" t="str">
        <f t="shared" ref="AC3:AC66" si="5">IF(N3&gt;5%,N3,"")</f>
        <v/>
      </c>
      <c r="AD3" s="35" t="str">
        <f>IF(AND(Q3&lt;0,O3&lt;0,P3&lt;0),"да","")</f>
        <v/>
      </c>
      <c r="AE3" s="27">
        <f t="shared" ref="AE3:AE66" si="6">IF(T3&lt;T$268,T3,"")</f>
        <v>0.75409999999999999</v>
      </c>
      <c r="AF3" s="36">
        <f>COUNTIF(Y3:AC3,"&gt;0")+COUNTIF(AD3,"да")+COUNTIF(AE3,"&gt;0")</f>
        <v>2</v>
      </c>
      <c r="AG3" s="37">
        <f t="shared" ref="AG3:AG66" si="7">IF(V3&gt;50%,V3,0)</f>
        <v>0</v>
      </c>
      <c r="AH3" s="32" t="str">
        <f>+IF(OR(AF3&gt;2,AG3&gt;50%),1,"")</f>
        <v/>
      </c>
      <c r="AI3" s="32"/>
      <c r="AJ3" s="32">
        <v>1</v>
      </c>
      <c r="AK3" s="32">
        <v>1</v>
      </c>
      <c r="AL3" s="32">
        <v>1</v>
      </c>
      <c r="AM3" s="32">
        <v>1</v>
      </c>
      <c r="AN3" s="32">
        <v>1</v>
      </c>
      <c r="AO3" s="32">
        <v>0</v>
      </c>
      <c r="AP3" s="32">
        <v>0</v>
      </c>
      <c r="AQ3" s="32">
        <v>1</v>
      </c>
      <c r="AR3" s="32">
        <v>1</v>
      </c>
      <c r="AU3" s="39"/>
      <c r="AW3" s="39"/>
    </row>
    <row r="4" spans="1:49" x14ac:dyDescent="0.25">
      <c r="A4" s="40"/>
      <c r="B4" s="41">
        <v>5102</v>
      </c>
      <c r="C4" s="40" t="s">
        <v>40</v>
      </c>
      <c r="D4" s="42">
        <v>12151441</v>
      </c>
      <c r="E4" s="42">
        <v>14944250</v>
      </c>
      <c r="F4" s="42">
        <v>20600839</v>
      </c>
      <c r="G4" s="42">
        <v>25144229</v>
      </c>
      <c r="H4" s="42">
        <f t="shared" ref="H4:H67" si="8">ROUND((+F4+E4+D4+G4)/4,0)</f>
        <v>18210190</v>
      </c>
      <c r="I4" s="42">
        <v>674713.73999999906</v>
      </c>
      <c r="J4" s="43">
        <f t="shared" si="0"/>
        <v>3.7051438782352029E-2</v>
      </c>
      <c r="K4" s="44">
        <v>25221801.549999997</v>
      </c>
      <c r="L4" s="45">
        <f t="shared" si="1"/>
        <v>1.3850378030102923</v>
      </c>
      <c r="M4" s="42">
        <v>0</v>
      </c>
      <c r="N4" s="45">
        <f t="shared" ref="N4:N67" si="9">+M4/G4</f>
        <v>0</v>
      </c>
      <c r="O4" s="44">
        <v>4689641</v>
      </c>
      <c r="P4" s="44">
        <v>3948802</v>
      </c>
      <c r="Q4" s="44">
        <v>3993392</v>
      </c>
      <c r="R4" s="46">
        <v>0.82013999999999998</v>
      </c>
      <c r="S4" s="46">
        <v>0.77202999999999999</v>
      </c>
      <c r="T4" s="47">
        <f t="shared" ref="T4:T67" si="10">+ROUND(AVERAGE(R4:S4),4)</f>
        <v>0.79610000000000003</v>
      </c>
      <c r="U4" s="48">
        <v>0</v>
      </c>
      <c r="V4" s="45">
        <f t="shared" si="2"/>
        <v>0</v>
      </c>
      <c r="W4" s="49"/>
      <c r="X4" s="50"/>
      <c r="Y4" s="51"/>
      <c r="Z4" s="52"/>
      <c r="AA4" s="45" t="str">
        <f t="shared" si="3"/>
        <v/>
      </c>
      <c r="AB4" s="45">
        <f t="shared" si="4"/>
        <v>1.3850378030102923</v>
      </c>
      <c r="AC4" s="45" t="str">
        <f t="shared" si="5"/>
        <v/>
      </c>
      <c r="AD4" s="53" t="str">
        <f t="shared" ref="AD4:AD67" si="11">IF(AND(Q4&lt;0,O4&lt;0,P4&lt;0),"да","")</f>
        <v/>
      </c>
      <c r="AE4" s="45" t="str">
        <f t="shared" si="6"/>
        <v/>
      </c>
      <c r="AF4" s="36">
        <f t="shared" ref="AF4:AF67" si="12">COUNTIF(Y4:AC4,"&gt;0")+COUNTIF(AD4,"да")+COUNTIF(AE4,"&gt;0")</f>
        <v>1</v>
      </c>
      <c r="AG4" s="54">
        <f t="shared" si="7"/>
        <v>0</v>
      </c>
      <c r="AH4" s="32" t="str">
        <f t="shared" ref="AH4:AH67" si="13">+IF(OR(AF4&gt;2,AG4&gt;50%),1,"")</f>
        <v/>
      </c>
      <c r="AI4" s="50"/>
      <c r="AJ4" s="50">
        <v>1</v>
      </c>
      <c r="AK4" s="50">
        <v>1</v>
      </c>
      <c r="AL4" s="50">
        <v>1</v>
      </c>
      <c r="AM4" s="50">
        <v>0</v>
      </c>
      <c r="AN4" s="50">
        <v>1</v>
      </c>
      <c r="AO4" s="50">
        <v>1</v>
      </c>
      <c r="AP4" s="50">
        <v>0</v>
      </c>
      <c r="AQ4" s="50">
        <v>1</v>
      </c>
      <c r="AR4" s="50">
        <v>1</v>
      </c>
      <c r="AU4" s="39"/>
      <c r="AW4" s="39"/>
    </row>
    <row r="5" spans="1:49" x14ac:dyDescent="0.25">
      <c r="A5" s="40"/>
      <c r="B5" s="41">
        <v>5103</v>
      </c>
      <c r="C5" s="40" t="s">
        <v>38</v>
      </c>
      <c r="D5" s="42">
        <v>94937172</v>
      </c>
      <c r="E5" s="42">
        <v>110475891</v>
      </c>
      <c r="F5" s="42">
        <v>128684957</v>
      </c>
      <c r="G5" s="42">
        <v>160512380</v>
      </c>
      <c r="H5" s="42">
        <f t="shared" si="8"/>
        <v>123652600</v>
      </c>
      <c r="I5" s="42">
        <v>5823154.6999999993</v>
      </c>
      <c r="J5" s="43">
        <f t="shared" si="0"/>
        <v>4.7092860966934776E-2</v>
      </c>
      <c r="K5" s="44">
        <v>42307273.850000001</v>
      </c>
      <c r="L5" s="45">
        <f t="shared" si="1"/>
        <v>0.34214625369786</v>
      </c>
      <c r="M5" s="42">
        <v>2174297</v>
      </c>
      <c r="N5" s="45">
        <f t="shared" si="9"/>
        <v>1.3545976952058152E-2</v>
      </c>
      <c r="O5" s="44">
        <v>192977</v>
      </c>
      <c r="P5" s="44">
        <v>186483</v>
      </c>
      <c r="Q5" s="44">
        <v>-1659457</v>
      </c>
      <c r="R5" s="46">
        <v>0.85255000000000003</v>
      </c>
      <c r="S5" s="46">
        <v>0.68218000000000001</v>
      </c>
      <c r="T5" s="47">
        <f t="shared" si="10"/>
        <v>0.76739999999999997</v>
      </c>
      <c r="U5" s="48">
        <v>0</v>
      </c>
      <c r="V5" s="45">
        <f t="shared" si="2"/>
        <v>0</v>
      </c>
      <c r="W5" s="49"/>
      <c r="X5" s="50"/>
      <c r="Y5" s="51"/>
      <c r="Z5" s="52"/>
      <c r="AA5" s="45" t="str">
        <f t="shared" si="3"/>
        <v/>
      </c>
      <c r="AB5" s="45" t="str">
        <f t="shared" si="4"/>
        <v/>
      </c>
      <c r="AC5" s="45" t="str">
        <f t="shared" si="5"/>
        <v/>
      </c>
      <c r="AD5" s="53" t="str">
        <f t="shared" si="11"/>
        <v/>
      </c>
      <c r="AE5" s="45" t="str">
        <f t="shared" si="6"/>
        <v/>
      </c>
      <c r="AF5" s="36">
        <f t="shared" si="12"/>
        <v>0</v>
      </c>
      <c r="AG5" s="54">
        <f t="shared" si="7"/>
        <v>0</v>
      </c>
      <c r="AH5" s="32" t="str">
        <f t="shared" si="13"/>
        <v/>
      </c>
      <c r="AI5" s="50"/>
      <c r="AJ5" s="50">
        <v>0</v>
      </c>
      <c r="AK5" s="50">
        <v>1</v>
      </c>
      <c r="AL5" s="50">
        <v>1</v>
      </c>
      <c r="AM5" s="50">
        <v>1</v>
      </c>
      <c r="AN5" s="50">
        <v>0</v>
      </c>
      <c r="AO5" s="50">
        <v>0</v>
      </c>
      <c r="AP5" s="50">
        <v>1</v>
      </c>
      <c r="AQ5" s="50">
        <v>2</v>
      </c>
      <c r="AR5" s="50">
        <v>1</v>
      </c>
      <c r="AU5" s="39"/>
      <c r="AW5" s="39"/>
    </row>
    <row r="6" spans="1:49" x14ac:dyDescent="0.25">
      <c r="A6" s="40"/>
      <c r="B6" s="41">
        <v>5104</v>
      </c>
      <c r="C6" s="40" t="s">
        <v>41</v>
      </c>
      <c r="D6" s="42">
        <v>43221142</v>
      </c>
      <c r="E6" s="42">
        <v>51642458</v>
      </c>
      <c r="F6" s="42">
        <v>59331960</v>
      </c>
      <c r="G6" s="42">
        <v>66517789</v>
      </c>
      <c r="H6" s="42">
        <f t="shared" si="8"/>
        <v>55178337</v>
      </c>
      <c r="I6" s="42">
        <v>3909845.0699999966</v>
      </c>
      <c r="J6" s="43">
        <f t="shared" si="0"/>
        <v>7.0858334675798523E-2</v>
      </c>
      <c r="K6" s="44">
        <v>29581352.720000003</v>
      </c>
      <c r="L6" s="45">
        <f t="shared" si="1"/>
        <v>0.53610446288006108</v>
      </c>
      <c r="M6" s="42">
        <v>364143</v>
      </c>
      <c r="N6" s="45">
        <f t="shared" si="9"/>
        <v>5.4743701718648523E-3</v>
      </c>
      <c r="O6" s="44">
        <v>-854604</v>
      </c>
      <c r="P6" s="44" t="s">
        <v>315</v>
      </c>
      <c r="Q6" s="44">
        <v>-433719</v>
      </c>
      <c r="R6" s="46">
        <v>0.83928000000000003</v>
      </c>
      <c r="S6" s="46">
        <v>0.75285999999999997</v>
      </c>
      <c r="T6" s="47">
        <f t="shared" si="10"/>
        <v>0.79610000000000003</v>
      </c>
      <c r="U6" s="48">
        <v>0</v>
      </c>
      <c r="V6" s="45">
        <f t="shared" si="2"/>
        <v>0</v>
      </c>
      <c r="W6" s="49"/>
      <c r="X6" s="50"/>
      <c r="Y6" s="51"/>
      <c r="Z6" s="52"/>
      <c r="AA6" s="45" t="str">
        <f t="shared" si="3"/>
        <v/>
      </c>
      <c r="AB6" s="45">
        <f t="shared" si="4"/>
        <v>0.53610446288006108</v>
      </c>
      <c r="AC6" s="45" t="str">
        <f t="shared" si="5"/>
        <v/>
      </c>
      <c r="AD6" s="53" t="str">
        <f t="shared" si="11"/>
        <v/>
      </c>
      <c r="AE6" s="45" t="str">
        <f t="shared" si="6"/>
        <v/>
      </c>
      <c r="AF6" s="36">
        <f t="shared" si="12"/>
        <v>1</v>
      </c>
      <c r="AG6" s="54">
        <f t="shared" si="7"/>
        <v>0</v>
      </c>
      <c r="AH6" s="32" t="str">
        <f t="shared" si="13"/>
        <v/>
      </c>
      <c r="AI6" s="50"/>
      <c r="AJ6" s="50">
        <v>0</v>
      </c>
      <c r="AK6" s="50">
        <v>0</v>
      </c>
      <c r="AL6" s="50">
        <v>0</v>
      </c>
      <c r="AM6" s="50">
        <v>0</v>
      </c>
      <c r="AN6" s="50">
        <v>0</v>
      </c>
      <c r="AO6" s="50">
        <v>0</v>
      </c>
      <c r="AP6" s="50">
        <v>0</v>
      </c>
      <c r="AQ6" s="50">
        <v>0</v>
      </c>
      <c r="AR6" s="50">
        <v>0</v>
      </c>
      <c r="AU6" s="39"/>
      <c r="AW6" s="39"/>
    </row>
    <row r="7" spans="1:49" x14ac:dyDescent="0.25">
      <c r="A7" s="40"/>
      <c r="B7" s="41">
        <v>5105</v>
      </c>
      <c r="C7" s="40" t="s">
        <v>42</v>
      </c>
      <c r="D7" s="42">
        <v>25072298</v>
      </c>
      <c r="E7" s="42">
        <v>28496603</v>
      </c>
      <c r="F7" s="42">
        <v>32649506</v>
      </c>
      <c r="G7" s="42">
        <v>38193583</v>
      </c>
      <c r="H7" s="42">
        <f t="shared" si="8"/>
        <v>31102998</v>
      </c>
      <c r="I7" s="42">
        <v>718068.17000000039</v>
      </c>
      <c r="J7" s="43">
        <f t="shared" si="0"/>
        <v>2.3086783145470427E-2</v>
      </c>
      <c r="K7" s="44">
        <v>21128916.460000001</v>
      </c>
      <c r="L7" s="45">
        <f t="shared" si="1"/>
        <v>0.67932089568986243</v>
      </c>
      <c r="M7" s="42">
        <v>0</v>
      </c>
      <c r="N7" s="45">
        <f t="shared" si="9"/>
        <v>0</v>
      </c>
      <c r="O7" s="44">
        <v>-1829010</v>
      </c>
      <c r="P7" s="44">
        <v>-1938790</v>
      </c>
      <c r="Q7" s="44">
        <v>627387</v>
      </c>
      <c r="R7" s="46">
        <v>0.80613000000000001</v>
      </c>
      <c r="S7" s="46">
        <v>0.72360000000000002</v>
      </c>
      <c r="T7" s="47">
        <f t="shared" si="10"/>
        <v>0.76490000000000002</v>
      </c>
      <c r="U7" s="48">
        <v>0</v>
      </c>
      <c r="V7" s="45">
        <f t="shared" si="2"/>
        <v>0</v>
      </c>
      <c r="W7" s="49"/>
      <c r="X7" s="50"/>
      <c r="Y7" s="51"/>
      <c r="Z7" s="52"/>
      <c r="AA7" s="45" t="str">
        <f t="shared" si="3"/>
        <v/>
      </c>
      <c r="AB7" s="45">
        <f t="shared" si="4"/>
        <v>0.67932089568986243</v>
      </c>
      <c r="AC7" s="45" t="str">
        <f t="shared" si="5"/>
        <v/>
      </c>
      <c r="AD7" s="53" t="str">
        <f t="shared" si="11"/>
        <v/>
      </c>
      <c r="AE7" s="45" t="str">
        <f t="shared" si="6"/>
        <v/>
      </c>
      <c r="AF7" s="36">
        <f t="shared" si="12"/>
        <v>1</v>
      </c>
      <c r="AG7" s="54">
        <f t="shared" si="7"/>
        <v>0</v>
      </c>
      <c r="AH7" s="32" t="str">
        <f t="shared" si="13"/>
        <v/>
      </c>
      <c r="AI7" s="50"/>
      <c r="AJ7" s="50">
        <v>1</v>
      </c>
      <c r="AK7" s="50">
        <v>1</v>
      </c>
      <c r="AL7" s="50">
        <v>1</v>
      </c>
      <c r="AM7" s="50">
        <v>0</v>
      </c>
      <c r="AN7" s="50">
        <v>0</v>
      </c>
      <c r="AO7" s="50">
        <v>0</v>
      </c>
      <c r="AP7" s="50">
        <v>0</v>
      </c>
      <c r="AQ7" s="50">
        <v>1</v>
      </c>
      <c r="AR7" s="50">
        <v>1</v>
      </c>
      <c r="AU7" s="39"/>
      <c r="AW7" s="39"/>
    </row>
    <row r="8" spans="1:49" x14ac:dyDescent="0.25">
      <c r="A8" s="40"/>
      <c r="B8" s="41">
        <v>5106</v>
      </c>
      <c r="C8" s="40" t="s">
        <v>43</v>
      </c>
      <c r="D8" s="42">
        <v>7288171</v>
      </c>
      <c r="E8" s="42">
        <v>9060910</v>
      </c>
      <c r="F8" s="42">
        <v>19490071</v>
      </c>
      <c r="G8" s="42">
        <v>23105911</v>
      </c>
      <c r="H8" s="42">
        <f t="shared" si="8"/>
        <v>14736266</v>
      </c>
      <c r="I8" s="42">
        <v>2177354.7400000012</v>
      </c>
      <c r="J8" s="43">
        <f t="shared" si="0"/>
        <v>0.14775484780201451</v>
      </c>
      <c r="K8" s="44">
        <v>33784723.18</v>
      </c>
      <c r="L8" s="45">
        <f t="shared" si="1"/>
        <v>2.2926244124529238</v>
      </c>
      <c r="M8" s="42">
        <v>382773</v>
      </c>
      <c r="N8" s="45">
        <f t="shared" si="9"/>
        <v>1.6566020703533395E-2</v>
      </c>
      <c r="O8" s="44">
        <v>4052610</v>
      </c>
      <c r="P8" s="44">
        <v>-2790526</v>
      </c>
      <c r="Q8" s="44">
        <v>-2421095</v>
      </c>
      <c r="R8" s="46">
        <v>0.85704000000000002</v>
      </c>
      <c r="S8" s="46">
        <v>0.75251000000000001</v>
      </c>
      <c r="T8" s="47">
        <f t="shared" si="10"/>
        <v>0.80479999999999996</v>
      </c>
      <c r="U8" s="48">
        <v>47107</v>
      </c>
      <c r="V8" s="45">
        <f t="shared" si="2"/>
        <v>2.0387423806834536E-3</v>
      </c>
      <c r="W8" s="49"/>
      <c r="X8" s="50"/>
      <c r="Y8" s="51"/>
      <c r="Z8" s="52"/>
      <c r="AA8" s="45" t="str">
        <f t="shared" si="3"/>
        <v/>
      </c>
      <c r="AB8" s="45">
        <f t="shared" si="4"/>
        <v>2.2926244124529238</v>
      </c>
      <c r="AC8" s="45" t="str">
        <f t="shared" si="5"/>
        <v/>
      </c>
      <c r="AD8" s="53" t="str">
        <f t="shared" si="11"/>
        <v/>
      </c>
      <c r="AE8" s="45" t="str">
        <f t="shared" si="6"/>
        <v/>
      </c>
      <c r="AF8" s="36">
        <f t="shared" si="12"/>
        <v>1</v>
      </c>
      <c r="AG8" s="54">
        <f t="shared" si="7"/>
        <v>0</v>
      </c>
      <c r="AH8" s="32" t="str">
        <f t="shared" si="13"/>
        <v/>
      </c>
      <c r="AI8" s="50"/>
      <c r="AJ8" s="50">
        <v>2</v>
      </c>
      <c r="AK8" s="50">
        <v>3</v>
      </c>
      <c r="AL8" s="50">
        <v>1</v>
      </c>
      <c r="AM8" s="50">
        <v>2</v>
      </c>
      <c r="AN8" s="50">
        <v>2</v>
      </c>
      <c r="AO8" s="50">
        <v>3</v>
      </c>
      <c r="AP8" s="50">
        <v>2</v>
      </c>
      <c r="AQ8" s="50">
        <v>2</v>
      </c>
      <c r="AR8" s="50">
        <v>3</v>
      </c>
      <c r="AU8" s="39"/>
      <c r="AW8" s="39"/>
    </row>
    <row r="9" spans="1:49" x14ac:dyDescent="0.25">
      <c r="A9" s="40"/>
      <c r="B9" s="41">
        <v>5107</v>
      </c>
      <c r="C9" s="40" t="s">
        <v>44</v>
      </c>
      <c r="D9" s="42">
        <v>56731140</v>
      </c>
      <c r="E9" s="42">
        <v>64195371</v>
      </c>
      <c r="F9" s="42">
        <v>77393524</v>
      </c>
      <c r="G9" s="42">
        <v>97735774</v>
      </c>
      <c r="H9" s="42">
        <f t="shared" si="8"/>
        <v>74013952</v>
      </c>
      <c r="I9" s="42">
        <v>1016715.9600000009</v>
      </c>
      <c r="J9" s="43">
        <f t="shared" si="0"/>
        <v>1.3736814918354864E-2</v>
      </c>
      <c r="K9" s="44">
        <v>34841981.060000002</v>
      </c>
      <c r="L9" s="45">
        <f t="shared" si="1"/>
        <v>0.47074882665365581</v>
      </c>
      <c r="M9" s="42">
        <v>0</v>
      </c>
      <c r="N9" s="45">
        <f t="shared" si="9"/>
        <v>0</v>
      </c>
      <c r="O9" s="44">
        <v>4935224</v>
      </c>
      <c r="P9" s="44">
        <v>-3293478</v>
      </c>
      <c r="Q9" s="44">
        <v>-7235401</v>
      </c>
      <c r="R9" s="46">
        <v>0.80256000000000005</v>
      </c>
      <c r="S9" s="46">
        <v>0.47442000000000001</v>
      </c>
      <c r="T9" s="47">
        <f t="shared" si="10"/>
        <v>0.63849999999999996</v>
      </c>
      <c r="U9" s="48">
        <v>0</v>
      </c>
      <c r="V9" s="45">
        <f t="shared" si="2"/>
        <v>0</v>
      </c>
      <c r="W9" s="49"/>
      <c r="X9" s="50"/>
      <c r="Y9" s="51"/>
      <c r="Z9" s="52"/>
      <c r="AA9" s="45" t="str">
        <f t="shared" si="3"/>
        <v/>
      </c>
      <c r="AB9" s="45" t="str">
        <f t="shared" si="4"/>
        <v/>
      </c>
      <c r="AC9" s="45" t="str">
        <f t="shared" si="5"/>
        <v/>
      </c>
      <c r="AD9" s="53" t="str">
        <f t="shared" si="11"/>
        <v/>
      </c>
      <c r="AE9" s="45">
        <f t="shared" si="6"/>
        <v>0.63849999999999996</v>
      </c>
      <c r="AF9" s="36">
        <f t="shared" si="12"/>
        <v>1</v>
      </c>
      <c r="AG9" s="54">
        <f t="shared" si="7"/>
        <v>0</v>
      </c>
      <c r="AH9" s="32" t="str">
        <f t="shared" si="13"/>
        <v/>
      </c>
      <c r="AI9" s="50"/>
      <c r="AJ9" s="50">
        <v>1</v>
      </c>
      <c r="AK9" s="50">
        <v>1</v>
      </c>
      <c r="AL9" s="50">
        <v>1</v>
      </c>
      <c r="AM9" s="50">
        <v>1</v>
      </c>
      <c r="AN9" s="50">
        <v>1</v>
      </c>
      <c r="AO9" s="50">
        <v>2</v>
      </c>
      <c r="AP9" s="50">
        <v>1</v>
      </c>
      <c r="AQ9" s="50">
        <v>1</v>
      </c>
      <c r="AR9" s="50">
        <v>1</v>
      </c>
      <c r="AU9" s="39"/>
      <c r="AW9" s="39"/>
    </row>
    <row r="10" spans="1:49" x14ac:dyDescent="0.25">
      <c r="A10" s="40"/>
      <c r="B10" s="41">
        <v>5108</v>
      </c>
      <c r="C10" s="40" t="s">
        <v>45</v>
      </c>
      <c r="D10" s="42">
        <v>31513970</v>
      </c>
      <c r="E10" s="42">
        <v>32560532</v>
      </c>
      <c r="F10" s="42">
        <v>49548328</v>
      </c>
      <c r="G10" s="42">
        <v>47779570</v>
      </c>
      <c r="H10" s="42">
        <f t="shared" si="8"/>
        <v>40350600</v>
      </c>
      <c r="I10" s="42">
        <v>4267816.9200000018</v>
      </c>
      <c r="J10" s="43">
        <f t="shared" si="0"/>
        <v>0.10576836329571312</v>
      </c>
      <c r="K10" s="44">
        <v>23982333.520000003</v>
      </c>
      <c r="L10" s="45">
        <f t="shared" si="1"/>
        <v>0.59434887015310811</v>
      </c>
      <c r="M10" s="42">
        <v>0</v>
      </c>
      <c r="N10" s="45">
        <f t="shared" si="9"/>
        <v>0</v>
      </c>
      <c r="O10" s="44">
        <v>4238421</v>
      </c>
      <c r="P10" s="44">
        <v>-8271414</v>
      </c>
      <c r="Q10" s="44">
        <v>-3411850</v>
      </c>
      <c r="R10" s="46">
        <v>0.77766000000000002</v>
      </c>
      <c r="S10" s="46">
        <v>0.76785000000000003</v>
      </c>
      <c r="T10" s="47">
        <f t="shared" si="10"/>
        <v>0.77280000000000004</v>
      </c>
      <c r="U10" s="48">
        <v>0</v>
      </c>
      <c r="V10" s="45">
        <f t="shared" si="2"/>
        <v>0</v>
      </c>
      <c r="W10" s="49"/>
      <c r="X10" s="50"/>
      <c r="Y10" s="51"/>
      <c r="Z10" s="52"/>
      <c r="AA10" s="45" t="str">
        <f t="shared" si="3"/>
        <v/>
      </c>
      <c r="AB10" s="45">
        <f t="shared" si="4"/>
        <v>0.59434887015310811</v>
      </c>
      <c r="AC10" s="45" t="str">
        <f t="shared" si="5"/>
        <v/>
      </c>
      <c r="AD10" s="53" t="str">
        <f t="shared" si="11"/>
        <v/>
      </c>
      <c r="AE10" s="45" t="str">
        <f t="shared" si="6"/>
        <v/>
      </c>
      <c r="AF10" s="36">
        <f t="shared" si="12"/>
        <v>1</v>
      </c>
      <c r="AG10" s="54">
        <f t="shared" si="7"/>
        <v>0</v>
      </c>
      <c r="AH10" s="32" t="str">
        <f t="shared" si="13"/>
        <v/>
      </c>
      <c r="AI10" s="50"/>
      <c r="AJ10" s="50">
        <v>2</v>
      </c>
      <c r="AK10" s="50">
        <v>2</v>
      </c>
      <c r="AL10" s="50">
        <v>2</v>
      </c>
      <c r="AM10" s="50">
        <v>1</v>
      </c>
      <c r="AN10" s="50">
        <v>1</v>
      </c>
      <c r="AO10" s="50">
        <v>1</v>
      </c>
      <c r="AP10" s="50">
        <v>1</v>
      </c>
      <c r="AQ10" s="50">
        <v>2</v>
      </c>
      <c r="AR10" s="50">
        <v>1</v>
      </c>
      <c r="AU10" s="39"/>
      <c r="AW10" s="39"/>
    </row>
    <row r="11" spans="1:49" x14ac:dyDescent="0.25">
      <c r="A11" s="40"/>
      <c r="B11" s="41">
        <v>5109</v>
      </c>
      <c r="C11" s="40" t="s">
        <v>46</v>
      </c>
      <c r="D11" s="42">
        <v>48671228</v>
      </c>
      <c r="E11" s="42">
        <v>59023488</v>
      </c>
      <c r="F11" s="42">
        <v>74890568</v>
      </c>
      <c r="G11" s="42">
        <v>75307749</v>
      </c>
      <c r="H11" s="42">
        <f t="shared" si="8"/>
        <v>64473258</v>
      </c>
      <c r="I11" s="42">
        <v>2969543.0900000012</v>
      </c>
      <c r="J11" s="43">
        <f t="shared" si="0"/>
        <v>4.6058523830143673E-2</v>
      </c>
      <c r="K11" s="44">
        <v>37765832.379999995</v>
      </c>
      <c r="L11" s="45">
        <f t="shared" si="1"/>
        <v>0.58575963975637768</v>
      </c>
      <c r="M11" s="42">
        <v>2863407</v>
      </c>
      <c r="N11" s="45">
        <f t="shared" si="9"/>
        <v>3.8022740528335271E-2</v>
      </c>
      <c r="O11" s="44">
        <v>-4356374</v>
      </c>
      <c r="P11" s="44">
        <v>-5201161</v>
      </c>
      <c r="Q11" s="44">
        <v>1120189</v>
      </c>
      <c r="R11" s="46">
        <v>0.83550999999999997</v>
      </c>
      <c r="S11" s="46">
        <v>0.72274000000000005</v>
      </c>
      <c r="T11" s="47">
        <f t="shared" si="10"/>
        <v>0.77910000000000001</v>
      </c>
      <c r="U11" s="48">
        <v>232122</v>
      </c>
      <c r="V11" s="45">
        <f t="shared" si="2"/>
        <v>3.0823122863491777E-3</v>
      </c>
      <c r="W11" s="49"/>
      <c r="X11" s="50"/>
      <c r="Y11" s="51"/>
      <c r="Z11" s="52"/>
      <c r="AA11" s="45" t="str">
        <f t="shared" si="3"/>
        <v/>
      </c>
      <c r="AB11" s="45">
        <f t="shared" si="4"/>
        <v>0.58575963975637768</v>
      </c>
      <c r="AC11" s="45" t="str">
        <f t="shared" si="5"/>
        <v/>
      </c>
      <c r="AD11" s="53" t="str">
        <f t="shared" si="11"/>
        <v/>
      </c>
      <c r="AE11" s="45" t="str">
        <f t="shared" si="6"/>
        <v/>
      </c>
      <c r="AF11" s="36">
        <f t="shared" si="12"/>
        <v>1</v>
      </c>
      <c r="AG11" s="54">
        <f t="shared" si="7"/>
        <v>0</v>
      </c>
      <c r="AH11" s="32" t="str">
        <f t="shared" si="13"/>
        <v/>
      </c>
      <c r="AI11" s="50"/>
      <c r="AJ11" s="50">
        <v>1</v>
      </c>
      <c r="AK11" s="50">
        <v>1</v>
      </c>
      <c r="AL11" s="50">
        <v>0</v>
      </c>
      <c r="AM11" s="50">
        <v>1</v>
      </c>
      <c r="AN11" s="50">
        <v>1</v>
      </c>
      <c r="AO11" s="50">
        <v>0</v>
      </c>
      <c r="AP11" s="50">
        <v>1</v>
      </c>
      <c r="AQ11" s="50">
        <v>2</v>
      </c>
      <c r="AR11" s="50">
        <v>1</v>
      </c>
      <c r="AU11" s="39"/>
      <c r="AW11" s="39"/>
    </row>
    <row r="12" spans="1:49" x14ac:dyDescent="0.25">
      <c r="A12" s="40"/>
      <c r="B12" s="41">
        <v>5110</v>
      </c>
      <c r="C12" s="40" t="s">
        <v>47</v>
      </c>
      <c r="D12" s="42">
        <v>18543111</v>
      </c>
      <c r="E12" s="42">
        <v>19365831</v>
      </c>
      <c r="F12" s="42">
        <v>23996010</v>
      </c>
      <c r="G12" s="42">
        <v>32141936</v>
      </c>
      <c r="H12" s="42">
        <f t="shared" si="8"/>
        <v>23511722</v>
      </c>
      <c r="I12" s="42">
        <v>443706.56000000035</v>
      </c>
      <c r="J12" s="43">
        <f t="shared" si="0"/>
        <v>1.8871716839795927E-2</v>
      </c>
      <c r="K12" s="44">
        <v>5375827.4000000004</v>
      </c>
      <c r="L12" s="45">
        <f t="shared" si="1"/>
        <v>0.22864456291206575</v>
      </c>
      <c r="M12" s="42">
        <v>333094</v>
      </c>
      <c r="N12" s="45">
        <f t="shared" si="9"/>
        <v>1.0363221431341286E-2</v>
      </c>
      <c r="O12" s="44">
        <v>1021760</v>
      </c>
      <c r="P12" s="44">
        <v>1065255</v>
      </c>
      <c r="Q12" s="44">
        <v>-3644532</v>
      </c>
      <c r="R12" s="46">
        <v>0.86123000000000005</v>
      </c>
      <c r="S12" s="46">
        <v>0.79227999999999998</v>
      </c>
      <c r="T12" s="47">
        <f t="shared" si="10"/>
        <v>0.82679999999999998</v>
      </c>
      <c r="U12" s="48">
        <v>0</v>
      </c>
      <c r="V12" s="45">
        <f t="shared" si="2"/>
        <v>0</v>
      </c>
      <c r="W12" s="49"/>
      <c r="X12" s="50"/>
      <c r="Y12" s="51"/>
      <c r="Z12" s="52"/>
      <c r="AA12" s="45" t="str">
        <f t="shared" si="3"/>
        <v/>
      </c>
      <c r="AB12" s="45" t="str">
        <f t="shared" si="4"/>
        <v/>
      </c>
      <c r="AC12" s="45" t="str">
        <f t="shared" si="5"/>
        <v/>
      </c>
      <c r="AD12" s="53" t="str">
        <f t="shared" si="11"/>
        <v/>
      </c>
      <c r="AE12" s="45" t="str">
        <f t="shared" si="6"/>
        <v/>
      </c>
      <c r="AF12" s="36">
        <f t="shared" si="12"/>
        <v>0</v>
      </c>
      <c r="AG12" s="54">
        <f t="shared" si="7"/>
        <v>0</v>
      </c>
      <c r="AH12" s="32" t="str">
        <f t="shared" si="13"/>
        <v/>
      </c>
      <c r="AI12" s="50"/>
      <c r="AJ12" s="50">
        <v>0</v>
      </c>
      <c r="AK12" s="50">
        <v>0</v>
      </c>
      <c r="AL12" s="50">
        <v>0</v>
      </c>
      <c r="AM12" s="50">
        <v>0</v>
      </c>
      <c r="AN12" s="50">
        <v>1</v>
      </c>
      <c r="AO12" s="50">
        <v>0</v>
      </c>
      <c r="AP12" s="50">
        <v>1</v>
      </c>
      <c r="AQ12" s="50">
        <v>0</v>
      </c>
      <c r="AR12" s="50">
        <v>0</v>
      </c>
      <c r="AU12" s="39"/>
      <c r="AW12" s="39"/>
    </row>
    <row r="13" spans="1:49" x14ac:dyDescent="0.25">
      <c r="A13" s="40"/>
      <c r="B13" s="41">
        <v>5111</v>
      </c>
      <c r="C13" s="40" t="s">
        <v>48</v>
      </c>
      <c r="D13" s="42">
        <v>20002288</v>
      </c>
      <c r="E13" s="42">
        <v>23870671</v>
      </c>
      <c r="F13" s="42">
        <v>26857322</v>
      </c>
      <c r="G13" s="42">
        <v>34772297</v>
      </c>
      <c r="H13" s="42">
        <f t="shared" si="8"/>
        <v>26375645</v>
      </c>
      <c r="I13" s="42">
        <v>1269228.7400000023</v>
      </c>
      <c r="J13" s="43">
        <f t="shared" si="0"/>
        <v>4.8121239878683622E-2</v>
      </c>
      <c r="K13" s="44">
        <v>19003113.48</v>
      </c>
      <c r="L13" s="45">
        <f t="shared" si="1"/>
        <v>0.72047957424358722</v>
      </c>
      <c r="M13" s="42">
        <v>937584</v>
      </c>
      <c r="N13" s="45">
        <f t="shared" si="9"/>
        <v>2.6963533642888188E-2</v>
      </c>
      <c r="O13" s="44">
        <v>-4229852</v>
      </c>
      <c r="P13" s="44">
        <v>113797</v>
      </c>
      <c r="Q13" s="44">
        <v>-605053</v>
      </c>
      <c r="R13" s="46">
        <v>0.89251000000000003</v>
      </c>
      <c r="S13" s="46">
        <v>0.74034</v>
      </c>
      <c r="T13" s="47">
        <f t="shared" si="10"/>
        <v>0.81640000000000001</v>
      </c>
      <c r="U13" s="48">
        <v>0</v>
      </c>
      <c r="V13" s="45">
        <f t="shared" si="2"/>
        <v>0</v>
      </c>
      <c r="W13" s="49"/>
      <c r="X13" s="50"/>
      <c r="Y13" s="51">
        <v>3.2732999999999999</v>
      </c>
      <c r="Z13" s="52"/>
      <c r="AA13" s="45" t="str">
        <f t="shared" si="3"/>
        <v/>
      </c>
      <c r="AB13" s="45">
        <f t="shared" si="4"/>
        <v>0.72047957424358722</v>
      </c>
      <c r="AC13" s="45" t="str">
        <f t="shared" si="5"/>
        <v/>
      </c>
      <c r="AD13" s="53" t="str">
        <f t="shared" si="11"/>
        <v/>
      </c>
      <c r="AE13" s="45" t="str">
        <f t="shared" si="6"/>
        <v/>
      </c>
      <c r="AF13" s="36">
        <f t="shared" si="12"/>
        <v>2</v>
      </c>
      <c r="AG13" s="54">
        <f t="shared" si="7"/>
        <v>0</v>
      </c>
      <c r="AH13" s="32" t="str">
        <f t="shared" si="13"/>
        <v/>
      </c>
      <c r="AI13" s="50"/>
      <c r="AJ13" s="50">
        <v>4</v>
      </c>
      <c r="AK13" s="50">
        <v>2</v>
      </c>
      <c r="AL13" s="50">
        <v>3</v>
      </c>
      <c r="AM13" s="50">
        <v>3</v>
      </c>
      <c r="AN13" s="50">
        <v>2</v>
      </c>
      <c r="AO13" s="50">
        <v>2</v>
      </c>
      <c r="AP13" s="50">
        <v>4</v>
      </c>
      <c r="AQ13" s="50">
        <v>4</v>
      </c>
      <c r="AR13" s="50">
        <v>3</v>
      </c>
      <c r="AU13" s="39"/>
      <c r="AW13" s="39"/>
    </row>
    <row r="14" spans="1:49" x14ac:dyDescent="0.25">
      <c r="A14" s="40"/>
      <c r="B14" s="41">
        <v>5112</v>
      </c>
      <c r="C14" s="40" t="s">
        <v>49</v>
      </c>
      <c r="D14" s="42">
        <v>8014124</v>
      </c>
      <c r="E14" s="42">
        <v>9398560</v>
      </c>
      <c r="F14" s="42">
        <v>16182903</v>
      </c>
      <c r="G14" s="42">
        <v>17748408</v>
      </c>
      <c r="H14" s="42">
        <f t="shared" si="8"/>
        <v>12835999</v>
      </c>
      <c r="I14" s="42">
        <v>4319588.28</v>
      </c>
      <c r="J14" s="43">
        <f t="shared" si="0"/>
        <v>0.33652139424442151</v>
      </c>
      <c r="K14" s="44">
        <v>13548910.149999999</v>
      </c>
      <c r="L14" s="45">
        <f t="shared" si="1"/>
        <v>1.0555399817341835</v>
      </c>
      <c r="M14" s="42">
        <v>3742012</v>
      </c>
      <c r="N14" s="45">
        <f t="shared" si="9"/>
        <v>0.21083648741904062</v>
      </c>
      <c r="O14" s="44">
        <v>5061048</v>
      </c>
      <c r="P14" s="44">
        <v>-6716</v>
      </c>
      <c r="Q14" s="44">
        <v>-4826170</v>
      </c>
      <c r="R14" s="46">
        <v>0.77259999999999995</v>
      </c>
      <c r="S14" s="46">
        <v>0.79547999999999996</v>
      </c>
      <c r="T14" s="47">
        <f t="shared" si="10"/>
        <v>0.78400000000000003</v>
      </c>
      <c r="U14" s="48">
        <v>17888</v>
      </c>
      <c r="V14" s="45">
        <f t="shared" si="2"/>
        <v>1.0078650434450233E-3</v>
      </c>
      <c r="W14" s="49"/>
      <c r="X14" s="50"/>
      <c r="Y14" s="51"/>
      <c r="Z14" s="52"/>
      <c r="AA14" s="45">
        <f t="shared" si="3"/>
        <v>0.33652139424442151</v>
      </c>
      <c r="AB14" s="45">
        <f t="shared" si="4"/>
        <v>1.0555399817341835</v>
      </c>
      <c r="AC14" s="45">
        <f t="shared" si="5"/>
        <v>0.21083648741904062</v>
      </c>
      <c r="AD14" s="53" t="str">
        <f t="shared" si="11"/>
        <v/>
      </c>
      <c r="AE14" s="45" t="str">
        <f t="shared" si="6"/>
        <v/>
      </c>
      <c r="AF14" s="36">
        <f t="shared" si="12"/>
        <v>3</v>
      </c>
      <c r="AG14" s="54">
        <f t="shared" si="7"/>
        <v>0</v>
      </c>
      <c r="AH14" s="32">
        <f t="shared" si="13"/>
        <v>1</v>
      </c>
      <c r="AI14" s="50"/>
      <c r="AJ14" s="50">
        <v>3</v>
      </c>
      <c r="AK14" s="50">
        <v>3</v>
      </c>
      <c r="AL14" s="50">
        <v>2</v>
      </c>
      <c r="AM14" s="50">
        <v>2</v>
      </c>
      <c r="AN14" s="50">
        <v>3</v>
      </c>
      <c r="AO14" s="50">
        <v>3</v>
      </c>
      <c r="AP14" s="50">
        <v>4</v>
      </c>
      <c r="AQ14" s="50">
        <v>4</v>
      </c>
      <c r="AR14" s="50">
        <v>3</v>
      </c>
      <c r="AU14" s="39"/>
      <c r="AW14" s="39"/>
    </row>
    <row r="15" spans="1:49" x14ac:dyDescent="0.25">
      <c r="A15" s="40"/>
      <c r="B15" s="41">
        <v>5113</v>
      </c>
      <c r="C15" s="40" t="s">
        <v>50</v>
      </c>
      <c r="D15" s="42">
        <v>11962271</v>
      </c>
      <c r="E15" s="42">
        <v>12296389</v>
      </c>
      <c r="F15" s="42">
        <v>17471727</v>
      </c>
      <c r="G15" s="42">
        <v>17384197</v>
      </c>
      <c r="H15" s="42">
        <f t="shared" si="8"/>
        <v>14778646</v>
      </c>
      <c r="I15" s="42">
        <v>231993.79999999984</v>
      </c>
      <c r="J15" s="43">
        <f t="shared" si="0"/>
        <v>1.5697906289926684E-2</v>
      </c>
      <c r="K15" s="44">
        <v>10985704.09</v>
      </c>
      <c r="L15" s="45">
        <f t="shared" si="1"/>
        <v>0.74334983664944676</v>
      </c>
      <c r="M15" s="42">
        <v>0</v>
      </c>
      <c r="N15" s="45">
        <f t="shared" si="9"/>
        <v>0</v>
      </c>
      <c r="O15" s="44">
        <v>2293509</v>
      </c>
      <c r="P15" s="44">
        <v>-659180</v>
      </c>
      <c r="Q15" s="44">
        <v>42112</v>
      </c>
      <c r="R15" s="46">
        <v>0.82135999999999998</v>
      </c>
      <c r="S15" s="46">
        <v>0.78098999999999996</v>
      </c>
      <c r="T15" s="47">
        <f t="shared" si="10"/>
        <v>0.80120000000000002</v>
      </c>
      <c r="U15" s="48">
        <v>0</v>
      </c>
      <c r="V15" s="45">
        <f t="shared" si="2"/>
        <v>0</v>
      </c>
      <c r="W15" s="49"/>
      <c r="X15" s="50"/>
      <c r="Y15" s="51"/>
      <c r="Z15" s="52"/>
      <c r="AA15" s="45" t="str">
        <f t="shared" si="3"/>
        <v/>
      </c>
      <c r="AB15" s="45">
        <f t="shared" si="4"/>
        <v>0.74334983664944676</v>
      </c>
      <c r="AC15" s="45" t="str">
        <f t="shared" si="5"/>
        <v/>
      </c>
      <c r="AD15" s="53" t="str">
        <f t="shared" si="11"/>
        <v/>
      </c>
      <c r="AE15" s="45" t="str">
        <f t="shared" si="6"/>
        <v/>
      </c>
      <c r="AF15" s="36">
        <f t="shared" si="12"/>
        <v>1</v>
      </c>
      <c r="AG15" s="54">
        <f t="shared" si="7"/>
        <v>0</v>
      </c>
      <c r="AH15" s="32" t="str">
        <f t="shared" si="13"/>
        <v/>
      </c>
      <c r="AI15" s="50"/>
      <c r="AJ15" s="50">
        <v>0</v>
      </c>
      <c r="AK15" s="50">
        <v>0</v>
      </c>
      <c r="AL15" s="50">
        <v>1</v>
      </c>
      <c r="AM15" s="50">
        <v>1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U15" s="39"/>
      <c r="AW15" s="39"/>
    </row>
    <row r="16" spans="1:49" x14ac:dyDescent="0.25">
      <c r="A16" s="40"/>
      <c r="B16" s="41">
        <v>5114</v>
      </c>
      <c r="C16" s="40" t="s">
        <v>51</v>
      </c>
      <c r="D16" s="42">
        <v>12290308</v>
      </c>
      <c r="E16" s="42">
        <v>14804970</v>
      </c>
      <c r="F16" s="42">
        <v>14982771</v>
      </c>
      <c r="G16" s="42">
        <v>21138305</v>
      </c>
      <c r="H16" s="42">
        <f t="shared" si="8"/>
        <v>15804089</v>
      </c>
      <c r="I16" s="42">
        <v>515769.94000000006</v>
      </c>
      <c r="J16" s="43">
        <f t="shared" si="0"/>
        <v>3.2635221175988063E-2</v>
      </c>
      <c r="K16" s="44">
        <v>10655093.73</v>
      </c>
      <c r="L16" s="45">
        <f t="shared" si="1"/>
        <v>0.67419854001075297</v>
      </c>
      <c r="M16" s="42">
        <v>0</v>
      </c>
      <c r="N16" s="45">
        <f t="shared" si="9"/>
        <v>0</v>
      </c>
      <c r="O16" s="44">
        <v>-983219</v>
      </c>
      <c r="P16" s="44">
        <v>2106651</v>
      </c>
      <c r="Q16" s="44">
        <v>-675323</v>
      </c>
      <c r="R16" s="46">
        <v>0.87834999999999996</v>
      </c>
      <c r="S16" s="46">
        <v>0.81738</v>
      </c>
      <c r="T16" s="47">
        <f t="shared" si="10"/>
        <v>0.84789999999999999</v>
      </c>
      <c r="U16" s="48">
        <v>0</v>
      </c>
      <c r="V16" s="45">
        <f t="shared" si="2"/>
        <v>0</v>
      </c>
      <c r="W16" s="49"/>
      <c r="X16" s="50"/>
      <c r="Y16" s="51"/>
      <c r="Z16" s="52"/>
      <c r="AA16" s="45" t="str">
        <f t="shared" si="3"/>
        <v/>
      </c>
      <c r="AB16" s="45">
        <f t="shared" si="4"/>
        <v>0.67419854001075297</v>
      </c>
      <c r="AC16" s="45" t="str">
        <f t="shared" si="5"/>
        <v/>
      </c>
      <c r="AD16" s="53" t="str">
        <f t="shared" si="11"/>
        <v/>
      </c>
      <c r="AE16" s="45" t="str">
        <f t="shared" si="6"/>
        <v/>
      </c>
      <c r="AF16" s="36">
        <f t="shared" si="12"/>
        <v>1</v>
      </c>
      <c r="AG16" s="54">
        <f t="shared" si="7"/>
        <v>0</v>
      </c>
      <c r="AH16" s="32" t="str">
        <f t="shared" si="13"/>
        <v/>
      </c>
      <c r="AI16" s="50"/>
      <c r="AJ16" s="50">
        <v>0</v>
      </c>
      <c r="AK16" s="50">
        <v>2</v>
      </c>
      <c r="AL16" s="50">
        <v>2</v>
      </c>
      <c r="AM16" s="50">
        <v>2</v>
      </c>
      <c r="AN16" s="50">
        <v>0</v>
      </c>
      <c r="AO16" s="50">
        <v>0</v>
      </c>
      <c r="AP16" s="50">
        <v>0</v>
      </c>
      <c r="AQ16" s="50">
        <v>1</v>
      </c>
      <c r="AR16" s="50">
        <v>0</v>
      </c>
      <c r="AU16" s="39"/>
      <c r="AW16" s="39"/>
    </row>
    <row r="17" spans="1:49" x14ac:dyDescent="0.25">
      <c r="A17" s="40" t="s">
        <v>52</v>
      </c>
      <c r="B17" s="41">
        <v>5201</v>
      </c>
      <c r="C17" s="40" t="s">
        <v>53</v>
      </c>
      <c r="D17" s="42">
        <v>30928274</v>
      </c>
      <c r="E17" s="42">
        <v>34922643</v>
      </c>
      <c r="F17" s="42">
        <v>41447662</v>
      </c>
      <c r="G17" s="42">
        <v>52909588</v>
      </c>
      <c r="H17" s="42">
        <f t="shared" si="8"/>
        <v>40052042</v>
      </c>
      <c r="I17" s="42">
        <v>6133854.4500000011</v>
      </c>
      <c r="J17" s="43">
        <f t="shared" si="0"/>
        <v>0.15314710920357072</v>
      </c>
      <c r="K17" s="44">
        <v>24420678.010000002</v>
      </c>
      <c r="L17" s="45">
        <f t="shared" si="1"/>
        <v>0.60972366927009614</v>
      </c>
      <c r="M17" s="42">
        <v>0</v>
      </c>
      <c r="N17" s="45">
        <f t="shared" si="9"/>
        <v>0</v>
      </c>
      <c r="O17" s="44">
        <v>2389508</v>
      </c>
      <c r="P17" s="44">
        <v>1333743</v>
      </c>
      <c r="Q17" s="44">
        <v>1775327</v>
      </c>
      <c r="R17" s="46">
        <v>0.82138999999999995</v>
      </c>
      <c r="S17" s="46">
        <v>0.77695999999999998</v>
      </c>
      <c r="T17" s="47">
        <f t="shared" si="10"/>
        <v>0.79920000000000002</v>
      </c>
      <c r="U17" s="48">
        <v>0</v>
      </c>
      <c r="V17" s="45">
        <f t="shared" si="2"/>
        <v>0</v>
      </c>
      <c r="W17" s="49"/>
      <c r="X17" s="50"/>
      <c r="Y17" s="51"/>
      <c r="Z17" s="52"/>
      <c r="AA17" s="45">
        <f t="shared" si="3"/>
        <v>0.15314710920357072</v>
      </c>
      <c r="AB17" s="45">
        <f t="shared" si="4"/>
        <v>0.60972366927009614</v>
      </c>
      <c r="AC17" s="45" t="str">
        <f t="shared" si="5"/>
        <v/>
      </c>
      <c r="AD17" s="53" t="str">
        <f t="shared" si="11"/>
        <v/>
      </c>
      <c r="AE17" s="45" t="str">
        <f t="shared" si="6"/>
        <v/>
      </c>
      <c r="AF17" s="36">
        <f t="shared" si="12"/>
        <v>2</v>
      </c>
      <c r="AG17" s="54">
        <f t="shared" si="7"/>
        <v>0</v>
      </c>
      <c r="AH17" s="32" t="str">
        <f t="shared" si="13"/>
        <v/>
      </c>
      <c r="AI17" s="50"/>
      <c r="AJ17" s="50">
        <v>0</v>
      </c>
      <c r="AK17" s="50">
        <v>0</v>
      </c>
      <c r="AL17" s="50">
        <v>0</v>
      </c>
      <c r="AM17" s="50">
        <v>0</v>
      </c>
      <c r="AN17" s="50">
        <v>1</v>
      </c>
      <c r="AO17" s="50">
        <v>1</v>
      </c>
      <c r="AP17" s="50">
        <v>0</v>
      </c>
      <c r="AQ17" s="50">
        <v>1</v>
      </c>
      <c r="AR17" s="50">
        <v>1</v>
      </c>
      <c r="AU17" s="39"/>
      <c r="AW17" s="39"/>
    </row>
    <row r="18" spans="1:49" x14ac:dyDescent="0.25">
      <c r="A18" s="40"/>
      <c r="B18" s="41">
        <v>5202</v>
      </c>
      <c r="C18" s="40" t="s">
        <v>52</v>
      </c>
      <c r="D18" s="42">
        <v>271677115</v>
      </c>
      <c r="E18" s="42">
        <v>297226699</v>
      </c>
      <c r="F18" s="42">
        <v>374119821</v>
      </c>
      <c r="G18" s="42">
        <v>514426620</v>
      </c>
      <c r="H18" s="42">
        <f t="shared" si="8"/>
        <v>364362564</v>
      </c>
      <c r="I18" s="42">
        <v>27021489.469999984</v>
      </c>
      <c r="J18" s="43">
        <f t="shared" si="0"/>
        <v>7.4160992757752092E-2</v>
      </c>
      <c r="K18" s="44">
        <v>416911696.73000002</v>
      </c>
      <c r="L18" s="45">
        <f t="shared" si="1"/>
        <v>1.1442220961262091</v>
      </c>
      <c r="M18" s="42">
        <v>0</v>
      </c>
      <c r="N18" s="45">
        <f t="shared" si="9"/>
        <v>0</v>
      </c>
      <c r="O18" s="44">
        <v>14573367</v>
      </c>
      <c r="P18" s="44">
        <v>-3983815</v>
      </c>
      <c r="Q18" s="44">
        <v>-5586382</v>
      </c>
      <c r="R18" s="46">
        <v>0.86656999999999995</v>
      </c>
      <c r="S18" s="46">
        <v>0.76312999999999998</v>
      </c>
      <c r="T18" s="47">
        <f t="shared" si="10"/>
        <v>0.81489999999999996</v>
      </c>
      <c r="U18" s="48">
        <v>0</v>
      </c>
      <c r="V18" s="45">
        <f t="shared" si="2"/>
        <v>0</v>
      </c>
      <c r="W18" s="49"/>
      <c r="X18" s="50"/>
      <c r="Y18" s="51"/>
      <c r="Z18" s="52"/>
      <c r="AA18" s="45" t="str">
        <f t="shared" si="3"/>
        <v/>
      </c>
      <c r="AB18" s="45">
        <f t="shared" si="4"/>
        <v>1.1442220961262091</v>
      </c>
      <c r="AC18" s="45" t="str">
        <f t="shared" si="5"/>
        <v/>
      </c>
      <c r="AD18" s="53" t="str">
        <f t="shared" si="11"/>
        <v/>
      </c>
      <c r="AE18" s="45" t="str">
        <f t="shared" si="6"/>
        <v/>
      </c>
      <c r="AF18" s="36">
        <f t="shared" si="12"/>
        <v>1</v>
      </c>
      <c r="AG18" s="54">
        <f t="shared" si="7"/>
        <v>0</v>
      </c>
      <c r="AH18" s="32" t="str">
        <f t="shared" si="13"/>
        <v/>
      </c>
      <c r="AI18" s="50"/>
      <c r="AJ18" s="50">
        <v>1</v>
      </c>
      <c r="AK18" s="50">
        <v>0</v>
      </c>
      <c r="AL18" s="50">
        <v>1</v>
      </c>
      <c r="AM18" s="50">
        <v>1</v>
      </c>
      <c r="AN18" s="50">
        <v>1</v>
      </c>
      <c r="AO18" s="50">
        <v>0</v>
      </c>
      <c r="AP18" s="50">
        <v>0</v>
      </c>
      <c r="AQ18" s="50">
        <v>1</v>
      </c>
      <c r="AR18" s="50">
        <v>1</v>
      </c>
      <c r="AU18" s="39"/>
      <c r="AW18" s="39"/>
    </row>
    <row r="19" spans="1:49" x14ac:dyDescent="0.25">
      <c r="A19" s="40"/>
      <c r="B19" s="41">
        <v>5203</v>
      </c>
      <c r="C19" s="40" t="s">
        <v>54</v>
      </c>
      <c r="D19" s="42">
        <v>14488647</v>
      </c>
      <c r="E19" s="42">
        <v>18883176</v>
      </c>
      <c r="F19" s="42">
        <v>20718464</v>
      </c>
      <c r="G19" s="42">
        <v>28806308</v>
      </c>
      <c r="H19" s="42">
        <f t="shared" si="8"/>
        <v>20724149</v>
      </c>
      <c r="I19" s="42">
        <v>1559624.6199999987</v>
      </c>
      <c r="J19" s="43">
        <f t="shared" si="0"/>
        <v>7.5256389056071668E-2</v>
      </c>
      <c r="K19" s="44">
        <v>14164744.289999999</v>
      </c>
      <c r="L19" s="45">
        <f t="shared" si="1"/>
        <v>0.6834897920295786</v>
      </c>
      <c r="M19" s="42">
        <v>0</v>
      </c>
      <c r="N19" s="45">
        <f t="shared" si="9"/>
        <v>0</v>
      </c>
      <c r="O19" s="44">
        <v>-66995</v>
      </c>
      <c r="P19" s="44">
        <v>-369413</v>
      </c>
      <c r="Q19" s="44">
        <v>1265933</v>
      </c>
      <c r="R19" s="46">
        <v>0.91188999999999998</v>
      </c>
      <c r="S19" s="46">
        <v>0.72663</v>
      </c>
      <c r="T19" s="47">
        <f t="shared" si="10"/>
        <v>0.81930000000000003</v>
      </c>
      <c r="U19" s="48">
        <v>0</v>
      </c>
      <c r="V19" s="45">
        <f t="shared" si="2"/>
        <v>0</v>
      </c>
      <c r="W19" s="49"/>
      <c r="X19" s="50"/>
      <c r="Y19" s="51"/>
      <c r="Z19" s="52"/>
      <c r="AA19" s="45" t="str">
        <f t="shared" si="3"/>
        <v/>
      </c>
      <c r="AB19" s="45">
        <f t="shared" si="4"/>
        <v>0.6834897920295786</v>
      </c>
      <c r="AC19" s="45" t="str">
        <f t="shared" si="5"/>
        <v/>
      </c>
      <c r="AD19" s="53" t="str">
        <f t="shared" si="11"/>
        <v/>
      </c>
      <c r="AE19" s="45" t="str">
        <f t="shared" si="6"/>
        <v/>
      </c>
      <c r="AF19" s="36">
        <f t="shared" si="12"/>
        <v>1</v>
      </c>
      <c r="AG19" s="54">
        <f t="shared" si="7"/>
        <v>0</v>
      </c>
      <c r="AH19" s="32" t="str">
        <f t="shared" si="13"/>
        <v/>
      </c>
      <c r="AI19" s="50"/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U19" s="39"/>
      <c r="AW19" s="39"/>
    </row>
    <row r="20" spans="1:49" x14ac:dyDescent="0.25">
      <c r="A20" s="40"/>
      <c r="B20" s="41">
        <v>5204</v>
      </c>
      <c r="C20" s="40" t="s">
        <v>55</v>
      </c>
      <c r="D20" s="42">
        <v>28474962</v>
      </c>
      <c r="E20" s="42">
        <v>35744692</v>
      </c>
      <c r="F20" s="42">
        <v>39776048</v>
      </c>
      <c r="G20" s="42">
        <v>47736264</v>
      </c>
      <c r="H20" s="42">
        <f t="shared" si="8"/>
        <v>37932992</v>
      </c>
      <c r="I20" s="42">
        <v>790505.67000000016</v>
      </c>
      <c r="J20" s="43">
        <f t="shared" si="0"/>
        <v>2.0839528556039034E-2</v>
      </c>
      <c r="K20" s="44">
        <v>4281220.7999999989</v>
      </c>
      <c r="L20" s="45">
        <f t="shared" si="1"/>
        <v>0.11286272382626709</v>
      </c>
      <c r="M20" s="42">
        <v>0</v>
      </c>
      <c r="N20" s="45">
        <f t="shared" si="9"/>
        <v>0</v>
      </c>
      <c r="O20" s="44">
        <v>765725</v>
      </c>
      <c r="P20" s="44">
        <v>2276864</v>
      </c>
      <c r="Q20" s="44">
        <v>304529</v>
      </c>
      <c r="R20" s="46">
        <v>0.83613000000000004</v>
      </c>
      <c r="S20" s="46">
        <v>0.77664999999999995</v>
      </c>
      <c r="T20" s="47">
        <f t="shared" si="10"/>
        <v>0.80640000000000001</v>
      </c>
      <c r="U20" s="48">
        <v>0</v>
      </c>
      <c r="V20" s="45">
        <f t="shared" si="2"/>
        <v>0</v>
      </c>
      <c r="W20" s="49"/>
      <c r="X20" s="50"/>
      <c r="Y20" s="51"/>
      <c r="Z20" s="52"/>
      <c r="AA20" s="45" t="str">
        <f t="shared" si="3"/>
        <v/>
      </c>
      <c r="AB20" s="45" t="str">
        <f t="shared" si="4"/>
        <v/>
      </c>
      <c r="AC20" s="45" t="str">
        <f t="shared" si="5"/>
        <v/>
      </c>
      <c r="AD20" s="53" t="str">
        <f t="shared" si="11"/>
        <v/>
      </c>
      <c r="AE20" s="45" t="str">
        <f t="shared" si="6"/>
        <v/>
      </c>
      <c r="AF20" s="36">
        <f t="shared" si="12"/>
        <v>0</v>
      </c>
      <c r="AG20" s="54">
        <f t="shared" si="7"/>
        <v>0</v>
      </c>
      <c r="AH20" s="32" t="str">
        <f t="shared" si="13"/>
        <v/>
      </c>
      <c r="AI20" s="50"/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U20" s="39"/>
      <c r="AW20" s="39"/>
    </row>
    <row r="21" spans="1:49" x14ac:dyDescent="0.25">
      <c r="A21" s="40"/>
      <c r="B21" s="41">
        <v>5205</v>
      </c>
      <c r="C21" s="40" t="s">
        <v>56</v>
      </c>
      <c r="D21" s="42">
        <v>7514699</v>
      </c>
      <c r="E21" s="42">
        <v>8357080</v>
      </c>
      <c r="F21" s="42">
        <v>10453895</v>
      </c>
      <c r="G21" s="42">
        <v>9804709</v>
      </c>
      <c r="H21" s="42">
        <f t="shared" si="8"/>
        <v>9032596</v>
      </c>
      <c r="I21" s="42">
        <v>363395.81999999954</v>
      </c>
      <c r="J21" s="43">
        <f t="shared" si="0"/>
        <v>4.0231603406152512E-2</v>
      </c>
      <c r="K21" s="44">
        <v>8759732.4499999993</v>
      </c>
      <c r="L21" s="45">
        <f t="shared" si="1"/>
        <v>0.96979123720356797</v>
      </c>
      <c r="M21" s="42">
        <v>0</v>
      </c>
      <c r="N21" s="45">
        <f t="shared" si="9"/>
        <v>0</v>
      </c>
      <c r="O21" s="44">
        <v>670043</v>
      </c>
      <c r="P21" s="44">
        <v>889266</v>
      </c>
      <c r="Q21" s="44">
        <v>86166</v>
      </c>
      <c r="R21" s="46">
        <v>0.85829999999999995</v>
      </c>
      <c r="S21" s="46">
        <v>0.77500000000000002</v>
      </c>
      <c r="T21" s="47">
        <f t="shared" si="10"/>
        <v>0.81669999999999998</v>
      </c>
      <c r="U21" s="48">
        <v>0</v>
      </c>
      <c r="V21" s="45">
        <f t="shared" si="2"/>
        <v>0</v>
      </c>
      <c r="W21" s="49"/>
      <c r="X21" s="50"/>
      <c r="Y21" s="51"/>
      <c r="Z21" s="52"/>
      <c r="AA21" s="45" t="str">
        <f t="shared" si="3"/>
        <v/>
      </c>
      <c r="AB21" s="45">
        <f t="shared" si="4"/>
        <v>0.96979123720356797</v>
      </c>
      <c r="AC21" s="45" t="str">
        <f t="shared" si="5"/>
        <v/>
      </c>
      <c r="AD21" s="53" t="str">
        <f t="shared" si="11"/>
        <v/>
      </c>
      <c r="AE21" s="45" t="str">
        <f t="shared" si="6"/>
        <v/>
      </c>
      <c r="AF21" s="36">
        <f t="shared" si="12"/>
        <v>1</v>
      </c>
      <c r="AG21" s="54">
        <f t="shared" si="7"/>
        <v>0</v>
      </c>
      <c r="AH21" s="32" t="str">
        <f t="shared" si="13"/>
        <v/>
      </c>
      <c r="AI21" s="50"/>
      <c r="AJ21" s="50">
        <v>0</v>
      </c>
      <c r="AK21" s="50">
        <v>1</v>
      </c>
      <c r="AL21" s="50">
        <v>1</v>
      </c>
      <c r="AM21" s="50">
        <v>1</v>
      </c>
      <c r="AN21" s="50">
        <v>0</v>
      </c>
      <c r="AO21" s="50">
        <v>1</v>
      </c>
      <c r="AP21" s="50">
        <v>0</v>
      </c>
      <c r="AQ21" s="50">
        <v>0</v>
      </c>
      <c r="AR21" s="50">
        <v>1</v>
      </c>
      <c r="AU21" s="39"/>
      <c r="AW21" s="39"/>
    </row>
    <row r="22" spans="1:49" x14ac:dyDescent="0.25">
      <c r="A22" s="40"/>
      <c r="B22" s="41">
        <v>5206</v>
      </c>
      <c r="C22" s="40" t="s">
        <v>57</v>
      </c>
      <c r="D22" s="42">
        <v>60209958</v>
      </c>
      <c r="E22" s="42">
        <v>74247920</v>
      </c>
      <c r="F22" s="42">
        <v>113380966</v>
      </c>
      <c r="G22" s="42">
        <v>109385683</v>
      </c>
      <c r="H22" s="42">
        <f t="shared" si="8"/>
        <v>89306132</v>
      </c>
      <c r="I22" s="42">
        <v>1957634.8099999989</v>
      </c>
      <c r="J22" s="43">
        <f t="shared" si="0"/>
        <v>2.1920497127789599E-2</v>
      </c>
      <c r="K22" s="44">
        <v>59647044.170000002</v>
      </c>
      <c r="L22" s="45">
        <f t="shared" si="1"/>
        <v>0.66789416173572491</v>
      </c>
      <c r="M22" s="42">
        <v>0</v>
      </c>
      <c r="N22" s="45">
        <f t="shared" si="9"/>
        <v>0</v>
      </c>
      <c r="O22" s="44">
        <v>19487910</v>
      </c>
      <c r="P22" s="44">
        <v>-20723754</v>
      </c>
      <c r="Q22" s="44">
        <v>3647586</v>
      </c>
      <c r="R22" s="46">
        <v>0.75322</v>
      </c>
      <c r="S22" s="46">
        <v>0.68284</v>
      </c>
      <c r="T22" s="47">
        <f t="shared" si="10"/>
        <v>0.71799999999999997</v>
      </c>
      <c r="U22" s="48">
        <v>0</v>
      </c>
      <c r="V22" s="45">
        <f t="shared" si="2"/>
        <v>0</v>
      </c>
      <c r="W22" s="49"/>
      <c r="X22" s="50"/>
      <c r="Y22" s="51"/>
      <c r="Z22" s="52"/>
      <c r="AA22" s="45" t="str">
        <f t="shared" si="3"/>
        <v/>
      </c>
      <c r="AB22" s="45">
        <f t="shared" si="4"/>
        <v>0.66789416173572491</v>
      </c>
      <c r="AC22" s="45" t="str">
        <f t="shared" si="5"/>
        <v/>
      </c>
      <c r="AD22" s="53" t="str">
        <f t="shared" si="11"/>
        <v/>
      </c>
      <c r="AE22" s="45">
        <f t="shared" si="6"/>
        <v>0.71799999999999997</v>
      </c>
      <c r="AF22" s="36">
        <f t="shared" si="12"/>
        <v>2</v>
      </c>
      <c r="AG22" s="54">
        <f t="shared" si="7"/>
        <v>0</v>
      </c>
      <c r="AH22" s="32" t="str">
        <f t="shared" si="13"/>
        <v/>
      </c>
      <c r="AI22" s="50"/>
      <c r="AJ22" s="50">
        <v>1</v>
      </c>
      <c r="AK22" s="50">
        <v>2</v>
      </c>
      <c r="AL22" s="50">
        <v>2</v>
      </c>
      <c r="AM22" s="50">
        <v>2</v>
      </c>
      <c r="AN22" s="50">
        <v>2</v>
      </c>
      <c r="AO22" s="50">
        <v>0</v>
      </c>
      <c r="AP22" s="50">
        <v>0</v>
      </c>
      <c r="AQ22" s="50">
        <v>0</v>
      </c>
      <c r="AR22" s="50">
        <v>2</v>
      </c>
      <c r="AU22" s="39"/>
      <c r="AW22" s="39"/>
    </row>
    <row r="23" spans="1:49" x14ac:dyDescent="0.25">
      <c r="A23" s="40"/>
      <c r="B23" s="41">
        <v>5207</v>
      </c>
      <c r="C23" s="40" t="s">
        <v>58</v>
      </c>
      <c r="D23" s="42">
        <v>35598705</v>
      </c>
      <c r="E23" s="42">
        <v>40423777</v>
      </c>
      <c r="F23" s="42">
        <v>50801774</v>
      </c>
      <c r="G23" s="42">
        <v>67801541</v>
      </c>
      <c r="H23" s="42">
        <f t="shared" si="8"/>
        <v>48656449</v>
      </c>
      <c r="I23" s="42">
        <v>3130685.3000000017</v>
      </c>
      <c r="J23" s="43">
        <f t="shared" si="0"/>
        <v>6.4342658873441455E-2</v>
      </c>
      <c r="K23" s="44">
        <v>52301121.079999998</v>
      </c>
      <c r="L23" s="45">
        <f t="shared" si="1"/>
        <v>1.0749062489126568</v>
      </c>
      <c r="M23" s="42">
        <v>1298144</v>
      </c>
      <c r="N23" s="45">
        <f t="shared" si="9"/>
        <v>1.9146231499369608E-2</v>
      </c>
      <c r="O23" s="44">
        <v>10691218</v>
      </c>
      <c r="P23" s="44">
        <v>6454137</v>
      </c>
      <c r="Q23" s="44">
        <v>-7354996</v>
      </c>
      <c r="R23" s="46">
        <v>0.80908999999999998</v>
      </c>
      <c r="S23" s="46">
        <v>0.77073000000000003</v>
      </c>
      <c r="T23" s="47">
        <f t="shared" si="10"/>
        <v>0.78990000000000005</v>
      </c>
      <c r="U23" s="48">
        <v>0</v>
      </c>
      <c r="V23" s="45">
        <f t="shared" si="2"/>
        <v>0</v>
      </c>
      <c r="W23" s="49"/>
      <c r="X23" s="50"/>
      <c r="Y23" s="51"/>
      <c r="Z23" s="52"/>
      <c r="AA23" s="45" t="str">
        <f t="shared" si="3"/>
        <v/>
      </c>
      <c r="AB23" s="45">
        <f t="shared" si="4"/>
        <v>1.0749062489126568</v>
      </c>
      <c r="AC23" s="45" t="str">
        <f t="shared" si="5"/>
        <v/>
      </c>
      <c r="AD23" s="53" t="str">
        <f t="shared" si="11"/>
        <v/>
      </c>
      <c r="AE23" s="45" t="str">
        <f t="shared" si="6"/>
        <v/>
      </c>
      <c r="AF23" s="36">
        <f t="shared" si="12"/>
        <v>1</v>
      </c>
      <c r="AG23" s="54">
        <f t="shared" si="7"/>
        <v>0</v>
      </c>
      <c r="AH23" s="32" t="str">
        <f t="shared" si="13"/>
        <v/>
      </c>
      <c r="AI23" s="50"/>
      <c r="AJ23" s="50">
        <v>1</v>
      </c>
      <c r="AK23" s="50">
        <v>1</v>
      </c>
      <c r="AL23" s="50">
        <v>0</v>
      </c>
      <c r="AM23" s="50">
        <v>1</v>
      </c>
      <c r="AN23" s="50">
        <v>1</v>
      </c>
      <c r="AO23" s="50">
        <v>0</v>
      </c>
      <c r="AP23" s="50">
        <v>2</v>
      </c>
      <c r="AQ23" s="50">
        <v>2</v>
      </c>
      <c r="AR23" s="50">
        <v>2</v>
      </c>
      <c r="AU23" s="39"/>
      <c r="AW23" s="39"/>
    </row>
    <row r="24" spans="1:49" x14ac:dyDescent="0.25">
      <c r="A24" s="40"/>
      <c r="B24" s="41">
        <v>5208</v>
      </c>
      <c r="C24" s="40" t="s">
        <v>59</v>
      </c>
      <c r="D24" s="42">
        <v>14980789</v>
      </c>
      <c r="E24" s="42">
        <v>22125648</v>
      </c>
      <c r="F24" s="42">
        <v>27750518</v>
      </c>
      <c r="G24" s="42">
        <v>26393046</v>
      </c>
      <c r="H24" s="42">
        <f t="shared" si="8"/>
        <v>22812500</v>
      </c>
      <c r="I24" s="42">
        <v>3642885.2500000019</v>
      </c>
      <c r="J24" s="43">
        <f t="shared" si="0"/>
        <v>0.15968812054794529</v>
      </c>
      <c r="K24" s="44">
        <v>6776897.8000000017</v>
      </c>
      <c r="L24" s="45">
        <f t="shared" si="1"/>
        <v>0.29706949260273979</v>
      </c>
      <c r="M24" s="42">
        <v>2202207</v>
      </c>
      <c r="N24" s="45">
        <f t="shared" si="9"/>
        <v>8.3438910385712967E-2</v>
      </c>
      <c r="O24" s="44">
        <v>1531402</v>
      </c>
      <c r="P24" s="44">
        <v>94179</v>
      </c>
      <c r="Q24" s="44">
        <v>-5111066</v>
      </c>
      <c r="R24" s="46">
        <v>0.83228000000000002</v>
      </c>
      <c r="S24" s="46">
        <v>0.77622000000000002</v>
      </c>
      <c r="T24" s="47">
        <f t="shared" si="10"/>
        <v>0.80430000000000001</v>
      </c>
      <c r="U24" s="48">
        <v>0</v>
      </c>
      <c r="V24" s="45">
        <f t="shared" si="2"/>
        <v>0</v>
      </c>
      <c r="W24" s="49"/>
      <c r="X24" s="50"/>
      <c r="Y24" s="51"/>
      <c r="Z24" s="52"/>
      <c r="AA24" s="45">
        <f t="shared" si="3"/>
        <v>0.15968812054794529</v>
      </c>
      <c r="AB24" s="45" t="str">
        <f t="shared" si="4"/>
        <v/>
      </c>
      <c r="AC24" s="45">
        <f t="shared" si="5"/>
        <v>8.3438910385712967E-2</v>
      </c>
      <c r="AD24" s="53" t="str">
        <f t="shared" si="11"/>
        <v/>
      </c>
      <c r="AE24" s="45" t="str">
        <f t="shared" si="6"/>
        <v/>
      </c>
      <c r="AF24" s="36">
        <f t="shared" si="12"/>
        <v>2</v>
      </c>
      <c r="AG24" s="54">
        <f t="shared" si="7"/>
        <v>0</v>
      </c>
      <c r="AH24" s="32" t="str">
        <f t="shared" si="13"/>
        <v/>
      </c>
      <c r="AI24" s="50"/>
      <c r="AJ24" s="50">
        <v>1</v>
      </c>
      <c r="AK24" s="50">
        <v>1</v>
      </c>
      <c r="AL24" s="50">
        <v>0</v>
      </c>
      <c r="AM24" s="50">
        <v>0</v>
      </c>
      <c r="AN24" s="50">
        <v>1</v>
      </c>
      <c r="AO24" s="50">
        <v>0</v>
      </c>
      <c r="AP24" s="50">
        <v>0</v>
      </c>
      <c r="AQ24" s="50">
        <v>0</v>
      </c>
      <c r="AR24" s="50">
        <v>2</v>
      </c>
      <c r="AU24" s="39"/>
      <c r="AW24" s="39"/>
    </row>
    <row r="25" spans="1:49" x14ac:dyDescent="0.25">
      <c r="A25" s="40"/>
      <c r="B25" s="41">
        <v>5209</v>
      </c>
      <c r="C25" s="40" t="s">
        <v>60</v>
      </c>
      <c r="D25" s="42">
        <v>29271891</v>
      </c>
      <c r="E25" s="42">
        <v>32569472</v>
      </c>
      <c r="F25" s="42">
        <v>39058614</v>
      </c>
      <c r="G25" s="42">
        <v>45944714</v>
      </c>
      <c r="H25" s="42">
        <f t="shared" si="8"/>
        <v>36711173</v>
      </c>
      <c r="I25" s="42">
        <v>170019.92999999964</v>
      </c>
      <c r="J25" s="43">
        <f t="shared" si="0"/>
        <v>4.6312856851509383E-3</v>
      </c>
      <c r="K25" s="44">
        <v>8162382.6500000004</v>
      </c>
      <c r="L25" s="45">
        <f t="shared" si="1"/>
        <v>0.22234055691982385</v>
      </c>
      <c r="M25" s="42">
        <v>0</v>
      </c>
      <c r="N25" s="45">
        <f t="shared" si="9"/>
        <v>0</v>
      </c>
      <c r="O25" s="44">
        <v>2033289</v>
      </c>
      <c r="P25" s="44">
        <v>2033190</v>
      </c>
      <c r="Q25" s="44">
        <v>-3331098</v>
      </c>
      <c r="R25" s="46">
        <v>0.83974000000000004</v>
      </c>
      <c r="S25" s="46">
        <v>0.81361000000000006</v>
      </c>
      <c r="T25" s="47">
        <f t="shared" si="10"/>
        <v>0.82669999999999999</v>
      </c>
      <c r="U25" s="48">
        <v>0</v>
      </c>
      <c r="V25" s="45">
        <f t="shared" si="2"/>
        <v>0</v>
      </c>
      <c r="W25" s="49"/>
      <c r="X25" s="50"/>
      <c r="Y25" s="51"/>
      <c r="Z25" s="52"/>
      <c r="AA25" s="45" t="str">
        <f t="shared" si="3"/>
        <v/>
      </c>
      <c r="AB25" s="45" t="str">
        <f t="shared" si="4"/>
        <v/>
      </c>
      <c r="AC25" s="45" t="str">
        <f t="shared" si="5"/>
        <v/>
      </c>
      <c r="AD25" s="53" t="str">
        <f t="shared" si="11"/>
        <v/>
      </c>
      <c r="AE25" s="45" t="str">
        <f t="shared" si="6"/>
        <v/>
      </c>
      <c r="AF25" s="36">
        <f t="shared" si="12"/>
        <v>0</v>
      </c>
      <c r="AG25" s="54">
        <f t="shared" si="7"/>
        <v>0</v>
      </c>
      <c r="AH25" s="32" t="str">
        <f t="shared" si="13"/>
        <v/>
      </c>
      <c r="AI25" s="50"/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U25" s="39"/>
      <c r="AW25" s="39"/>
    </row>
    <row r="26" spans="1:49" x14ac:dyDescent="0.25">
      <c r="A26" s="40"/>
      <c r="B26" s="41">
        <v>5210</v>
      </c>
      <c r="C26" s="40" t="s">
        <v>61</v>
      </c>
      <c r="D26" s="42">
        <v>22622071</v>
      </c>
      <c r="E26" s="42">
        <v>27903868</v>
      </c>
      <c r="F26" s="42">
        <v>34058777</v>
      </c>
      <c r="G26" s="42">
        <v>39667113</v>
      </c>
      <c r="H26" s="42">
        <f t="shared" si="8"/>
        <v>31062957</v>
      </c>
      <c r="I26" s="42">
        <v>1830433.7299999984</v>
      </c>
      <c r="J26" s="43">
        <f t="shared" si="0"/>
        <v>5.8926577080218034E-2</v>
      </c>
      <c r="K26" s="44">
        <v>34515783.239999995</v>
      </c>
      <c r="L26" s="45">
        <f t="shared" si="1"/>
        <v>1.1111557486301125</v>
      </c>
      <c r="M26" s="42">
        <v>0</v>
      </c>
      <c r="N26" s="45">
        <f t="shared" si="9"/>
        <v>0</v>
      </c>
      <c r="O26" s="44">
        <v>3697952</v>
      </c>
      <c r="P26" s="44">
        <v>1304530</v>
      </c>
      <c r="Q26" s="44">
        <v>344836</v>
      </c>
      <c r="R26" s="46">
        <v>0.85863</v>
      </c>
      <c r="S26" s="46">
        <v>0.73860000000000003</v>
      </c>
      <c r="T26" s="47">
        <f t="shared" si="10"/>
        <v>0.79859999999999998</v>
      </c>
      <c r="U26" s="48">
        <v>0</v>
      </c>
      <c r="V26" s="45">
        <f t="shared" si="2"/>
        <v>0</v>
      </c>
      <c r="W26" s="49"/>
      <c r="X26" s="50"/>
      <c r="Y26" s="51">
        <v>0.15529999999999999</v>
      </c>
      <c r="Z26" s="52"/>
      <c r="AA26" s="45" t="str">
        <f t="shared" si="3"/>
        <v/>
      </c>
      <c r="AB26" s="45">
        <f t="shared" si="4"/>
        <v>1.1111557486301125</v>
      </c>
      <c r="AC26" s="45" t="str">
        <f t="shared" si="5"/>
        <v/>
      </c>
      <c r="AD26" s="53" t="str">
        <f t="shared" si="11"/>
        <v/>
      </c>
      <c r="AE26" s="45" t="str">
        <f t="shared" si="6"/>
        <v/>
      </c>
      <c r="AF26" s="36">
        <f t="shared" si="12"/>
        <v>2</v>
      </c>
      <c r="AG26" s="54">
        <f t="shared" si="7"/>
        <v>0</v>
      </c>
      <c r="AH26" s="32" t="str">
        <f t="shared" si="13"/>
        <v/>
      </c>
      <c r="AI26" s="50"/>
      <c r="AJ26" s="50">
        <v>1</v>
      </c>
      <c r="AK26" s="50">
        <v>1</v>
      </c>
      <c r="AL26" s="50">
        <v>0</v>
      </c>
      <c r="AM26" s="50">
        <v>1</v>
      </c>
      <c r="AN26" s="50">
        <v>4</v>
      </c>
      <c r="AO26" s="50">
        <v>5</v>
      </c>
      <c r="AP26" s="50">
        <v>2</v>
      </c>
      <c r="AQ26" s="50">
        <v>4</v>
      </c>
      <c r="AR26" s="50">
        <v>2</v>
      </c>
      <c r="AU26" s="39"/>
      <c r="AW26" s="39"/>
    </row>
    <row r="27" spans="1:49" x14ac:dyDescent="0.25">
      <c r="A27" s="40"/>
      <c r="B27" s="41">
        <v>5211</v>
      </c>
      <c r="C27" s="40" t="s">
        <v>62</v>
      </c>
      <c r="D27" s="42">
        <v>22142709</v>
      </c>
      <c r="E27" s="42">
        <v>31691944</v>
      </c>
      <c r="F27" s="42">
        <v>34745047</v>
      </c>
      <c r="G27" s="42">
        <v>38831495</v>
      </c>
      <c r="H27" s="42">
        <f t="shared" si="8"/>
        <v>31852799</v>
      </c>
      <c r="I27" s="42">
        <v>8734143.8400000017</v>
      </c>
      <c r="J27" s="43">
        <f t="shared" si="0"/>
        <v>0.27420333892792281</v>
      </c>
      <c r="K27" s="44">
        <v>9258680.0400000028</v>
      </c>
      <c r="L27" s="45">
        <f t="shared" si="1"/>
        <v>0.29067084622610412</v>
      </c>
      <c r="M27" s="42">
        <v>649298</v>
      </c>
      <c r="N27" s="45">
        <f t="shared" si="9"/>
        <v>1.6720911723846842E-2</v>
      </c>
      <c r="O27" s="44">
        <v>1656007</v>
      </c>
      <c r="P27" s="44">
        <v>1100963</v>
      </c>
      <c r="Q27" s="44">
        <v>-2811436</v>
      </c>
      <c r="R27" s="46">
        <v>0.90017999999999998</v>
      </c>
      <c r="S27" s="46">
        <v>0.72016000000000002</v>
      </c>
      <c r="T27" s="47">
        <f t="shared" si="10"/>
        <v>0.81020000000000003</v>
      </c>
      <c r="U27" s="48">
        <v>0</v>
      </c>
      <c r="V27" s="45">
        <f t="shared" si="2"/>
        <v>0</v>
      </c>
      <c r="W27" s="49"/>
      <c r="X27" s="50"/>
      <c r="Y27" s="51"/>
      <c r="Z27" s="52"/>
      <c r="AA27" s="45">
        <f t="shared" si="3"/>
        <v>0.27420333892792281</v>
      </c>
      <c r="AB27" s="45" t="str">
        <f t="shared" si="4"/>
        <v/>
      </c>
      <c r="AC27" s="45" t="str">
        <f t="shared" si="5"/>
        <v/>
      </c>
      <c r="AD27" s="53" t="str">
        <f t="shared" si="11"/>
        <v/>
      </c>
      <c r="AE27" s="45" t="str">
        <f t="shared" si="6"/>
        <v/>
      </c>
      <c r="AF27" s="36">
        <f t="shared" si="12"/>
        <v>1</v>
      </c>
      <c r="AG27" s="54">
        <f t="shared" si="7"/>
        <v>0</v>
      </c>
      <c r="AH27" s="32" t="str">
        <f t="shared" si="13"/>
        <v/>
      </c>
      <c r="AI27" s="50"/>
      <c r="AJ27" s="50">
        <v>1</v>
      </c>
      <c r="AK27" s="50">
        <v>0</v>
      </c>
      <c r="AL27" s="50">
        <v>0</v>
      </c>
      <c r="AM27" s="50">
        <v>0</v>
      </c>
      <c r="AN27" s="50">
        <v>1</v>
      </c>
      <c r="AO27" s="50">
        <v>1</v>
      </c>
      <c r="AP27" s="50">
        <v>1</v>
      </c>
      <c r="AQ27" s="50">
        <v>1</v>
      </c>
      <c r="AR27" s="50">
        <v>1</v>
      </c>
      <c r="AU27" s="39"/>
      <c r="AW27" s="39"/>
    </row>
    <row r="28" spans="1:49" x14ac:dyDescent="0.25">
      <c r="A28" s="40"/>
      <c r="B28" s="41">
        <v>5212</v>
      </c>
      <c r="C28" s="40" t="s">
        <v>63</v>
      </c>
      <c r="D28" s="42">
        <v>16772108</v>
      </c>
      <c r="E28" s="42">
        <v>20773489</v>
      </c>
      <c r="F28" s="42">
        <v>29064047</v>
      </c>
      <c r="G28" s="42">
        <v>36665456</v>
      </c>
      <c r="H28" s="42">
        <f t="shared" si="8"/>
        <v>25818775</v>
      </c>
      <c r="I28" s="42">
        <v>2186279.61</v>
      </c>
      <c r="J28" s="43">
        <f t="shared" si="0"/>
        <v>8.4677898544760544E-2</v>
      </c>
      <c r="K28" s="44">
        <v>16874753.73</v>
      </c>
      <c r="L28" s="45">
        <f t="shared" si="1"/>
        <v>0.65358459996649731</v>
      </c>
      <c r="M28" s="42">
        <v>861724</v>
      </c>
      <c r="N28" s="45">
        <f t="shared" si="9"/>
        <v>2.3502339640887052E-2</v>
      </c>
      <c r="O28" s="44">
        <v>5115503</v>
      </c>
      <c r="P28" s="44">
        <v>-109071</v>
      </c>
      <c r="Q28" s="44">
        <v>-6135428</v>
      </c>
      <c r="R28" s="46">
        <v>0.80613000000000001</v>
      </c>
      <c r="S28" s="46">
        <v>0.75126000000000004</v>
      </c>
      <c r="T28" s="47">
        <f t="shared" si="10"/>
        <v>0.77869999999999995</v>
      </c>
      <c r="U28" s="48">
        <v>81302</v>
      </c>
      <c r="V28" s="45">
        <f t="shared" si="2"/>
        <v>2.2174004872597248E-3</v>
      </c>
      <c r="W28" s="49"/>
      <c r="X28" s="50"/>
      <c r="Y28" s="51"/>
      <c r="Z28" s="52"/>
      <c r="AA28" s="45" t="str">
        <f t="shared" si="3"/>
        <v/>
      </c>
      <c r="AB28" s="45">
        <f t="shared" si="4"/>
        <v>0.65358459996649731</v>
      </c>
      <c r="AC28" s="45" t="str">
        <f t="shared" si="5"/>
        <v/>
      </c>
      <c r="AD28" s="53" t="str">
        <f t="shared" si="11"/>
        <v/>
      </c>
      <c r="AE28" s="45" t="str">
        <f t="shared" si="6"/>
        <v/>
      </c>
      <c r="AF28" s="36">
        <f t="shared" si="12"/>
        <v>1</v>
      </c>
      <c r="AG28" s="54">
        <f t="shared" si="7"/>
        <v>0</v>
      </c>
      <c r="AH28" s="32" t="str">
        <f t="shared" si="13"/>
        <v/>
      </c>
      <c r="AI28" s="50"/>
      <c r="AJ28" s="50">
        <v>2</v>
      </c>
      <c r="AK28" s="50">
        <v>1</v>
      </c>
      <c r="AL28" s="50">
        <v>1</v>
      </c>
      <c r="AM28" s="50">
        <v>2</v>
      </c>
      <c r="AN28" s="50">
        <v>2</v>
      </c>
      <c r="AO28" s="50">
        <v>2</v>
      </c>
      <c r="AP28" s="50">
        <v>2</v>
      </c>
      <c r="AQ28" s="50">
        <v>4</v>
      </c>
      <c r="AR28" s="50">
        <v>2</v>
      </c>
      <c r="AU28" s="39"/>
      <c r="AW28" s="39"/>
    </row>
    <row r="29" spans="1:49" x14ac:dyDescent="0.25">
      <c r="A29" s="40"/>
      <c r="B29" s="41">
        <v>5213</v>
      </c>
      <c r="C29" s="40" t="s">
        <v>64</v>
      </c>
      <c r="D29" s="42">
        <v>16931902</v>
      </c>
      <c r="E29" s="42">
        <v>20135478</v>
      </c>
      <c r="F29" s="42">
        <v>41123022</v>
      </c>
      <c r="G29" s="42">
        <v>51870912</v>
      </c>
      <c r="H29" s="42">
        <f t="shared" si="8"/>
        <v>32515329</v>
      </c>
      <c r="I29" s="42">
        <v>8993496.9400000013</v>
      </c>
      <c r="J29" s="43">
        <f t="shared" si="0"/>
        <v>0.27659252471349749</v>
      </c>
      <c r="K29" s="44">
        <v>53425294.749999993</v>
      </c>
      <c r="L29" s="45">
        <f t="shared" si="1"/>
        <v>1.6430802453205993</v>
      </c>
      <c r="M29" s="42">
        <v>1606538</v>
      </c>
      <c r="N29" s="45">
        <f t="shared" si="9"/>
        <v>3.0971847959796812E-2</v>
      </c>
      <c r="O29" s="44">
        <v>7464438</v>
      </c>
      <c r="P29" s="44">
        <v>26785562</v>
      </c>
      <c r="Q29" s="44">
        <v>-23942064</v>
      </c>
      <c r="R29" s="46">
        <v>0.87143000000000004</v>
      </c>
      <c r="S29" s="46">
        <v>0.78244999999999998</v>
      </c>
      <c r="T29" s="47">
        <f t="shared" si="10"/>
        <v>0.82689999999999997</v>
      </c>
      <c r="U29" s="48">
        <v>231806</v>
      </c>
      <c r="V29" s="45">
        <f t="shared" si="2"/>
        <v>4.4689015685708397E-3</v>
      </c>
      <c r="W29" s="49"/>
      <c r="X29" s="50"/>
      <c r="Y29" s="51"/>
      <c r="Z29" s="52"/>
      <c r="AA29" s="45">
        <f t="shared" si="3"/>
        <v>0.27659252471349749</v>
      </c>
      <c r="AB29" s="45">
        <f t="shared" si="4"/>
        <v>1.6430802453205993</v>
      </c>
      <c r="AC29" s="45" t="str">
        <f t="shared" si="5"/>
        <v/>
      </c>
      <c r="AD29" s="53" t="str">
        <f t="shared" si="11"/>
        <v/>
      </c>
      <c r="AE29" s="45" t="str">
        <f t="shared" si="6"/>
        <v/>
      </c>
      <c r="AF29" s="36">
        <f t="shared" si="12"/>
        <v>2</v>
      </c>
      <c r="AG29" s="54">
        <f t="shared" si="7"/>
        <v>0</v>
      </c>
      <c r="AH29" s="32" t="str">
        <f t="shared" si="13"/>
        <v/>
      </c>
      <c r="AI29" s="50"/>
      <c r="AJ29" s="50">
        <v>1</v>
      </c>
      <c r="AK29" s="50">
        <v>1</v>
      </c>
      <c r="AL29" s="50">
        <v>1</v>
      </c>
      <c r="AM29" s="50">
        <v>0</v>
      </c>
      <c r="AN29" s="50">
        <v>2</v>
      </c>
      <c r="AO29" s="50">
        <v>0</v>
      </c>
      <c r="AP29" s="50">
        <v>0</v>
      </c>
      <c r="AQ29" s="50">
        <v>0</v>
      </c>
      <c r="AR29" s="50">
        <v>1</v>
      </c>
      <c r="AU29" s="39"/>
      <c r="AW29" s="39"/>
    </row>
    <row r="30" spans="1:49" x14ac:dyDescent="0.25">
      <c r="A30" s="40" t="s">
        <v>65</v>
      </c>
      <c r="B30" s="41">
        <v>5301</v>
      </c>
      <c r="C30" s="40" t="s">
        <v>66</v>
      </c>
      <c r="D30" s="42">
        <v>12432536</v>
      </c>
      <c r="E30" s="42">
        <v>13323437</v>
      </c>
      <c r="F30" s="42">
        <v>14961101</v>
      </c>
      <c r="G30" s="42">
        <v>23204619</v>
      </c>
      <c r="H30" s="42">
        <f t="shared" si="8"/>
        <v>15980423</v>
      </c>
      <c r="I30" s="42">
        <v>3623732.4999999981</v>
      </c>
      <c r="J30" s="43">
        <f t="shared" si="0"/>
        <v>0.22676073718449119</v>
      </c>
      <c r="K30" s="44">
        <v>7870583.7599999998</v>
      </c>
      <c r="L30" s="45">
        <f t="shared" si="1"/>
        <v>0.49251410679179142</v>
      </c>
      <c r="M30" s="42">
        <v>636251</v>
      </c>
      <c r="N30" s="45">
        <f t="shared" si="9"/>
        <v>2.7419153057414991E-2</v>
      </c>
      <c r="O30" s="44">
        <v>1991257</v>
      </c>
      <c r="P30" s="44">
        <v>475276</v>
      </c>
      <c r="Q30" s="44">
        <v>-192324</v>
      </c>
      <c r="R30" s="46">
        <v>0.84616000000000002</v>
      </c>
      <c r="S30" s="46">
        <v>0.71875999999999995</v>
      </c>
      <c r="T30" s="47">
        <f t="shared" si="10"/>
        <v>0.78249999999999997</v>
      </c>
      <c r="U30" s="48">
        <v>0</v>
      </c>
      <c r="V30" s="45">
        <f t="shared" si="2"/>
        <v>0</v>
      </c>
      <c r="W30" s="49"/>
      <c r="X30" s="50"/>
      <c r="Y30" s="51"/>
      <c r="Z30" s="52"/>
      <c r="AA30" s="45">
        <f t="shared" si="3"/>
        <v>0.22676073718449119</v>
      </c>
      <c r="AB30" s="45" t="str">
        <f t="shared" si="4"/>
        <v/>
      </c>
      <c r="AC30" s="45" t="str">
        <f t="shared" si="5"/>
        <v/>
      </c>
      <c r="AD30" s="53" t="str">
        <f t="shared" si="11"/>
        <v/>
      </c>
      <c r="AE30" s="45" t="str">
        <f t="shared" si="6"/>
        <v/>
      </c>
      <c r="AF30" s="36">
        <f t="shared" si="12"/>
        <v>1</v>
      </c>
      <c r="AG30" s="54">
        <f t="shared" si="7"/>
        <v>0</v>
      </c>
      <c r="AH30" s="32" t="str">
        <f t="shared" si="13"/>
        <v/>
      </c>
      <c r="AI30" s="50"/>
      <c r="AJ30" s="50">
        <v>2</v>
      </c>
      <c r="AK30" s="50">
        <v>0</v>
      </c>
      <c r="AL30" s="50">
        <v>0</v>
      </c>
      <c r="AM30" s="50">
        <v>0</v>
      </c>
      <c r="AN30" s="50">
        <v>3</v>
      </c>
      <c r="AO30" s="50">
        <v>0</v>
      </c>
      <c r="AP30" s="50">
        <v>0</v>
      </c>
      <c r="AQ30" s="50">
        <v>0</v>
      </c>
      <c r="AR30" s="50">
        <v>0</v>
      </c>
      <c r="AU30" s="39"/>
      <c r="AW30" s="39"/>
    </row>
    <row r="31" spans="1:49" x14ac:dyDescent="0.25">
      <c r="A31" s="40"/>
      <c r="B31" s="41">
        <v>5302</v>
      </c>
      <c r="C31" s="40" t="s">
        <v>67</v>
      </c>
      <c r="D31" s="42">
        <v>27253635</v>
      </c>
      <c r="E31" s="42">
        <v>32125163</v>
      </c>
      <c r="F31" s="42">
        <v>42096934</v>
      </c>
      <c r="G31" s="42">
        <v>52569606</v>
      </c>
      <c r="H31" s="42">
        <f t="shared" si="8"/>
        <v>38511335</v>
      </c>
      <c r="I31" s="42">
        <v>6800000.7799999975</v>
      </c>
      <c r="J31" s="43">
        <f t="shared" si="0"/>
        <v>0.17657141150780667</v>
      </c>
      <c r="K31" s="44">
        <v>33191836.609999999</v>
      </c>
      <c r="L31" s="45">
        <f t="shared" si="1"/>
        <v>0.86187187772119556</v>
      </c>
      <c r="M31" s="42">
        <v>640548</v>
      </c>
      <c r="N31" s="45">
        <f t="shared" si="9"/>
        <v>1.2184759383587544E-2</v>
      </c>
      <c r="O31" s="44">
        <v>379007</v>
      </c>
      <c r="P31" s="44">
        <v>-2377679</v>
      </c>
      <c r="Q31" s="44">
        <v>-4589938</v>
      </c>
      <c r="R31" s="46">
        <v>0.79117999999999999</v>
      </c>
      <c r="S31" s="46">
        <v>0.74668000000000001</v>
      </c>
      <c r="T31" s="47">
        <f t="shared" si="10"/>
        <v>0.76890000000000003</v>
      </c>
      <c r="U31" s="48">
        <v>0</v>
      </c>
      <c r="V31" s="45">
        <f t="shared" si="2"/>
        <v>0</v>
      </c>
      <c r="W31" s="49"/>
      <c r="X31" s="50"/>
      <c r="Y31" s="51"/>
      <c r="Z31" s="52"/>
      <c r="AA31" s="45">
        <f t="shared" si="3"/>
        <v>0.17657141150780667</v>
      </c>
      <c r="AB31" s="45">
        <f t="shared" si="4"/>
        <v>0.86187187772119556</v>
      </c>
      <c r="AC31" s="45" t="str">
        <f t="shared" si="5"/>
        <v/>
      </c>
      <c r="AD31" s="53" t="str">
        <f t="shared" si="11"/>
        <v/>
      </c>
      <c r="AE31" s="45" t="str">
        <f t="shared" si="6"/>
        <v/>
      </c>
      <c r="AF31" s="36">
        <f t="shared" si="12"/>
        <v>2</v>
      </c>
      <c r="AG31" s="54">
        <f t="shared" si="7"/>
        <v>0</v>
      </c>
      <c r="AH31" s="32" t="str">
        <f t="shared" si="13"/>
        <v/>
      </c>
      <c r="AI31" s="50"/>
      <c r="AJ31" s="50">
        <v>1</v>
      </c>
      <c r="AK31" s="50">
        <v>2</v>
      </c>
      <c r="AL31" s="50">
        <v>1</v>
      </c>
      <c r="AM31" s="50">
        <v>1</v>
      </c>
      <c r="AN31" s="50">
        <v>1</v>
      </c>
      <c r="AO31" s="50">
        <v>2</v>
      </c>
      <c r="AP31" s="50">
        <v>0</v>
      </c>
      <c r="AQ31" s="50">
        <v>1</v>
      </c>
      <c r="AR31" s="50">
        <v>1</v>
      </c>
      <c r="AU31" s="39"/>
      <c r="AW31" s="39"/>
    </row>
    <row r="32" spans="1:49" x14ac:dyDescent="0.25">
      <c r="A32" s="40"/>
      <c r="B32" s="41">
        <v>5303</v>
      </c>
      <c r="C32" s="40" t="s">
        <v>68</v>
      </c>
      <c r="D32" s="42">
        <v>15255293</v>
      </c>
      <c r="E32" s="42">
        <v>20664521</v>
      </c>
      <c r="F32" s="42">
        <v>20028646</v>
      </c>
      <c r="G32" s="42">
        <v>24508445</v>
      </c>
      <c r="H32" s="42">
        <f t="shared" si="8"/>
        <v>20114226</v>
      </c>
      <c r="I32" s="42">
        <v>1298359.54</v>
      </c>
      <c r="J32" s="43">
        <f t="shared" si="0"/>
        <v>6.4549316488737879E-2</v>
      </c>
      <c r="K32" s="44">
        <v>8929584.8499999978</v>
      </c>
      <c r="L32" s="45">
        <f t="shared" si="1"/>
        <v>0.44394374658015662</v>
      </c>
      <c r="M32" s="42">
        <v>0</v>
      </c>
      <c r="N32" s="45">
        <f t="shared" si="9"/>
        <v>0</v>
      </c>
      <c r="O32" s="44">
        <v>-1548017</v>
      </c>
      <c r="P32" s="44">
        <v>-339830</v>
      </c>
      <c r="Q32" s="44">
        <v>630009</v>
      </c>
      <c r="R32" s="46">
        <v>0.95477999999999996</v>
      </c>
      <c r="S32" s="46">
        <v>0.7964</v>
      </c>
      <c r="T32" s="47">
        <f t="shared" si="10"/>
        <v>0.87560000000000004</v>
      </c>
      <c r="U32" s="48">
        <v>0</v>
      </c>
      <c r="V32" s="45">
        <f t="shared" si="2"/>
        <v>0</v>
      </c>
      <c r="W32" s="49"/>
      <c r="X32" s="50"/>
      <c r="Y32" s="51"/>
      <c r="Z32" s="52"/>
      <c r="AA32" s="45" t="str">
        <f t="shared" si="3"/>
        <v/>
      </c>
      <c r="AB32" s="45" t="str">
        <f t="shared" si="4"/>
        <v/>
      </c>
      <c r="AC32" s="45" t="str">
        <f t="shared" si="5"/>
        <v/>
      </c>
      <c r="AD32" s="53" t="str">
        <f t="shared" si="11"/>
        <v/>
      </c>
      <c r="AE32" s="45" t="str">
        <f t="shared" si="6"/>
        <v/>
      </c>
      <c r="AF32" s="36">
        <f t="shared" si="12"/>
        <v>0</v>
      </c>
      <c r="AG32" s="54">
        <f t="shared" si="7"/>
        <v>0</v>
      </c>
      <c r="AH32" s="32" t="str">
        <f t="shared" si="13"/>
        <v/>
      </c>
      <c r="AI32" s="50"/>
      <c r="AJ32" s="50">
        <v>0</v>
      </c>
      <c r="AK32" s="50">
        <v>0</v>
      </c>
      <c r="AL32" s="50">
        <v>0</v>
      </c>
      <c r="AM32" s="50">
        <v>0</v>
      </c>
      <c r="AN32" s="50">
        <v>1</v>
      </c>
      <c r="AO32" s="50">
        <v>0</v>
      </c>
      <c r="AP32" s="50">
        <v>1</v>
      </c>
      <c r="AQ32" s="50">
        <v>0</v>
      </c>
      <c r="AR32" s="50">
        <v>1</v>
      </c>
      <c r="AU32" s="39"/>
      <c r="AW32" s="39"/>
    </row>
    <row r="33" spans="1:49" x14ac:dyDescent="0.25">
      <c r="A33" s="40"/>
      <c r="B33" s="41">
        <v>5304</v>
      </c>
      <c r="C33" s="40" t="s">
        <v>69</v>
      </c>
      <c r="D33" s="42">
        <v>8672481</v>
      </c>
      <c r="E33" s="42">
        <v>11607575</v>
      </c>
      <c r="F33" s="42">
        <v>21527960</v>
      </c>
      <c r="G33" s="42">
        <v>18825446</v>
      </c>
      <c r="H33" s="42">
        <f t="shared" si="8"/>
        <v>15158366</v>
      </c>
      <c r="I33" s="42">
        <v>285813.10000000044</v>
      </c>
      <c r="J33" s="43">
        <f t="shared" si="0"/>
        <v>1.8855139135708982E-2</v>
      </c>
      <c r="K33" s="44">
        <v>44721854.519999996</v>
      </c>
      <c r="L33" s="45">
        <f t="shared" si="1"/>
        <v>2.9503083986756882</v>
      </c>
      <c r="M33" s="42">
        <v>0</v>
      </c>
      <c r="N33" s="45">
        <f t="shared" si="9"/>
        <v>0</v>
      </c>
      <c r="O33" s="44">
        <v>998939</v>
      </c>
      <c r="P33" s="44">
        <v>-3718774</v>
      </c>
      <c r="Q33" s="44">
        <v>4582283</v>
      </c>
      <c r="R33" s="46">
        <v>0.76914000000000005</v>
      </c>
      <c r="S33" s="46">
        <v>0.72760000000000002</v>
      </c>
      <c r="T33" s="47">
        <f t="shared" si="10"/>
        <v>0.74839999999999995</v>
      </c>
      <c r="U33" s="48">
        <v>0</v>
      </c>
      <c r="V33" s="45">
        <f t="shared" si="2"/>
        <v>0</v>
      </c>
      <c r="W33" s="49"/>
      <c r="X33" s="50"/>
      <c r="Y33" s="51"/>
      <c r="Z33" s="52"/>
      <c r="AA33" s="45" t="str">
        <f t="shared" si="3"/>
        <v/>
      </c>
      <c r="AB33" s="45">
        <f t="shared" si="4"/>
        <v>2.9503083986756882</v>
      </c>
      <c r="AC33" s="45" t="str">
        <f t="shared" si="5"/>
        <v/>
      </c>
      <c r="AD33" s="53" t="str">
        <f t="shared" si="11"/>
        <v/>
      </c>
      <c r="AE33" s="45">
        <f t="shared" si="6"/>
        <v>0.74839999999999995</v>
      </c>
      <c r="AF33" s="36">
        <f t="shared" si="12"/>
        <v>2</v>
      </c>
      <c r="AG33" s="54">
        <f t="shared" si="7"/>
        <v>0</v>
      </c>
      <c r="AH33" s="32" t="str">
        <f t="shared" si="13"/>
        <v/>
      </c>
      <c r="AI33" s="50"/>
      <c r="AJ33" s="50">
        <v>1</v>
      </c>
      <c r="AK33" s="50">
        <v>2</v>
      </c>
      <c r="AL33" s="50">
        <v>2</v>
      </c>
      <c r="AM33" s="50">
        <v>2</v>
      </c>
      <c r="AN33" s="50">
        <v>1</v>
      </c>
      <c r="AO33" s="50">
        <v>0</v>
      </c>
      <c r="AP33" s="50">
        <v>0</v>
      </c>
      <c r="AQ33" s="50">
        <v>3</v>
      </c>
      <c r="AR33" s="50">
        <v>2</v>
      </c>
      <c r="AU33" s="39"/>
      <c r="AW33" s="39"/>
    </row>
    <row r="34" spans="1:49" x14ac:dyDescent="0.25">
      <c r="A34" s="40"/>
      <c r="B34" s="41">
        <v>5305</v>
      </c>
      <c r="C34" s="40" t="s">
        <v>65</v>
      </c>
      <c r="D34" s="42">
        <v>392217481</v>
      </c>
      <c r="E34" s="42">
        <v>445244390</v>
      </c>
      <c r="F34" s="42">
        <v>577153402</v>
      </c>
      <c r="G34" s="42">
        <v>670151520</v>
      </c>
      <c r="H34" s="42">
        <f t="shared" si="8"/>
        <v>521191698</v>
      </c>
      <c r="I34" s="42">
        <v>27328432.689999998</v>
      </c>
      <c r="J34" s="43">
        <f t="shared" si="0"/>
        <v>5.2434512665625765E-2</v>
      </c>
      <c r="K34" s="44">
        <v>159386059.90999997</v>
      </c>
      <c r="L34" s="45">
        <f t="shared" si="1"/>
        <v>0.30581081878629612</v>
      </c>
      <c r="M34" s="42">
        <v>1563741</v>
      </c>
      <c r="N34" s="45">
        <f t="shared" si="9"/>
        <v>2.3334140911894074E-3</v>
      </c>
      <c r="O34" s="44">
        <v>19884933</v>
      </c>
      <c r="P34" s="44">
        <v>-32648138</v>
      </c>
      <c r="Q34" s="44">
        <v>-51240249</v>
      </c>
      <c r="R34" s="46">
        <v>0.87060999999999999</v>
      </c>
      <c r="S34" s="46">
        <v>0.76060000000000005</v>
      </c>
      <c r="T34" s="47">
        <f t="shared" si="10"/>
        <v>0.81559999999999999</v>
      </c>
      <c r="U34" s="48">
        <v>0</v>
      </c>
      <c r="V34" s="45">
        <f t="shared" si="2"/>
        <v>0</v>
      </c>
      <c r="W34" s="49"/>
      <c r="X34" s="50"/>
      <c r="Y34" s="51"/>
      <c r="Z34" s="52"/>
      <c r="AA34" s="45" t="str">
        <f t="shared" si="3"/>
        <v/>
      </c>
      <c r="AB34" s="45" t="str">
        <f t="shared" si="4"/>
        <v/>
      </c>
      <c r="AC34" s="45" t="str">
        <f t="shared" si="5"/>
        <v/>
      </c>
      <c r="AD34" s="53" t="str">
        <f t="shared" si="11"/>
        <v/>
      </c>
      <c r="AE34" s="45" t="str">
        <f t="shared" si="6"/>
        <v/>
      </c>
      <c r="AF34" s="36">
        <f t="shared" si="12"/>
        <v>0</v>
      </c>
      <c r="AG34" s="54">
        <f t="shared" si="7"/>
        <v>0</v>
      </c>
      <c r="AH34" s="32" t="str">
        <f t="shared" si="13"/>
        <v/>
      </c>
      <c r="AI34" s="50"/>
      <c r="AJ34" s="50">
        <v>0</v>
      </c>
      <c r="AK34" s="50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0">
        <v>0</v>
      </c>
      <c r="AR34" s="50">
        <v>0</v>
      </c>
      <c r="AU34" s="39"/>
      <c r="AW34" s="39"/>
    </row>
    <row r="35" spans="1:49" x14ac:dyDescent="0.25">
      <c r="A35" s="40"/>
      <c r="B35" s="41">
        <v>5306</v>
      </c>
      <c r="C35" s="40" t="s">
        <v>70</v>
      </c>
      <c r="D35" s="42">
        <v>6347124</v>
      </c>
      <c r="E35" s="42">
        <v>9725723</v>
      </c>
      <c r="F35" s="42">
        <v>12414053</v>
      </c>
      <c r="G35" s="42">
        <v>20093927</v>
      </c>
      <c r="H35" s="42">
        <f t="shared" si="8"/>
        <v>12145207</v>
      </c>
      <c r="I35" s="42">
        <v>2078028.790000001</v>
      </c>
      <c r="J35" s="43">
        <f t="shared" si="0"/>
        <v>0.17109867209344401</v>
      </c>
      <c r="K35" s="44">
        <v>2282081.7200000007</v>
      </c>
      <c r="L35" s="45">
        <f t="shared" si="1"/>
        <v>0.18789977972380387</v>
      </c>
      <c r="M35" s="42">
        <v>0</v>
      </c>
      <c r="N35" s="45">
        <f t="shared" si="9"/>
        <v>0</v>
      </c>
      <c r="O35" s="44">
        <v>167266</v>
      </c>
      <c r="P35" s="44">
        <v>5122474</v>
      </c>
      <c r="Q35" s="44">
        <v>-9287360</v>
      </c>
      <c r="R35" s="46">
        <v>0.75241999999999998</v>
      </c>
      <c r="S35" s="46">
        <v>0.59833000000000003</v>
      </c>
      <c r="T35" s="47">
        <f t="shared" si="10"/>
        <v>0.6754</v>
      </c>
      <c r="U35" s="48">
        <v>0</v>
      </c>
      <c r="V35" s="45">
        <f t="shared" si="2"/>
        <v>0</v>
      </c>
      <c r="W35" s="49"/>
      <c r="X35" s="50"/>
      <c r="Y35" s="51"/>
      <c r="Z35" s="52"/>
      <c r="AA35" s="45">
        <f t="shared" si="3"/>
        <v>0.17109867209344401</v>
      </c>
      <c r="AB35" s="45" t="str">
        <f t="shared" si="4"/>
        <v/>
      </c>
      <c r="AC35" s="45" t="str">
        <f t="shared" si="5"/>
        <v/>
      </c>
      <c r="AD35" s="53" t="str">
        <f t="shared" si="11"/>
        <v/>
      </c>
      <c r="AE35" s="45">
        <f t="shared" si="6"/>
        <v>0.6754</v>
      </c>
      <c r="AF35" s="36">
        <f t="shared" si="12"/>
        <v>2</v>
      </c>
      <c r="AG35" s="54">
        <f t="shared" si="7"/>
        <v>0</v>
      </c>
      <c r="AH35" s="32" t="str">
        <f t="shared" si="13"/>
        <v/>
      </c>
      <c r="AI35" s="50"/>
      <c r="AJ35" s="50">
        <v>2</v>
      </c>
      <c r="AK35" s="50">
        <v>2</v>
      </c>
      <c r="AL35" s="50">
        <v>2</v>
      </c>
      <c r="AM35" s="50">
        <v>1</v>
      </c>
      <c r="AN35" s="50">
        <v>2</v>
      </c>
      <c r="AO35" s="50">
        <v>1</v>
      </c>
      <c r="AP35" s="50">
        <v>1</v>
      </c>
      <c r="AQ35" s="50">
        <v>1</v>
      </c>
      <c r="AR35" s="50">
        <v>0</v>
      </c>
      <c r="AU35" s="39"/>
      <c r="AW35" s="39"/>
    </row>
    <row r="36" spans="1:49" x14ac:dyDescent="0.25">
      <c r="A36" s="40"/>
      <c r="B36" s="41">
        <v>5307</v>
      </c>
      <c r="C36" s="40" t="s">
        <v>71</v>
      </c>
      <c r="D36" s="42">
        <v>14303645</v>
      </c>
      <c r="E36" s="42">
        <v>16860034</v>
      </c>
      <c r="F36" s="42">
        <v>17526450</v>
      </c>
      <c r="G36" s="42">
        <v>21256809</v>
      </c>
      <c r="H36" s="42">
        <f t="shared" si="8"/>
        <v>17486735</v>
      </c>
      <c r="I36" s="42">
        <v>2337639.6400000015</v>
      </c>
      <c r="J36" s="43">
        <f t="shared" si="0"/>
        <v>0.13368073799940364</v>
      </c>
      <c r="K36" s="44">
        <v>6499823.6799999997</v>
      </c>
      <c r="L36" s="45">
        <f t="shared" si="1"/>
        <v>0.37170024478554742</v>
      </c>
      <c r="M36" s="42">
        <v>199817</v>
      </c>
      <c r="N36" s="45">
        <f t="shared" si="9"/>
        <v>9.400140914847567E-3</v>
      </c>
      <c r="O36" s="44">
        <v>736341</v>
      </c>
      <c r="P36" s="44">
        <v>519707</v>
      </c>
      <c r="Q36" s="44">
        <v>-44322</v>
      </c>
      <c r="R36" s="46">
        <v>0.72568999999999995</v>
      </c>
      <c r="S36" s="46">
        <v>0.72355999999999998</v>
      </c>
      <c r="T36" s="47">
        <f t="shared" si="10"/>
        <v>0.72460000000000002</v>
      </c>
      <c r="U36" s="48">
        <v>59496</v>
      </c>
      <c r="V36" s="45">
        <f t="shared" si="2"/>
        <v>2.798914926506608E-3</v>
      </c>
      <c r="W36" s="49"/>
      <c r="X36" s="50"/>
      <c r="Y36" s="51"/>
      <c r="Z36" s="52"/>
      <c r="AA36" s="45" t="str">
        <f t="shared" si="3"/>
        <v/>
      </c>
      <c r="AB36" s="45" t="str">
        <f t="shared" si="4"/>
        <v/>
      </c>
      <c r="AC36" s="45" t="str">
        <f t="shared" si="5"/>
        <v/>
      </c>
      <c r="AD36" s="53" t="str">
        <f t="shared" si="11"/>
        <v/>
      </c>
      <c r="AE36" s="45">
        <f t="shared" si="6"/>
        <v>0.72460000000000002</v>
      </c>
      <c r="AF36" s="36">
        <f t="shared" si="12"/>
        <v>1</v>
      </c>
      <c r="AG36" s="54">
        <f t="shared" si="7"/>
        <v>0</v>
      </c>
      <c r="AH36" s="32" t="str">
        <f t="shared" si="13"/>
        <v/>
      </c>
      <c r="AI36" s="50"/>
      <c r="AJ36" s="50">
        <v>1</v>
      </c>
      <c r="AK36" s="50">
        <v>1</v>
      </c>
      <c r="AL36" s="50">
        <v>0</v>
      </c>
      <c r="AM36" s="50">
        <v>0</v>
      </c>
      <c r="AN36" s="50">
        <v>1</v>
      </c>
      <c r="AO36" s="50">
        <v>0</v>
      </c>
      <c r="AP36" s="50">
        <v>2</v>
      </c>
      <c r="AQ36" s="50">
        <v>1</v>
      </c>
      <c r="AR36" s="50">
        <v>0</v>
      </c>
      <c r="AU36" s="39"/>
      <c r="AW36" s="39"/>
    </row>
    <row r="37" spans="1:49" x14ac:dyDescent="0.25">
      <c r="A37" s="40"/>
      <c r="B37" s="41">
        <v>5308</v>
      </c>
      <c r="C37" s="40" t="s">
        <v>72</v>
      </c>
      <c r="D37" s="42">
        <v>11885519</v>
      </c>
      <c r="E37" s="42">
        <v>22300119</v>
      </c>
      <c r="F37" s="42">
        <v>18468252</v>
      </c>
      <c r="G37" s="42">
        <v>23090851</v>
      </c>
      <c r="H37" s="42">
        <f t="shared" si="8"/>
        <v>18936185</v>
      </c>
      <c r="I37" s="42">
        <v>4967029.660000002</v>
      </c>
      <c r="J37" s="43">
        <f t="shared" si="0"/>
        <v>0.26230360867302477</v>
      </c>
      <c r="K37" s="44">
        <v>10296871.66</v>
      </c>
      <c r="L37" s="45">
        <f t="shared" si="1"/>
        <v>0.54376695517074847</v>
      </c>
      <c r="M37" s="42">
        <v>0</v>
      </c>
      <c r="N37" s="45">
        <f t="shared" si="9"/>
        <v>0</v>
      </c>
      <c r="O37" s="44">
        <v>-5326568</v>
      </c>
      <c r="P37" s="44">
        <v>2620545</v>
      </c>
      <c r="Q37" s="44">
        <v>-320699</v>
      </c>
      <c r="R37" s="46">
        <v>0.96340999999999999</v>
      </c>
      <c r="S37" s="46">
        <v>0.73311000000000004</v>
      </c>
      <c r="T37" s="47">
        <f t="shared" si="10"/>
        <v>0.84830000000000005</v>
      </c>
      <c r="U37" s="48">
        <v>0</v>
      </c>
      <c r="V37" s="45">
        <f t="shared" si="2"/>
        <v>0</v>
      </c>
      <c r="W37" s="49"/>
      <c r="X37" s="50"/>
      <c r="Y37" s="51"/>
      <c r="Z37" s="52"/>
      <c r="AA37" s="45">
        <f t="shared" si="3"/>
        <v>0.26230360867302477</v>
      </c>
      <c r="AB37" s="45">
        <f t="shared" si="4"/>
        <v>0.54376695517074847</v>
      </c>
      <c r="AC37" s="45" t="str">
        <f t="shared" si="5"/>
        <v/>
      </c>
      <c r="AD37" s="53" t="str">
        <f t="shared" si="11"/>
        <v/>
      </c>
      <c r="AE37" s="45" t="str">
        <f t="shared" si="6"/>
        <v/>
      </c>
      <c r="AF37" s="36">
        <f t="shared" si="12"/>
        <v>2</v>
      </c>
      <c r="AG37" s="54">
        <f t="shared" si="7"/>
        <v>0</v>
      </c>
      <c r="AH37" s="32" t="str">
        <f t="shared" si="13"/>
        <v/>
      </c>
      <c r="AI37" s="50"/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1</v>
      </c>
      <c r="AP37" s="50">
        <v>0</v>
      </c>
      <c r="AQ37" s="50">
        <v>0</v>
      </c>
      <c r="AR37" s="50">
        <v>2</v>
      </c>
      <c r="AU37" s="39"/>
      <c r="AW37" s="39"/>
    </row>
    <row r="38" spans="1:49" x14ac:dyDescent="0.25">
      <c r="A38" s="40"/>
      <c r="B38" s="41">
        <v>5309</v>
      </c>
      <c r="C38" s="40" t="s">
        <v>73</v>
      </c>
      <c r="D38" s="42">
        <v>24585377</v>
      </c>
      <c r="E38" s="42">
        <v>25173765</v>
      </c>
      <c r="F38" s="42">
        <v>30017385</v>
      </c>
      <c r="G38" s="42">
        <v>37449886</v>
      </c>
      <c r="H38" s="42">
        <f t="shared" si="8"/>
        <v>29306603</v>
      </c>
      <c r="I38" s="42">
        <v>1345613.139999999</v>
      </c>
      <c r="J38" s="43">
        <f t="shared" si="0"/>
        <v>4.5915015807188535E-2</v>
      </c>
      <c r="K38" s="44">
        <v>13224394</v>
      </c>
      <c r="L38" s="45">
        <f t="shared" si="1"/>
        <v>0.45124281377817826</v>
      </c>
      <c r="M38" s="42">
        <v>0</v>
      </c>
      <c r="N38" s="45">
        <f t="shared" si="9"/>
        <v>0</v>
      </c>
      <c r="O38" s="44">
        <v>1501349</v>
      </c>
      <c r="P38" s="44">
        <v>290531</v>
      </c>
      <c r="Q38" s="44">
        <v>149246</v>
      </c>
      <c r="R38" s="46">
        <v>0.70125999999999999</v>
      </c>
      <c r="S38" s="46">
        <v>0.68864000000000003</v>
      </c>
      <c r="T38" s="47">
        <f t="shared" si="10"/>
        <v>0.69499999999999995</v>
      </c>
      <c r="U38" s="48">
        <v>0</v>
      </c>
      <c r="V38" s="45">
        <f t="shared" si="2"/>
        <v>0</v>
      </c>
      <c r="W38" s="49"/>
      <c r="X38" s="50"/>
      <c r="Y38" s="51"/>
      <c r="Z38" s="52"/>
      <c r="AA38" s="45" t="str">
        <f t="shared" si="3"/>
        <v/>
      </c>
      <c r="AB38" s="45" t="str">
        <f t="shared" si="4"/>
        <v/>
      </c>
      <c r="AC38" s="45" t="str">
        <f t="shared" si="5"/>
        <v/>
      </c>
      <c r="AD38" s="53" t="str">
        <f t="shared" si="11"/>
        <v/>
      </c>
      <c r="AE38" s="45">
        <f t="shared" si="6"/>
        <v>0.69499999999999995</v>
      </c>
      <c r="AF38" s="36">
        <f t="shared" si="12"/>
        <v>1</v>
      </c>
      <c r="AG38" s="54">
        <f t="shared" si="7"/>
        <v>0</v>
      </c>
      <c r="AH38" s="32" t="str">
        <f t="shared" si="13"/>
        <v/>
      </c>
      <c r="AI38" s="50"/>
      <c r="AJ38" s="50">
        <v>2</v>
      </c>
      <c r="AK38" s="50">
        <v>2</v>
      </c>
      <c r="AL38" s="50">
        <v>1</v>
      </c>
      <c r="AM38" s="50">
        <v>1</v>
      </c>
      <c r="AN38" s="50">
        <v>2</v>
      </c>
      <c r="AO38" s="50">
        <v>2</v>
      </c>
      <c r="AP38" s="50">
        <v>1</v>
      </c>
      <c r="AQ38" s="50">
        <v>1</v>
      </c>
      <c r="AR38" s="50">
        <v>1</v>
      </c>
      <c r="AU38" s="39"/>
      <c r="AW38" s="39"/>
    </row>
    <row r="39" spans="1:49" x14ac:dyDescent="0.25">
      <c r="A39" s="40"/>
      <c r="B39" s="41">
        <v>5310</v>
      </c>
      <c r="C39" s="40" t="s">
        <v>74</v>
      </c>
      <c r="D39" s="42">
        <v>18794409</v>
      </c>
      <c r="E39" s="42">
        <v>23854014</v>
      </c>
      <c r="F39" s="42">
        <v>23756987</v>
      </c>
      <c r="G39" s="42">
        <v>26179362</v>
      </c>
      <c r="H39" s="42">
        <f t="shared" si="8"/>
        <v>23146193</v>
      </c>
      <c r="I39" s="42">
        <v>2005537.2299999995</v>
      </c>
      <c r="J39" s="43">
        <f t="shared" si="0"/>
        <v>8.6646526709597535E-2</v>
      </c>
      <c r="K39" s="44">
        <v>8022003.7700000005</v>
      </c>
      <c r="L39" s="45">
        <f t="shared" si="1"/>
        <v>0.3465798358287257</v>
      </c>
      <c r="M39" s="42">
        <v>342670</v>
      </c>
      <c r="N39" s="45">
        <f t="shared" si="9"/>
        <v>1.3089318219443239E-2</v>
      </c>
      <c r="O39" s="44">
        <v>-788523</v>
      </c>
      <c r="P39" s="44">
        <v>-1257334</v>
      </c>
      <c r="Q39" s="44">
        <v>751688</v>
      </c>
      <c r="R39" s="46">
        <v>0.78327999999999998</v>
      </c>
      <c r="S39" s="46">
        <v>0.70775999999999994</v>
      </c>
      <c r="T39" s="47">
        <f t="shared" si="10"/>
        <v>0.74550000000000005</v>
      </c>
      <c r="U39" s="48">
        <v>0</v>
      </c>
      <c r="V39" s="45">
        <f t="shared" si="2"/>
        <v>0</v>
      </c>
      <c r="W39" s="49"/>
      <c r="X39" s="50"/>
      <c r="Y39" s="51"/>
      <c r="Z39" s="52"/>
      <c r="AA39" s="45" t="str">
        <f t="shared" si="3"/>
        <v/>
      </c>
      <c r="AB39" s="45" t="str">
        <f t="shared" si="4"/>
        <v/>
      </c>
      <c r="AC39" s="45" t="str">
        <f t="shared" si="5"/>
        <v/>
      </c>
      <c r="AD39" s="53" t="str">
        <f t="shared" si="11"/>
        <v/>
      </c>
      <c r="AE39" s="45">
        <f t="shared" si="6"/>
        <v>0.74550000000000005</v>
      </c>
      <c r="AF39" s="36">
        <f t="shared" si="12"/>
        <v>1</v>
      </c>
      <c r="AG39" s="54">
        <f t="shared" si="7"/>
        <v>0</v>
      </c>
      <c r="AH39" s="32" t="str">
        <f t="shared" si="13"/>
        <v/>
      </c>
      <c r="AI39" s="50"/>
      <c r="AJ39" s="50">
        <v>2</v>
      </c>
      <c r="AK39" s="50">
        <v>1</v>
      </c>
      <c r="AL39" s="50">
        <v>2</v>
      </c>
      <c r="AM39" s="50">
        <v>1</v>
      </c>
      <c r="AN39" s="50">
        <v>2</v>
      </c>
      <c r="AO39" s="50">
        <v>1</v>
      </c>
      <c r="AP39" s="50">
        <v>1</v>
      </c>
      <c r="AQ39" s="50">
        <v>1</v>
      </c>
      <c r="AR39" s="50">
        <v>2</v>
      </c>
      <c r="AU39" s="39"/>
      <c r="AW39" s="39"/>
    </row>
    <row r="40" spans="1:49" x14ac:dyDescent="0.25">
      <c r="A40" s="40"/>
      <c r="B40" s="41">
        <v>5311</v>
      </c>
      <c r="C40" s="40" t="s">
        <v>75</v>
      </c>
      <c r="D40" s="42">
        <v>26414083</v>
      </c>
      <c r="E40" s="42">
        <v>31433075</v>
      </c>
      <c r="F40" s="42">
        <v>34078125</v>
      </c>
      <c r="G40" s="42">
        <v>40231740</v>
      </c>
      <c r="H40" s="42">
        <f t="shared" si="8"/>
        <v>33039256</v>
      </c>
      <c r="I40" s="42">
        <v>384715.96000000194</v>
      </c>
      <c r="J40" s="43">
        <f t="shared" si="0"/>
        <v>1.164420772671158E-2</v>
      </c>
      <c r="K40" s="44">
        <v>12542433.930000003</v>
      </c>
      <c r="L40" s="45">
        <f t="shared" si="1"/>
        <v>0.37962216612868049</v>
      </c>
      <c r="M40" s="42">
        <v>0</v>
      </c>
      <c r="N40" s="45">
        <f t="shared" si="9"/>
        <v>0</v>
      </c>
      <c r="O40" s="44">
        <v>962630</v>
      </c>
      <c r="P40" s="44">
        <v>1859997</v>
      </c>
      <c r="Q40" s="44">
        <v>-1150845</v>
      </c>
      <c r="R40" s="46">
        <v>0.69313999999999998</v>
      </c>
      <c r="S40" s="46">
        <v>0.67798999999999998</v>
      </c>
      <c r="T40" s="47">
        <f t="shared" si="10"/>
        <v>0.68559999999999999</v>
      </c>
      <c r="U40" s="48">
        <v>0</v>
      </c>
      <c r="V40" s="45">
        <f t="shared" si="2"/>
        <v>0</v>
      </c>
      <c r="W40" s="49"/>
      <c r="X40" s="50"/>
      <c r="Y40" s="51"/>
      <c r="Z40" s="52"/>
      <c r="AA40" s="45" t="str">
        <f t="shared" si="3"/>
        <v/>
      </c>
      <c r="AB40" s="45" t="str">
        <f t="shared" si="4"/>
        <v/>
      </c>
      <c r="AC40" s="45" t="str">
        <f t="shared" si="5"/>
        <v/>
      </c>
      <c r="AD40" s="53" t="str">
        <f t="shared" si="11"/>
        <v/>
      </c>
      <c r="AE40" s="45">
        <f t="shared" si="6"/>
        <v>0.68559999999999999</v>
      </c>
      <c r="AF40" s="36">
        <f t="shared" si="12"/>
        <v>1</v>
      </c>
      <c r="AG40" s="54">
        <f t="shared" si="7"/>
        <v>0</v>
      </c>
      <c r="AH40" s="32" t="str">
        <f t="shared" si="13"/>
        <v/>
      </c>
      <c r="AI40" s="50"/>
      <c r="AJ40" s="50">
        <v>1</v>
      </c>
      <c r="AK40" s="50">
        <v>1</v>
      </c>
      <c r="AL40" s="50">
        <v>1</v>
      </c>
      <c r="AM40" s="50">
        <v>2</v>
      </c>
      <c r="AN40" s="50">
        <v>2</v>
      </c>
      <c r="AO40" s="50">
        <v>1</v>
      </c>
      <c r="AP40" s="50">
        <v>1</v>
      </c>
      <c r="AQ40" s="50">
        <v>1</v>
      </c>
      <c r="AR40" s="50">
        <v>0</v>
      </c>
      <c r="AU40" s="39"/>
      <c r="AW40" s="39"/>
    </row>
    <row r="41" spans="1:49" x14ac:dyDescent="0.25">
      <c r="A41" s="40"/>
      <c r="B41" s="41">
        <v>5312</v>
      </c>
      <c r="C41" s="40" t="s">
        <v>76</v>
      </c>
      <c r="D41" s="42">
        <v>13044668</v>
      </c>
      <c r="E41" s="42">
        <v>13947365</v>
      </c>
      <c r="F41" s="42">
        <v>14778297</v>
      </c>
      <c r="G41" s="42">
        <v>20645010</v>
      </c>
      <c r="H41" s="42">
        <f t="shared" si="8"/>
        <v>15603835</v>
      </c>
      <c r="I41" s="42">
        <v>1008324.3999999984</v>
      </c>
      <c r="J41" s="43">
        <f t="shared" si="0"/>
        <v>6.4620293664986742E-2</v>
      </c>
      <c r="K41" s="44">
        <v>17519195.07</v>
      </c>
      <c r="L41" s="45">
        <f t="shared" si="1"/>
        <v>1.1227493157932009</v>
      </c>
      <c r="M41" s="42">
        <v>0</v>
      </c>
      <c r="N41" s="45">
        <f t="shared" si="9"/>
        <v>0</v>
      </c>
      <c r="O41" s="44">
        <v>3198108</v>
      </c>
      <c r="P41" s="44">
        <v>3206141</v>
      </c>
      <c r="Q41" s="44">
        <v>-902306</v>
      </c>
      <c r="R41" s="46">
        <v>0.82538</v>
      </c>
      <c r="S41" s="46">
        <v>0.73362000000000005</v>
      </c>
      <c r="T41" s="47">
        <f t="shared" si="10"/>
        <v>0.77949999999999997</v>
      </c>
      <c r="U41" s="48">
        <v>0</v>
      </c>
      <c r="V41" s="45">
        <f t="shared" si="2"/>
        <v>0</v>
      </c>
      <c r="W41" s="49"/>
      <c r="X41" s="50"/>
      <c r="Y41" s="51"/>
      <c r="Z41" s="52"/>
      <c r="AA41" s="45" t="str">
        <f t="shared" si="3"/>
        <v/>
      </c>
      <c r="AB41" s="45">
        <f t="shared" si="4"/>
        <v>1.1227493157932009</v>
      </c>
      <c r="AC41" s="45" t="str">
        <f t="shared" si="5"/>
        <v/>
      </c>
      <c r="AD41" s="53" t="str">
        <f t="shared" si="11"/>
        <v/>
      </c>
      <c r="AE41" s="45" t="str">
        <f t="shared" si="6"/>
        <v/>
      </c>
      <c r="AF41" s="36">
        <f t="shared" si="12"/>
        <v>1</v>
      </c>
      <c r="AG41" s="54">
        <f t="shared" si="7"/>
        <v>0</v>
      </c>
      <c r="AH41" s="32" t="str">
        <f t="shared" si="13"/>
        <v/>
      </c>
      <c r="AI41" s="50"/>
      <c r="AJ41" s="50">
        <v>1</v>
      </c>
      <c r="AK41" s="50">
        <v>1</v>
      </c>
      <c r="AL41" s="50">
        <v>0</v>
      </c>
      <c r="AM41" s="50">
        <v>0</v>
      </c>
      <c r="AN41" s="50">
        <v>0</v>
      </c>
      <c r="AO41" s="50">
        <v>0</v>
      </c>
      <c r="AP41" s="50">
        <v>0</v>
      </c>
      <c r="AQ41" s="50">
        <v>1</v>
      </c>
      <c r="AR41" s="50">
        <v>2</v>
      </c>
      <c r="AU41" s="39"/>
      <c r="AW41" s="39"/>
    </row>
    <row r="42" spans="1:49" x14ac:dyDescent="0.25">
      <c r="A42" s="40" t="s">
        <v>77</v>
      </c>
      <c r="B42" s="41">
        <v>5401</v>
      </c>
      <c r="C42" s="40" t="s">
        <v>77</v>
      </c>
      <c r="D42" s="42">
        <v>104873865</v>
      </c>
      <c r="E42" s="42">
        <v>123854784</v>
      </c>
      <c r="F42" s="42">
        <v>142990563</v>
      </c>
      <c r="G42" s="42">
        <v>175167292</v>
      </c>
      <c r="H42" s="42">
        <f t="shared" si="8"/>
        <v>136721626</v>
      </c>
      <c r="I42" s="42">
        <v>15706941.120000005</v>
      </c>
      <c r="J42" s="43">
        <f t="shared" si="0"/>
        <v>0.11488263839109114</v>
      </c>
      <c r="K42" s="44">
        <v>51118867.470000006</v>
      </c>
      <c r="L42" s="45">
        <f t="shared" si="1"/>
        <v>0.37389013695609508</v>
      </c>
      <c r="M42" s="42">
        <v>6142863</v>
      </c>
      <c r="N42" s="45">
        <f t="shared" si="9"/>
        <v>3.5068550354708912E-2</v>
      </c>
      <c r="O42" s="44">
        <v>2529348</v>
      </c>
      <c r="P42" s="44">
        <v>-8955256</v>
      </c>
      <c r="Q42" s="44">
        <v>6266214</v>
      </c>
      <c r="R42" s="46">
        <v>0.85082000000000002</v>
      </c>
      <c r="S42" s="46">
        <v>0.80949000000000004</v>
      </c>
      <c r="T42" s="47">
        <f t="shared" si="10"/>
        <v>0.83020000000000005</v>
      </c>
      <c r="U42" s="48">
        <v>0</v>
      </c>
      <c r="V42" s="45">
        <f t="shared" si="2"/>
        <v>0</v>
      </c>
      <c r="W42" s="49"/>
      <c r="X42" s="50"/>
      <c r="Y42" s="51"/>
      <c r="Z42" s="52"/>
      <c r="AA42" s="45" t="str">
        <f t="shared" si="3"/>
        <v/>
      </c>
      <c r="AB42" s="45" t="str">
        <f t="shared" si="4"/>
        <v/>
      </c>
      <c r="AC42" s="45" t="str">
        <f t="shared" si="5"/>
        <v/>
      </c>
      <c r="AD42" s="53" t="str">
        <f t="shared" si="11"/>
        <v/>
      </c>
      <c r="AE42" s="45" t="str">
        <f t="shared" si="6"/>
        <v/>
      </c>
      <c r="AF42" s="36">
        <f t="shared" si="12"/>
        <v>0</v>
      </c>
      <c r="AG42" s="54">
        <f t="shared" si="7"/>
        <v>0</v>
      </c>
      <c r="AH42" s="32" t="str">
        <f t="shared" si="13"/>
        <v/>
      </c>
      <c r="AI42" s="50"/>
      <c r="AJ42" s="50">
        <v>1</v>
      </c>
      <c r="AK42" s="50">
        <v>1</v>
      </c>
      <c r="AL42" s="50">
        <v>1</v>
      </c>
      <c r="AM42" s="50">
        <v>0</v>
      </c>
      <c r="AN42" s="50">
        <v>0</v>
      </c>
      <c r="AO42" s="50">
        <v>0</v>
      </c>
      <c r="AP42" s="50">
        <v>0</v>
      </c>
      <c r="AQ42" s="50">
        <v>1</v>
      </c>
      <c r="AR42" s="50">
        <v>1</v>
      </c>
      <c r="AU42" s="39"/>
      <c r="AW42" s="39"/>
    </row>
    <row r="43" spans="1:49" x14ac:dyDescent="0.25">
      <c r="A43" s="40"/>
      <c r="B43" s="41">
        <v>5402</v>
      </c>
      <c r="C43" s="40" t="s">
        <v>78</v>
      </c>
      <c r="D43" s="42">
        <v>43453285</v>
      </c>
      <c r="E43" s="42">
        <v>48592940</v>
      </c>
      <c r="F43" s="42">
        <v>59592209</v>
      </c>
      <c r="G43" s="42">
        <v>66310308</v>
      </c>
      <c r="H43" s="42">
        <f t="shared" si="8"/>
        <v>54487186</v>
      </c>
      <c r="I43" s="42">
        <v>4906044.0700000012</v>
      </c>
      <c r="J43" s="43">
        <f t="shared" si="0"/>
        <v>9.0040327463415004E-2</v>
      </c>
      <c r="K43" s="44">
        <v>22125428.030000001</v>
      </c>
      <c r="L43" s="45">
        <f t="shared" si="1"/>
        <v>0.40606663060191805</v>
      </c>
      <c r="M43" s="42">
        <v>412016</v>
      </c>
      <c r="N43" s="45">
        <f t="shared" si="9"/>
        <v>6.2134532688341605E-3</v>
      </c>
      <c r="O43" s="44">
        <v>2546007</v>
      </c>
      <c r="P43" s="44">
        <v>-5521471</v>
      </c>
      <c r="Q43" s="44">
        <v>7294218</v>
      </c>
      <c r="R43" s="46">
        <v>0.85984000000000005</v>
      </c>
      <c r="S43" s="46">
        <v>0.75800000000000001</v>
      </c>
      <c r="T43" s="47">
        <f t="shared" si="10"/>
        <v>0.80889999999999995</v>
      </c>
      <c r="U43" s="48">
        <v>0</v>
      </c>
      <c r="V43" s="45">
        <f t="shared" si="2"/>
        <v>0</v>
      </c>
      <c r="W43" s="49"/>
      <c r="X43" s="50"/>
      <c r="Y43" s="51"/>
      <c r="Z43" s="52"/>
      <c r="AA43" s="45" t="str">
        <f t="shared" si="3"/>
        <v/>
      </c>
      <c r="AB43" s="45" t="str">
        <f t="shared" si="4"/>
        <v/>
      </c>
      <c r="AC43" s="45" t="str">
        <f t="shared" si="5"/>
        <v/>
      </c>
      <c r="AD43" s="53" t="str">
        <f t="shared" si="11"/>
        <v/>
      </c>
      <c r="AE43" s="45" t="str">
        <f t="shared" si="6"/>
        <v/>
      </c>
      <c r="AF43" s="36">
        <f t="shared" si="12"/>
        <v>0</v>
      </c>
      <c r="AG43" s="54">
        <f t="shared" si="7"/>
        <v>0</v>
      </c>
      <c r="AH43" s="32" t="str">
        <f t="shared" si="13"/>
        <v/>
      </c>
      <c r="AI43" s="50"/>
      <c r="AJ43" s="50">
        <v>0</v>
      </c>
      <c r="AK43" s="50">
        <v>0</v>
      </c>
      <c r="AL43" s="50">
        <v>0</v>
      </c>
      <c r="AM43" s="50">
        <v>0</v>
      </c>
      <c r="AN43" s="50">
        <v>1</v>
      </c>
      <c r="AO43" s="50">
        <v>0</v>
      </c>
      <c r="AP43" s="50">
        <v>0</v>
      </c>
      <c r="AQ43" s="50">
        <v>0</v>
      </c>
      <c r="AR43" s="50">
        <v>1</v>
      </c>
      <c r="AU43" s="39"/>
      <c r="AW43" s="39"/>
    </row>
    <row r="44" spans="1:49" x14ac:dyDescent="0.25">
      <c r="A44" s="40"/>
      <c r="B44" s="41">
        <v>5403</v>
      </c>
      <c r="C44" s="40" t="s">
        <v>79</v>
      </c>
      <c r="D44" s="42">
        <v>13063523</v>
      </c>
      <c r="E44" s="42">
        <v>18472248</v>
      </c>
      <c r="F44" s="42">
        <v>21049173</v>
      </c>
      <c r="G44" s="42">
        <v>25149459</v>
      </c>
      <c r="H44" s="42">
        <f t="shared" si="8"/>
        <v>19433601</v>
      </c>
      <c r="I44" s="42">
        <v>309627.13999999902</v>
      </c>
      <c r="J44" s="43">
        <f t="shared" si="0"/>
        <v>1.5932566486262584E-2</v>
      </c>
      <c r="K44" s="44">
        <v>15903912.65</v>
      </c>
      <c r="L44" s="45">
        <f t="shared" si="1"/>
        <v>0.81837188331694166</v>
      </c>
      <c r="M44" s="42">
        <v>24475</v>
      </c>
      <c r="N44" s="45">
        <f t="shared" si="9"/>
        <v>9.7318196785068018E-4</v>
      </c>
      <c r="O44" s="44">
        <v>976751</v>
      </c>
      <c r="P44" s="44">
        <v>519386</v>
      </c>
      <c r="Q44" s="44">
        <v>-425652</v>
      </c>
      <c r="R44" s="46">
        <v>0.80762</v>
      </c>
      <c r="S44" s="46">
        <v>0.73523000000000005</v>
      </c>
      <c r="T44" s="47">
        <f t="shared" si="10"/>
        <v>0.77139999999999997</v>
      </c>
      <c r="U44" s="48">
        <v>0</v>
      </c>
      <c r="V44" s="45">
        <f t="shared" si="2"/>
        <v>0</v>
      </c>
      <c r="W44" s="49"/>
      <c r="X44" s="50"/>
      <c r="Y44" s="51"/>
      <c r="Z44" s="52"/>
      <c r="AA44" s="45" t="str">
        <f t="shared" si="3"/>
        <v/>
      </c>
      <c r="AB44" s="45">
        <f t="shared" si="4"/>
        <v>0.81837188331694166</v>
      </c>
      <c r="AC44" s="45" t="str">
        <f t="shared" si="5"/>
        <v/>
      </c>
      <c r="AD44" s="53" t="str">
        <f t="shared" si="11"/>
        <v/>
      </c>
      <c r="AE44" s="45" t="str">
        <f t="shared" si="6"/>
        <v/>
      </c>
      <c r="AF44" s="36">
        <f t="shared" si="12"/>
        <v>1</v>
      </c>
      <c r="AG44" s="54">
        <f t="shared" si="7"/>
        <v>0</v>
      </c>
      <c r="AH44" s="32" t="str">
        <f t="shared" si="13"/>
        <v/>
      </c>
      <c r="AI44" s="50"/>
      <c r="AJ44" s="50">
        <v>1</v>
      </c>
      <c r="AK44" s="50">
        <v>1</v>
      </c>
      <c r="AL44" s="50">
        <v>0</v>
      </c>
      <c r="AM44" s="50">
        <v>0</v>
      </c>
      <c r="AN44" s="50">
        <v>1</v>
      </c>
      <c r="AO44" s="50">
        <v>0</v>
      </c>
      <c r="AP44" s="50">
        <v>1</v>
      </c>
      <c r="AQ44" s="50">
        <v>1</v>
      </c>
      <c r="AR44" s="50">
        <v>1</v>
      </c>
      <c r="AU44" s="39"/>
      <c r="AW44" s="39"/>
    </row>
    <row r="45" spans="1:49" x14ac:dyDescent="0.25">
      <c r="A45" s="40"/>
      <c r="B45" s="41">
        <v>5404</v>
      </c>
      <c r="C45" s="40" t="s">
        <v>80</v>
      </c>
      <c r="D45" s="42">
        <v>6303261</v>
      </c>
      <c r="E45" s="42">
        <v>9070239</v>
      </c>
      <c r="F45" s="42">
        <v>13444865</v>
      </c>
      <c r="G45" s="42">
        <v>15493715</v>
      </c>
      <c r="H45" s="42">
        <f t="shared" si="8"/>
        <v>11078020</v>
      </c>
      <c r="I45" s="42">
        <v>281505.81000000041</v>
      </c>
      <c r="J45" s="43">
        <f t="shared" si="0"/>
        <v>2.5411202543414835E-2</v>
      </c>
      <c r="K45" s="44">
        <v>13560615.640000001</v>
      </c>
      <c r="L45" s="45">
        <f t="shared" si="1"/>
        <v>1.2241010252734694</v>
      </c>
      <c r="M45" s="42">
        <v>0</v>
      </c>
      <c r="N45" s="45">
        <f t="shared" si="9"/>
        <v>0</v>
      </c>
      <c r="O45" s="44">
        <v>2568869</v>
      </c>
      <c r="P45" s="44">
        <v>-965499</v>
      </c>
      <c r="Q45" s="44">
        <v>-3426998</v>
      </c>
      <c r="R45" s="46">
        <v>0.86741999999999997</v>
      </c>
      <c r="S45" s="46">
        <v>0.66749999999999998</v>
      </c>
      <c r="T45" s="47">
        <f t="shared" si="10"/>
        <v>0.76749999999999996</v>
      </c>
      <c r="U45" s="48">
        <v>0</v>
      </c>
      <c r="V45" s="45">
        <f t="shared" si="2"/>
        <v>0</v>
      </c>
      <c r="W45" s="49"/>
      <c r="X45" s="50"/>
      <c r="Y45" s="51"/>
      <c r="Z45" s="52"/>
      <c r="AA45" s="45" t="str">
        <f t="shared" si="3"/>
        <v/>
      </c>
      <c r="AB45" s="45">
        <f t="shared" si="4"/>
        <v>1.2241010252734694</v>
      </c>
      <c r="AC45" s="45" t="str">
        <f t="shared" si="5"/>
        <v/>
      </c>
      <c r="AD45" s="53" t="str">
        <f t="shared" si="11"/>
        <v/>
      </c>
      <c r="AE45" s="45" t="str">
        <f t="shared" si="6"/>
        <v/>
      </c>
      <c r="AF45" s="36">
        <f t="shared" si="12"/>
        <v>1</v>
      </c>
      <c r="AG45" s="54">
        <f t="shared" si="7"/>
        <v>0</v>
      </c>
      <c r="AH45" s="32" t="str">
        <f t="shared" si="13"/>
        <v/>
      </c>
      <c r="AI45" s="50"/>
      <c r="AJ45" s="50">
        <v>1</v>
      </c>
      <c r="AK45" s="50">
        <v>1</v>
      </c>
      <c r="AL45" s="50">
        <v>0</v>
      </c>
      <c r="AM45" s="50">
        <v>0</v>
      </c>
      <c r="AN45" s="50">
        <v>0</v>
      </c>
      <c r="AO45" s="50">
        <v>0</v>
      </c>
      <c r="AP45" s="50">
        <v>0</v>
      </c>
      <c r="AQ45" s="50">
        <v>0</v>
      </c>
      <c r="AR45" s="50">
        <v>0</v>
      </c>
      <c r="AU45" s="39"/>
      <c r="AW45" s="39"/>
    </row>
    <row r="46" spans="1:49" x14ac:dyDescent="0.25">
      <c r="A46" s="40"/>
      <c r="B46" s="41">
        <v>5405</v>
      </c>
      <c r="C46" s="40" t="s">
        <v>81</v>
      </c>
      <c r="D46" s="42">
        <v>12205682</v>
      </c>
      <c r="E46" s="42">
        <v>14047283</v>
      </c>
      <c r="F46" s="42">
        <v>17522028</v>
      </c>
      <c r="G46" s="42">
        <v>19469745</v>
      </c>
      <c r="H46" s="42">
        <f t="shared" si="8"/>
        <v>15811185</v>
      </c>
      <c r="I46" s="42">
        <v>281319.13000000111</v>
      </c>
      <c r="J46" s="43">
        <f t="shared" si="0"/>
        <v>1.7792412776145565E-2</v>
      </c>
      <c r="K46" s="44">
        <v>6774376.1399999978</v>
      </c>
      <c r="L46" s="45">
        <f t="shared" si="1"/>
        <v>0.4284546755983184</v>
      </c>
      <c r="M46" s="42">
        <v>0</v>
      </c>
      <c r="N46" s="45">
        <f t="shared" si="9"/>
        <v>0</v>
      </c>
      <c r="O46" s="44">
        <v>895469</v>
      </c>
      <c r="P46" s="44">
        <v>1797</v>
      </c>
      <c r="Q46" s="44">
        <v>-426761</v>
      </c>
      <c r="R46" s="46">
        <v>0.81867999999999996</v>
      </c>
      <c r="S46" s="46">
        <v>0.76385000000000003</v>
      </c>
      <c r="T46" s="47">
        <f t="shared" si="10"/>
        <v>0.7913</v>
      </c>
      <c r="U46" s="48">
        <v>0</v>
      </c>
      <c r="V46" s="45">
        <f t="shared" si="2"/>
        <v>0</v>
      </c>
      <c r="W46" s="49"/>
      <c r="X46" s="50"/>
      <c r="Y46" s="51"/>
      <c r="Z46" s="52"/>
      <c r="AA46" s="45" t="str">
        <f t="shared" si="3"/>
        <v/>
      </c>
      <c r="AB46" s="45" t="str">
        <f t="shared" si="4"/>
        <v/>
      </c>
      <c r="AC46" s="45" t="str">
        <f t="shared" si="5"/>
        <v/>
      </c>
      <c r="AD46" s="53" t="str">
        <f t="shared" si="11"/>
        <v/>
      </c>
      <c r="AE46" s="45" t="str">
        <f t="shared" si="6"/>
        <v/>
      </c>
      <c r="AF46" s="36">
        <f t="shared" si="12"/>
        <v>0</v>
      </c>
      <c r="AG46" s="54">
        <f t="shared" si="7"/>
        <v>0</v>
      </c>
      <c r="AH46" s="32" t="str">
        <f t="shared" si="13"/>
        <v/>
      </c>
      <c r="AI46" s="50"/>
      <c r="AJ46" s="50">
        <v>1</v>
      </c>
      <c r="AK46" s="50">
        <v>0</v>
      </c>
      <c r="AL46" s="50">
        <v>0</v>
      </c>
      <c r="AM46" s="50">
        <v>1</v>
      </c>
      <c r="AN46" s="50">
        <v>2</v>
      </c>
      <c r="AO46" s="50">
        <v>1</v>
      </c>
      <c r="AP46" s="50">
        <v>2</v>
      </c>
      <c r="AQ46" s="50">
        <v>2</v>
      </c>
      <c r="AR46" s="50">
        <v>3</v>
      </c>
      <c r="AU46" s="39"/>
      <c r="AW46" s="39"/>
    </row>
    <row r="47" spans="1:49" x14ac:dyDescent="0.25">
      <c r="A47" s="40"/>
      <c r="B47" s="41">
        <v>5406</v>
      </c>
      <c r="C47" s="40" t="s">
        <v>82</v>
      </c>
      <c r="D47" s="42">
        <v>31406922</v>
      </c>
      <c r="E47" s="42">
        <v>34715376</v>
      </c>
      <c r="F47" s="42">
        <v>40329941</v>
      </c>
      <c r="G47" s="42">
        <v>44290251</v>
      </c>
      <c r="H47" s="42">
        <f t="shared" si="8"/>
        <v>37685623</v>
      </c>
      <c r="I47" s="42">
        <v>2947316.620000001</v>
      </c>
      <c r="J47" s="43">
        <f t="shared" si="0"/>
        <v>7.8207984514412854E-2</v>
      </c>
      <c r="K47" s="44">
        <v>20073052.16</v>
      </c>
      <c r="L47" s="45">
        <f t="shared" si="1"/>
        <v>0.53264482744520369</v>
      </c>
      <c r="M47" s="42">
        <v>0</v>
      </c>
      <c r="N47" s="45">
        <f t="shared" si="9"/>
        <v>0</v>
      </c>
      <c r="O47" s="44">
        <v>1187120</v>
      </c>
      <c r="P47" s="44">
        <v>2061708</v>
      </c>
      <c r="Q47" s="44">
        <v>-4537974</v>
      </c>
      <c r="R47" s="46">
        <v>0.82028000000000001</v>
      </c>
      <c r="S47" s="46">
        <v>0.73516000000000004</v>
      </c>
      <c r="T47" s="47">
        <f t="shared" si="10"/>
        <v>0.77769999999999995</v>
      </c>
      <c r="U47" s="48">
        <v>0</v>
      </c>
      <c r="V47" s="45">
        <f t="shared" si="2"/>
        <v>0</v>
      </c>
      <c r="W47" s="49"/>
      <c r="X47" s="50"/>
      <c r="Y47" s="51"/>
      <c r="Z47" s="52"/>
      <c r="AA47" s="45" t="str">
        <f t="shared" si="3"/>
        <v/>
      </c>
      <c r="AB47" s="45">
        <f t="shared" si="4"/>
        <v>0.53264482744520369</v>
      </c>
      <c r="AC47" s="45" t="str">
        <f t="shared" si="5"/>
        <v/>
      </c>
      <c r="AD47" s="53" t="str">
        <f t="shared" si="11"/>
        <v/>
      </c>
      <c r="AE47" s="45" t="str">
        <f t="shared" si="6"/>
        <v/>
      </c>
      <c r="AF47" s="36">
        <f t="shared" si="12"/>
        <v>1</v>
      </c>
      <c r="AG47" s="54">
        <f t="shared" si="7"/>
        <v>0</v>
      </c>
      <c r="AH47" s="32" t="str">
        <f t="shared" si="13"/>
        <v/>
      </c>
      <c r="AI47" s="50"/>
      <c r="AJ47" s="50">
        <v>1</v>
      </c>
      <c r="AK47" s="50">
        <v>0</v>
      </c>
      <c r="AL47" s="50">
        <v>1</v>
      </c>
      <c r="AM47" s="50">
        <v>1</v>
      </c>
      <c r="AN47" s="50">
        <v>1</v>
      </c>
      <c r="AO47" s="50">
        <v>0</v>
      </c>
      <c r="AP47" s="50">
        <v>0</v>
      </c>
      <c r="AQ47" s="50">
        <v>0</v>
      </c>
      <c r="AR47" s="50">
        <v>0</v>
      </c>
      <c r="AU47" s="39"/>
      <c r="AW47" s="39"/>
    </row>
    <row r="48" spans="1:49" x14ac:dyDescent="0.25">
      <c r="A48" s="40"/>
      <c r="B48" s="41">
        <v>5407</v>
      </c>
      <c r="C48" s="40" t="s">
        <v>83</v>
      </c>
      <c r="D48" s="42">
        <v>15025354</v>
      </c>
      <c r="E48" s="42">
        <v>18304676</v>
      </c>
      <c r="F48" s="42">
        <v>23393817</v>
      </c>
      <c r="G48" s="42">
        <v>26482399</v>
      </c>
      <c r="H48" s="42">
        <f t="shared" si="8"/>
        <v>20801562</v>
      </c>
      <c r="I48" s="42">
        <v>1139496.9300000006</v>
      </c>
      <c r="J48" s="43">
        <f t="shared" si="0"/>
        <v>5.4779392528311127E-2</v>
      </c>
      <c r="K48" s="44">
        <v>9824488.2100000009</v>
      </c>
      <c r="L48" s="45">
        <f t="shared" si="1"/>
        <v>0.47229569635203361</v>
      </c>
      <c r="M48" s="42">
        <v>0</v>
      </c>
      <c r="N48" s="45">
        <f t="shared" si="9"/>
        <v>0</v>
      </c>
      <c r="O48" s="44">
        <v>4315861</v>
      </c>
      <c r="P48" s="44">
        <v>-403882</v>
      </c>
      <c r="Q48" s="44">
        <v>-4054781</v>
      </c>
      <c r="R48" s="46">
        <v>0.79354999999999998</v>
      </c>
      <c r="S48" s="46">
        <v>0.66803999999999997</v>
      </c>
      <c r="T48" s="47">
        <f t="shared" si="10"/>
        <v>0.73080000000000001</v>
      </c>
      <c r="U48" s="48">
        <v>0</v>
      </c>
      <c r="V48" s="45">
        <f t="shared" si="2"/>
        <v>0</v>
      </c>
      <c r="W48" s="49"/>
      <c r="X48" s="50"/>
      <c r="Y48" s="51"/>
      <c r="Z48" s="52"/>
      <c r="AA48" s="45" t="str">
        <f t="shared" si="3"/>
        <v/>
      </c>
      <c r="AB48" s="45" t="str">
        <f t="shared" si="4"/>
        <v/>
      </c>
      <c r="AC48" s="45" t="str">
        <f t="shared" si="5"/>
        <v/>
      </c>
      <c r="AD48" s="53" t="str">
        <f t="shared" si="11"/>
        <v/>
      </c>
      <c r="AE48" s="45">
        <f t="shared" si="6"/>
        <v>0.73080000000000001</v>
      </c>
      <c r="AF48" s="36">
        <f t="shared" si="12"/>
        <v>1</v>
      </c>
      <c r="AG48" s="54">
        <f t="shared" si="7"/>
        <v>0</v>
      </c>
      <c r="AH48" s="32" t="str">
        <f t="shared" si="13"/>
        <v/>
      </c>
      <c r="AI48" s="50"/>
      <c r="AJ48" s="50">
        <v>1</v>
      </c>
      <c r="AK48" s="50">
        <v>0</v>
      </c>
      <c r="AL48" s="50">
        <v>0</v>
      </c>
      <c r="AM48" s="50">
        <v>0</v>
      </c>
      <c r="AN48" s="50">
        <v>0</v>
      </c>
      <c r="AO48" s="50">
        <v>0</v>
      </c>
      <c r="AP48" s="50">
        <v>0</v>
      </c>
      <c r="AQ48" s="50">
        <v>1</v>
      </c>
      <c r="AR48" s="50">
        <v>1</v>
      </c>
      <c r="AU48" s="39"/>
      <c r="AW48" s="39"/>
    </row>
    <row r="49" spans="1:49" x14ac:dyDescent="0.25">
      <c r="A49" s="40"/>
      <c r="B49" s="41">
        <v>5408</v>
      </c>
      <c r="C49" s="40" t="s">
        <v>84</v>
      </c>
      <c r="D49" s="42">
        <v>38836436</v>
      </c>
      <c r="E49" s="42">
        <v>43309650</v>
      </c>
      <c r="F49" s="42">
        <v>47523504</v>
      </c>
      <c r="G49" s="42">
        <v>60045036</v>
      </c>
      <c r="H49" s="42">
        <f t="shared" si="8"/>
        <v>47428657</v>
      </c>
      <c r="I49" s="42">
        <v>1871622.8799999997</v>
      </c>
      <c r="J49" s="43">
        <f t="shared" si="0"/>
        <v>3.9461856995023067E-2</v>
      </c>
      <c r="K49" s="44">
        <v>22183975.470000003</v>
      </c>
      <c r="L49" s="45">
        <f t="shared" si="1"/>
        <v>0.46773357866742893</v>
      </c>
      <c r="M49" s="42">
        <v>0</v>
      </c>
      <c r="N49" s="45">
        <f t="shared" si="9"/>
        <v>0</v>
      </c>
      <c r="O49" s="44">
        <v>-151475</v>
      </c>
      <c r="P49" s="44">
        <v>-758761</v>
      </c>
      <c r="Q49" s="44">
        <v>-1352177</v>
      </c>
      <c r="R49" s="46">
        <v>0.82038999999999995</v>
      </c>
      <c r="S49" s="46">
        <v>0.76471999999999996</v>
      </c>
      <c r="T49" s="47">
        <f t="shared" si="10"/>
        <v>0.79259999999999997</v>
      </c>
      <c r="U49" s="48">
        <v>0</v>
      </c>
      <c r="V49" s="45">
        <f t="shared" si="2"/>
        <v>0</v>
      </c>
      <c r="W49" s="49"/>
      <c r="X49" s="50"/>
      <c r="Y49" s="51"/>
      <c r="Z49" s="52"/>
      <c r="AA49" s="45" t="str">
        <f t="shared" si="3"/>
        <v/>
      </c>
      <c r="AB49" s="45" t="str">
        <f t="shared" si="4"/>
        <v/>
      </c>
      <c r="AC49" s="45" t="str">
        <f t="shared" si="5"/>
        <v/>
      </c>
      <c r="AD49" s="53" t="str">
        <f t="shared" si="11"/>
        <v>да</v>
      </c>
      <c r="AE49" s="45" t="str">
        <f t="shared" si="6"/>
        <v/>
      </c>
      <c r="AF49" s="36">
        <f t="shared" si="12"/>
        <v>1</v>
      </c>
      <c r="AG49" s="54">
        <f t="shared" si="7"/>
        <v>0</v>
      </c>
      <c r="AH49" s="32" t="str">
        <f t="shared" si="13"/>
        <v/>
      </c>
      <c r="AI49" s="50"/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U49" s="39"/>
      <c r="AW49" s="39"/>
    </row>
    <row r="50" spans="1:49" x14ac:dyDescent="0.25">
      <c r="A50" s="40"/>
      <c r="B50" s="41">
        <v>5409</v>
      </c>
      <c r="C50" s="40" t="s">
        <v>85</v>
      </c>
      <c r="D50" s="42">
        <v>17711870</v>
      </c>
      <c r="E50" s="42">
        <v>20391825</v>
      </c>
      <c r="F50" s="42">
        <v>23058669</v>
      </c>
      <c r="G50" s="42">
        <v>27120928</v>
      </c>
      <c r="H50" s="42">
        <f t="shared" si="8"/>
        <v>22070823</v>
      </c>
      <c r="I50" s="42">
        <v>2451715.4600000004</v>
      </c>
      <c r="J50" s="43">
        <f t="shared" si="0"/>
        <v>0.11108400715279174</v>
      </c>
      <c r="K50" s="44">
        <v>17769380.689999998</v>
      </c>
      <c r="L50" s="45">
        <f t="shared" si="1"/>
        <v>0.80510729889864086</v>
      </c>
      <c r="M50" s="42">
        <v>0</v>
      </c>
      <c r="N50" s="45">
        <f t="shared" si="9"/>
        <v>0</v>
      </c>
      <c r="O50" s="44">
        <v>1339181</v>
      </c>
      <c r="P50" s="44">
        <v>546703</v>
      </c>
      <c r="Q50" s="44">
        <v>-1248941</v>
      </c>
      <c r="R50" s="46">
        <v>0.77342</v>
      </c>
      <c r="S50" s="46">
        <v>0.65229000000000004</v>
      </c>
      <c r="T50" s="47">
        <f t="shared" si="10"/>
        <v>0.71289999999999998</v>
      </c>
      <c r="U50" s="48">
        <v>0</v>
      </c>
      <c r="V50" s="45">
        <f t="shared" si="2"/>
        <v>0</v>
      </c>
      <c r="W50" s="49"/>
      <c r="X50" s="50"/>
      <c r="Y50" s="51"/>
      <c r="Z50" s="52"/>
      <c r="AA50" s="45" t="str">
        <f t="shared" si="3"/>
        <v/>
      </c>
      <c r="AB50" s="45">
        <f t="shared" si="4"/>
        <v>0.80510729889864086</v>
      </c>
      <c r="AC50" s="45" t="str">
        <f t="shared" si="5"/>
        <v/>
      </c>
      <c r="AD50" s="53" t="str">
        <f t="shared" si="11"/>
        <v/>
      </c>
      <c r="AE50" s="45">
        <f t="shared" si="6"/>
        <v>0.71289999999999998</v>
      </c>
      <c r="AF50" s="36">
        <f t="shared" si="12"/>
        <v>2</v>
      </c>
      <c r="AG50" s="54">
        <f t="shared" si="7"/>
        <v>0</v>
      </c>
      <c r="AH50" s="32" t="str">
        <f t="shared" si="13"/>
        <v/>
      </c>
      <c r="AI50" s="50"/>
      <c r="AJ50" s="50">
        <v>2</v>
      </c>
      <c r="AK50" s="50">
        <v>1</v>
      </c>
      <c r="AL50" s="50">
        <v>1</v>
      </c>
      <c r="AM50" s="50">
        <v>1</v>
      </c>
      <c r="AN50" s="50">
        <v>1</v>
      </c>
      <c r="AO50" s="50">
        <v>1</v>
      </c>
      <c r="AP50" s="50">
        <v>1</v>
      </c>
      <c r="AQ50" s="50">
        <v>1</v>
      </c>
      <c r="AR50" s="50">
        <v>2</v>
      </c>
      <c r="AU50" s="39"/>
      <c r="AW50" s="39"/>
    </row>
    <row r="51" spans="1:49" x14ac:dyDescent="0.25">
      <c r="A51" s="40"/>
      <c r="B51" s="41">
        <v>5410</v>
      </c>
      <c r="C51" s="40" t="s">
        <v>86</v>
      </c>
      <c r="D51" s="42">
        <v>7355439</v>
      </c>
      <c r="E51" s="42">
        <v>9451446</v>
      </c>
      <c r="F51" s="42">
        <v>12592140</v>
      </c>
      <c r="G51" s="42">
        <v>8924941</v>
      </c>
      <c r="H51" s="42">
        <f t="shared" si="8"/>
        <v>9580992</v>
      </c>
      <c r="I51" s="42">
        <v>784273.05000000028</v>
      </c>
      <c r="J51" s="43">
        <f t="shared" si="0"/>
        <v>8.1857186604476898E-2</v>
      </c>
      <c r="K51" s="44">
        <v>1804475.5999999996</v>
      </c>
      <c r="L51" s="45">
        <f t="shared" si="1"/>
        <v>0.18833911979051851</v>
      </c>
      <c r="M51" s="42">
        <v>2113</v>
      </c>
      <c r="N51" s="45">
        <f t="shared" si="9"/>
        <v>2.3675226536511558E-4</v>
      </c>
      <c r="O51" s="44">
        <v>-1213134</v>
      </c>
      <c r="P51" s="44">
        <v>-452304</v>
      </c>
      <c r="Q51" s="44">
        <v>-1196591</v>
      </c>
      <c r="R51" s="46">
        <v>0.53605000000000003</v>
      </c>
      <c r="S51" s="46">
        <v>0.70918000000000003</v>
      </c>
      <c r="T51" s="47">
        <f t="shared" si="10"/>
        <v>0.62260000000000004</v>
      </c>
      <c r="U51" s="48">
        <v>0</v>
      </c>
      <c r="V51" s="45">
        <f t="shared" si="2"/>
        <v>0</v>
      </c>
      <c r="W51" s="49"/>
      <c r="X51" s="50"/>
      <c r="Y51" s="51"/>
      <c r="Z51" s="52"/>
      <c r="AA51" s="45" t="str">
        <f t="shared" si="3"/>
        <v/>
      </c>
      <c r="AB51" s="45" t="str">
        <f t="shared" si="4"/>
        <v/>
      </c>
      <c r="AC51" s="45" t="str">
        <f t="shared" si="5"/>
        <v/>
      </c>
      <c r="AD51" s="53" t="str">
        <f t="shared" si="11"/>
        <v>да</v>
      </c>
      <c r="AE51" s="45">
        <f t="shared" si="6"/>
        <v>0.62260000000000004</v>
      </c>
      <c r="AF51" s="36">
        <f t="shared" si="12"/>
        <v>2</v>
      </c>
      <c r="AG51" s="54">
        <f t="shared" si="7"/>
        <v>0</v>
      </c>
      <c r="AH51" s="32" t="str">
        <f t="shared" si="13"/>
        <v/>
      </c>
      <c r="AI51" s="50"/>
      <c r="AJ51" s="50">
        <v>0</v>
      </c>
      <c r="AK51" s="50">
        <v>2</v>
      </c>
      <c r="AL51" s="50">
        <v>2</v>
      </c>
      <c r="AM51" s="50">
        <v>1</v>
      </c>
      <c r="AN51" s="50">
        <v>1</v>
      </c>
      <c r="AO51" s="50">
        <v>1</v>
      </c>
      <c r="AP51" s="50">
        <v>1</v>
      </c>
      <c r="AQ51" s="50">
        <v>2</v>
      </c>
      <c r="AR51" s="50">
        <v>1</v>
      </c>
      <c r="AU51" s="39"/>
      <c r="AW51" s="39"/>
    </row>
    <row r="52" spans="1:49" x14ac:dyDescent="0.25">
      <c r="A52" s="40" t="s">
        <v>87</v>
      </c>
      <c r="B52" s="41">
        <v>5501</v>
      </c>
      <c r="C52" s="40" t="s">
        <v>88</v>
      </c>
      <c r="D52" s="42">
        <v>10419854</v>
      </c>
      <c r="E52" s="42">
        <v>11386220</v>
      </c>
      <c r="F52" s="42">
        <v>13801696</v>
      </c>
      <c r="G52" s="42">
        <v>17508156</v>
      </c>
      <c r="H52" s="42">
        <f t="shared" si="8"/>
        <v>13278982</v>
      </c>
      <c r="I52" s="42">
        <v>4486812.8999999994</v>
      </c>
      <c r="J52" s="43">
        <f t="shared" si="0"/>
        <v>0.33788831854731027</v>
      </c>
      <c r="K52" s="44">
        <v>3533438.55</v>
      </c>
      <c r="L52" s="45">
        <f t="shared" si="1"/>
        <v>0.26609257772922651</v>
      </c>
      <c r="M52" s="42">
        <v>3833088</v>
      </c>
      <c r="N52" s="45">
        <f t="shared" si="9"/>
        <v>0.21893156538015768</v>
      </c>
      <c r="O52" s="44">
        <v>731942</v>
      </c>
      <c r="P52" s="44">
        <v>-216068</v>
      </c>
      <c r="Q52" s="44">
        <v>1339366</v>
      </c>
      <c r="R52" s="46">
        <v>0.71725000000000005</v>
      </c>
      <c r="S52" s="46">
        <v>0.86260999999999999</v>
      </c>
      <c r="T52" s="47">
        <f t="shared" si="10"/>
        <v>0.78990000000000005</v>
      </c>
      <c r="U52" s="48">
        <v>0</v>
      </c>
      <c r="V52" s="45">
        <f t="shared" si="2"/>
        <v>0</v>
      </c>
      <c r="W52" s="49"/>
      <c r="X52" s="50"/>
      <c r="Y52" s="51"/>
      <c r="Z52" s="52"/>
      <c r="AA52" s="45">
        <f t="shared" si="3"/>
        <v>0.33788831854731027</v>
      </c>
      <c r="AB52" s="45" t="str">
        <f t="shared" si="4"/>
        <v/>
      </c>
      <c r="AC52" s="45">
        <f t="shared" si="5"/>
        <v>0.21893156538015768</v>
      </c>
      <c r="AD52" s="53" t="str">
        <f t="shared" si="11"/>
        <v/>
      </c>
      <c r="AE52" s="45" t="str">
        <f t="shared" si="6"/>
        <v/>
      </c>
      <c r="AF52" s="36">
        <f t="shared" si="12"/>
        <v>2</v>
      </c>
      <c r="AG52" s="54">
        <f t="shared" si="7"/>
        <v>0</v>
      </c>
      <c r="AH52" s="32" t="str">
        <f t="shared" si="13"/>
        <v/>
      </c>
      <c r="AI52" s="50"/>
      <c r="AJ52" s="50">
        <v>2</v>
      </c>
      <c r="AK52" s="50">
        <v>4</v>
      </c>
      <c r="AL52" s="50">
        <v>3</v>
      </c>
      <c r="AM52" s="50">
        <v>3</v>
      </c>
      <c r="AN52" s="50">
        <v>4</v>
      </c>
      <c r="AO52" s="50">
        <v>3</v>
      </c>
      <c r="AP52" s="50">
        <v>3</v>
      </c>
      <c r="AQ52" s="50">
        <v>4</v>
      </c>
      <c r="AR52" s="50">
        <v>2</v>
      </c>
      <c r="AU52" s="39"/>
      <c r="AW52" s="39"/>
    </row>
    <row r="53" spans="1:49" x14ac:dyDescent="0.25">
      <c r="A53" s="40"/>
      <c r="B53" s="41">
        <v>5502</v>
      </c>
      <c r="C53" s="40" t="s">
        <v>89</v>
      </c>
      <c r="D53" s="42">
        <v>4089204</v>
      </c>
      <c r="E53" s="42">
        <v>4370472</v>
      </c>
      <c r="F53" s="42">
        <v>4760265</v>
      </c>
      <c r="G53" s="42">
        <v>6314597</v>
      </c>
      <c r="H53" s="42">
        <f t="shared" si="8"/>
        <v>4883635</v>
      </c>
      <c r="I53" s="42">
        <v>26376.009999999962</v>
      </c>
      <c r="J53" s="43">
        <f t="shared" si="0"/>
        <v>5.4008970776890496E-3</v>
      </c>
      <c r="K53" s="44">
        <v>2127703.7199999997</v>
      </c>
      <c r="L53" s="45">
        <f t="shared" si="1"/>
        <v>0.43568033237537196</v>
      </c>
      <c r="M53" s="42">
        <v>0</v>
      </c>
      <c r="N53" s="45">
        <f t="shared" si="9"/>
        <v>0</v>
      </c>
      <c r="O53" s="44">
        <v>136890</v>
      </c>
      <c r="P53" s="44">
        <v>550905</v>
      </c>
      <c r="Q53" s="44">
        <v>-44434</v>
      </c>
      <c r="R53" s="46">
        <v>0.62236999999999998</v>
      </c>
      <c r="S53" s="46">
        <v>0.57852000000000003</v>
      </c>
      <c r="T53" s="47">
        <f t="shared" si="10"/>
        <v>0.60040000000000004</v>
      </c>
      <c r="U53" s="48">
        <v>0</v>
      </c>
      <c r="V53" s="45">
        <f t="shared" si="2"/>
        <v>0</v>
      </c>
      <c r="W53" s="49"/>
      <c r="X53" s="50"/>
      <c r="Y53" s="51"/>
      <c r="Z53" s="52"/>
      <c r="AA53" s="45" t="str">
        <f t="shared" si="3"/>
        <v/>
      </c>
      <c r="AB53" s="45" t="str">
        <f t="shared" si="4"/>
        <v/>
      </c>
      <c r="AC53" s="45" t="str">
        <f t="shared" si="5"/>
        <v/>
      </c>
      <c r="AD53" s="53" t="str">
        <f t="shared" si="11"/>
        <v/>
      </c>
      <c r="AE53" s="45">
        <f t="shared" si="6"/>
        <v>0.60040000000000004</v>
      </c>
      <c r="AF53" s="36">
        <f t="shared" si="12"/>
        <v>1</v>
      </c>
      <c r="AG53" s="54">
        <f t="shared" si="7"/>
        <v>0</v>
      </c>
      <c r="AH53" s="32" t="str">
        <f t="shared" si="13"/>
        <v/>
      </c>
      <c r="AI53" s="50"/>
      <c r="AJ53" s="50">
        <v>1</v>
      </c>
      <c r="AK53" s="50">
        <v>1</v>
      </c>
      <c r="AL53" s="50">
        <v>1</v>
      </c>
      <c r="AM53" s="50">
        <v>1</v>
      </c>
      <c r="AN53" s="50">
        <v>1</v>
      </c>
      <c r="AO53" s="50">
        <v>1</v>
      </c>
      <c r="AP53" s="50">
        <v>1</v>
      </c>
      <c r="AQ53" s="50">
        <v>1</v>
      </c>
      <c r="AR53" s="50">
        <v>1</v>
      </c>
      <c r="AU53" s="39"/>
      <c r="AW53" s="39"/>
    </row>
    <row r="54" spans="1:49" x14ac:dyDescent="0.25">
      <c r="A54" s="40"/>
      <c r="B54" s="41">
        <v>5503</v>
      </c>
      <c r="C54" s="40" t="s">
        <v>90</v>
      </c>
      <c r="D54" s="42">
        <v>9829106</v>
      </c>
      <c r="E54" s="42">
        <v>9933225</v>
      </c>
      <c r="F54" s="42">
        <v>11775897</v>
      </c>
      <c r="G54" s="42">
        <v>14295614</v>
      </c>
      <c r="H54" s="42">
        <f t="shared" si="8"/>
        <v>11458461</v>
      </c>
      <c r="I54" s="42">
        <v>170780.93999999989</v>
      </c>
      <c r="J54" s="43">
        <f t="shared" si="0"/>
        <v>1.4904352338416117E-2</v>
      </c>
      <c r="K54" s="44">
        <v>6221755.7999999998</v>
      </c>
      <c r="L54" s="45">
        <f t="shared" si="1"/>
        <v>0.54298354726694975</v>
      </c>
      <c r="M54" s="42">
        <v>0</v>
      </c>
      <c r="N54" s="45">
        <f t="shared" si="9"/>
        <v>0</v>
      </c>
      <c r="O54" s="44">
        <v>991625</v>
      </c>
      <c r="P54" s="44">
        <v>417819</v>
      </c>
      <c r="Q54" s="44">
        <v>-1946305</v>
      </c>
      <c r="R54" s="46">
        <v>0.73860999999999999</v>
      </c>
      <c r="S54" s="46">
        <v>0.55427999999999999</v>
      </c>
      <c r="T54" s="47">
        <f t="shared" si="10"/>
        <v>0.64639999999999997</v>
      </c>
      <c r="U54" s="48">
        <v>0</v>
      </c>
      <c r="V54" s="45">
        <f t="shared" si="2"/>
        <v>0</v>
      </c>
      <c r="W54" s="49"/>
      <c r="X54" s="50"/>
      <c r="Y54" s="51"/>
      <c r="Z54" s="52"/>
      <c r="AA54" s="45" t="str">
        <f t="shared" si="3"/>
        <v/>
      </c>
      <c r="AB54" s="45">
        <f t="shared" si="4"/>
        <v>0.54298354726694975</v>
      </c>
      <c r="AC54" s="45" t="str">
        <f t="shared" si="5"/>
        <v/>
      </c>
      <c r="AD54" s="53" t="str">
        <f t="shared" si="11"/>
        <v/>
      </c>
      <c r="AE54" s="45">
        <f t="shared" si="6"/>
        <v>0.64639999999999997</v>
      </c>
      <c r="AF54" s="36">
        <f t="shared" si="12"/>
        <v>2</v>
      </c>
      <c r="AG54" s="54">
        <f t="shared" si="7"/>
        <v>0</v>
      </c>
      <c r="AH54" s="32" t="str">
        <f t="shared" si="13"/>
        <v/>
      </c>
      <c r="AI54" s="50"/>
      <c r="AJ54" s="50">
        <v>2</v>
      </c>
      <c r="AK54" s="50">
        <v>2</v>
      </c>
      <c r="AL54" s="50">
        <v>1</v>
      </c>
      <c r="AM54" s="50">
        <v>2</v>
      </c>
      <c r="AN54" s="50">
        <v>3</v>
      </c>
      <c r="AO54" s="50">
        <v>3</v>
      </c>
      <c r="AP54" s="50">
        <v>2</v>
      </c>
      <c r="AQ54" s="50">
        <v>3</v>
      </c>
      <c r="AR54" s="50">
        <v>2</v>
      </c>
      <c r="AU54" s="39"/>
      <c r="AW54" s="39"/>
    </row>
    <row r="55" spans="1:49" x14ac:dyDescent="0.25">
      <c r="A55" s="40"/>
      <c r="B55" s="41">
        <v>5504</v>
      </c>
      <c r="C55" s="40" t="s">
        <v>87</v>
      </c>
      <c r="D55" s="42">
        <v>56671615</v>
      </c>
      <c r="E55" s="42">
        <v>65860823</v>
      </c>
      <c r="F55" s="42">
        <v>84665001</v>
      </c>
      <c r="G55" s="42">
        <v>104630259</v>
      </c>
      <c r="H55" s="42">
        <f t="shared" si="8"/>
        <v>77956925</v>
      </c>
      <c r="I55" s="42">
        <v>4100399.7199999983</v>
      </c>
      <c r="J55" s="43">
        <f t="shared" si="0"/>
        <v>5.259827423926737E-2</v>
      </c>
      <c r="K55" s="44">
        <v>18871553.969999999</v>
      </c>
      <c r="L55" s="45">
        <f t="shared" si="1"/>
        <v>0.24207668491285411</v>
      </c>
      <c r="M55" s="42">
        <v>1133254</v>
      </c>
      <c r="N55" s="45">
        <f t="shared" si="9"/>
        <v>1.0831035025919223E-2</v>
      </c>
      <c r="O55" s="44">
        <v>7357633</v>
      </c>
      <c r="P55" s="44">
        <v>-13754956</v>
      </c>
      <c r="Q55" s="44">
        <v>9391527</v>
      </c>
      <c r="R55" s="46">
        <v>0.69366000000000005</v>
      </c>
      <c r="S55" s="46">
        <v>0.54735</v>
      </c>
      <c r="T55" s="47">
        <f t="shared" si="10"/>
        <v>0.62050000000000005</v>
      </c>
      <c r="U55" s="48">
        <v>0</v>
      </c>
      <c r="V55" s="45">
        <f t="shared" si="2"/>
        <v>0</v>
      </c>
      <c r="W55" s="49"/>
      <c r="X55" s="50"/>
      <c r="Y55" s="51"/>
      <c r="Z55" s="52"/>
      <c r="AA55" s="45" t="str">
        <f t="shared" si="3"/>
        <v/>
      </c>
      <c r="AB55" s="45" t="str">
        <f t="shared" si="4"/>
        <v/>
      </c>
      <c r="AC55" s="45" t="str">
        <f t="shared" si="5"/>
        <v/>
      </c>
      <c r="AD55" s="53" t="str">
        <f t="shared" si="11"/>
        <v/>
      </c>
      <c r="AE55" s="45">
        <f t="shared" si="6"/>
        <v>0.62050000000000005</v>
      </c>
      <c r="AF55" s="36">
        <f t="shared" si="12"/>
        <v>1</v>
      </c>
      <c r="AG55" s="54">
        <f t="shared" si="7"/>
        <v>0</v>
      </c>
      <c r="AH55" s="32" t="str">
        <f t="shared" si="13"/>
        <v/>
      </c>
      <c r="AI55" s="50"/>
      <c r="AJ55" s="50">
        <v>1</v>
      </c>
      <c r="AK55" s="50">
        <v>1</v>
      </c>
      <c r="AL55" s="50">
        <v>1</v>
      </c>
      <c r="AM55" s="50">
        <v>1</v>
      </c>
      <c r="AN55" s="50">
        <v>2</v>
      </c>
      <c r="AO55" s="50">
        <v>1</v>
      </c>
      <c r="AP55" s="50">
        <v>2</v>
      </c>
      <c r="AQ55" s="50">
        <v>3</v>
      </c>
      <c r="AR55" s="50">
        <v>4</v>
      </c>
      <c r="AU55" s="39"/>
      <c r="AW55" s="39"/>
    </row>
    <row r="56" spans="1:49" x14ac:dyDescent="0.25">
      <c r="A56" s="40"/>
      <c r="B56" s="41">
        <v>5505</v>
      </c>
      <c r="C56" s="40" t="s">
        <v>91</v>
      </c>
      <c r="D56" s="42">
        <v>3100561</v>
      </c>
      <c r="E56" s="42">
        <v>4088704</v>
      </c>
      <c r="F56" s="42">
        <v>5091835</v>
      </c>
      <c r="G56" s="42">
        <v>5106859</v>
      </c>
      <c r="H56" s="42">
        <f t="shared" si="8"/>
        <v>4346990</v>
      </c>
      <c r="I56" s="42">
        <v>888828.86999999988</v>
      </c>
      <c r="J56" s="43">
        <f t="shared" si="0"/>
        <v>0.20446995967324513</v>
      </c>
      <c r="K56" s="44">
        <v>2107573.5999999996</v>
      </c>
      <c r="L56" s="45">
        <f t="shared" si="1"/>
        <v>0.48483516180161434</v>
      </c>
      <c r="M56" s="42">
        <v>0</v>
      </c>
      <c r="N56" s="45">
        <f t="shared" si="9"/>
        <v>0</v>
      </c>
      <c r="O56" s="44">
        <v>894823</v>
      </c>
      <c r="P56" s="44">
        <v>-405260</v>
      </c>
      <c r="Q56" s="44">
        <v>-858399</v>
      </c>
      <c r="R56" s="46">
        <v>0.74650000000000005</v>
      </c>
      <c r="S56" s="46">
        <v>0.71275999999999995</v>
      </c>
      <c r="T56" s="47">
        <f t="shared" si="10"/>
        <v>0.72960000000000003</v>
      </c>
      <c r="U56" s="48">
        <v>0</v>
      </c>
      <c r="V56" s="45">
        <f t="shared" si="2"/>
        <v>0</v>
      </c>
      <c r="W56" s="49"/>
      <c r="X56" s="50"/>
      <c r="Y56" s="51"/>
      <c r="Z56" s="52"/>
      <c r="AA56" s="45">
        <f t="shared" si="3"/>
        <v>0.20446995967324513</v>
      </c>
      <c r="AB56" s="45" t="str">
        <f t="shared" si="4"/>
        <v/>
      </c>
      <c r="AC56" s="45" t="str">
        <f t="shared" si="5"/>
        <v/>
      </c>
      <c r="AD56" s="53" t="str">
        <f t="shared" si="11"/>
        <v/>
      </c>
      <c r="AE56" s="45">
        <f t="shared" si="6"/>
        <v>0.72960000000000003</v>
      </c>
      <c r="AF56" s="36">
        <f t="shared" si="12"/>
        <v>2</v>
      </c>
      <c r="AG56" s="54">
        <f t="shared" si="7"/>
        <v>0</v>
      </c>
      <c r="AH56" s="32" t="str">
        <f t="shared" si="13"/>
        <v/>
      </c>
      <c r="AI56" s="50"/>
      <c r="AJ56" s="50">
        <v>1</v>
      </c>
      <c r="AK56" s="50">
        <v>1</v>
      </c>
      <c r="AL56" s="50">
        <v>1</v>
      </c>
      <c r="AM56" s="50">
        <v>0</v>
      </c>
      <c r="AN56" s="50">
        <v>0</v>
      </c>
      <c r="AO56" s="50">
        <v>2</v>
      </c>
      <c r="AP56" s="50">
        <v>3</v>
      </c>
      <c r="AQ56" s="50">
        <v>1</v>
      </c>
      <c r="AR56" s="50">
        <v>1</v>
      </c>
      <c r="AU56" s="39"/>
      <c r="AW56" s="39"/>
    </row>
    <row r="57" spans="1:49" x14ac:dyDescent="0.25">
      <c r="A57" s="40"/>
      <c r="B57" s="41">
        <v>5506</v>
      </c>
      <c r="C57" s="40" t="s">
        <v>92</v>
      </c>
      <c r="D57" s="42">
        <v>8940445</v>
      </c>
      <c r="E57" s="42">
        <v>13523133</v>
      </c>
      <c r="F57" s="42">
        <v>12504814</v>
      </c>
      <c r="G57" s="42">
        <v>17712095</v>
      </c>
      <c r="H57" s="42">
        <f t="shared" si="8"/>
        <v>13170122</v>
      </c>
      <c r="I57" s="42">
        <v>1814384.9099999997</v>
      </c>
      <c r="J57" s="43">
        <f t="shared" si="0"/>
        <v>0.13776523178752631</v>
      </c>
      <c r="K57" s="44">
        <v>3144563.7800000003</v>
      </c>
      <c r="L57" s="45">
        <f t="shared" si="1"/>
        <v>0.23876496967909638</v>
      </c>
      <c r="M57" s="42">
        <v>6000</v>
      </c>
      <c r="N57" s="45">
        <f t="shared" si="9"/>
        <v>3.3875157060754248E-4</v>
      </c>
      <c r="O57" s="44">
        <v>-989292</v>
      </c>
      <c r="P57" s="44">
        <v>2562508</v>
      </c>
      <c r="Q57" s="44">
        <v>4676</v>
      </c>
      <c r="R57" s="46">
        <v>0.64254</v>
      </c>
      <c r="S57" s="46">
        <v>0.47704000000000002</v>
      </c>
      <c r="T57" s="47">
        <f t="shared" si="10"/>
        <v>0.55979999999999996</v>
      </c>
      <c r="U57" s="48">
        <v>0</v>
      </c>
      <c r="V57" s="45">
        <f t="shared" si="2"/>
        <v>0</v>
      </c>
      <c r="W57" s="49"/>
      <c r="X57" s="50"/>
      <c r="Y57" s="51"/>
      <c r="Z57" s="52"/>
      <c r="AA57" s="45" t="str">
        <f t="shared" si="3"/>
        <v/>
      </c>
      <c r="AB57" s="45" t="str">
        <f t="shared" si="4"/>
        <v/>
      </c>
      <c r="AC57" s="45" t="str">
        <f t="shared" si="5"/>
        <v/>
      </c>
      <c r="AD57" s="53" t="str">
        <f t="shared" si="11"/>
        <v/>
      </c>
      <c r="AE57" s="45">
        <f t="shared" si="6"/>
        <v>0.55979999999999996</v>
      </c>
      <c r="AF57" s="36">
        <f t="shared" si="12"/>
        <v>1</v>
      </c>
      <c r="AG57" s="54">
        <f t="shared" si="7"/>
        <v>0</v>
      </c>
      <c r="AH57" s="32" t="str">
        <f t="shared" si="13"/>
        <v/>
      </c>
      <c r="AI57" s="50"/>
      <c r="AJ57" s="50">
        <v>2</v>
      </c>
      <c r="AK57" s="50">
        <v>1</v>
      </c>
      <c r="AL57" s="50">
        <v>3</v>
      </c>
      <c r="AM57" s="50">
        <v>3</v>
      </c>
      <c r="AN57" s="50">
        <v>3</v>
      </c>
      <c r="AO57" s="50">
        <v>3</v>
      </c>
      <c r="AP57" s="50">
        <v>3</v>
      </c>
      <c r="AQ57" s="50">
        <v>3</v>
      </c>
      <c r="AR57" s="50">
        <v>3</v>
      </c>
      <c r="AU57" s="39"/>
      <c r="AW57" s="39"/>
    </row>
    <row r="58" spans="1:49" x14ac:dyDescent="0.25">
      <c r="A58" s="40"/>
      <c r="B58" s="41">
        <v>5507</v>
      </c>
      <c r="C58" s="40" t="s">
        <v>93</v>
      </c>
      <c r="D58" s="42">
        <v>6551387</v>
      </c>
      <c r="E58" s="42">
        <v>7946603</v>
      </c>
      <c r="F58" s="42">
        <v>9058820</v>
      </c>
      <c r="G58" s="42">
        <v>10411523</v>
      </c>
      <c r="H58" s="42">
        <f t="shared" si="8"/>
        <v>8492083</v>
      </c>
      <c r="I58" s="42">
        <v>113411.46000000021</v>
      </c>
      <c r="J58" s="43">
        <f t="shared" si="0"/>
        <v>1.3354963676167579E-2</v>
      </c>
      <c r="K58" s="44">
        <v>365729.95000000007</v>
      </c>
      <c r="L58" s="45">
        <f t="shared" si="1"/>
        <v>4.3067166206453712E-2</v>
      </c>
      <c r="M58" s="42">
        <v>0</v>
      </c>
      <c r="N58" s="45">
        <f t="shared" si="9"/>
        <v>0</v>
      </c>
      <c r="O58" s="44">
        <v>-102143</v>
      </c>
      <c r="P58" s="44">
        <v>103828</v>
      </c>
      <c r="Q58" s="44">
        <v>478320</v>
      </c>
      <c r="R58" s="46">
        <v>0.70045999999999997</v>
      </c>
      <c r="S58" s="46">
        <v>0.67603999999999997</v>
      </c>
      <c r="T58" s="47">
        <f t="shared" si="10"/>
        <v>0.68830000000000002</v>
      </c>
      <c r="U58" s="48">
        <v>0</v>
      </c>
      <c r="V58" s="45">
        <f t="shared" si="2"/>
        <v>0</v>
      </c>
      <c r="W58" s="49"/>
      <c r="X58" s="50"/>
      <c r="Y58" s="51"/>
      <c r="Z58" s="52"/>
      <c r="AA58" s="45" t="str">
        <f t="shared" si="3"/>
        <v/>
      </c>
      <c r="AB58" s="45" t="str">
        <f t="shared" si="4"/>
        <v/>
      </c>
      <c r="AC58" s="45" t="str">
        <f t="shared" si="5"/>
        <v/>
      </c>
      <c r="AD58" s="53" t="str">
        <f t="shared" si="11"/>
        <v/>
      </c>
      <c r="AE58" s="45">
        <f t="shared" si="6"/>
        <v>0.68830000000000002</v>
      </c>
      <c r="AF58" s="36">
        <f t="shared" si="12"/>
        <v>1</v>
      </c>
      <c r="AG58" s="54">
        <f t="shared" si="7"/>
        <v>0</v>
      </c>
      <c r="AH58" s="32" t="str">
        <f t="shared" si="13"/>
        <v/>
      </c>
      <c r="AI58" s="50"/>
      <c r="AJ58" s="50">
        <v>1</v>
      </c>
      <c r="AK58" s="50">
        <v>1</v>
      </c>
      <c r="AL58" s="50">
        <v>1</v>
      </c>
      <c r="AM58" s="50">
        <v>1</v>
      </c>
      <c r="AN58" s="50">
        <v>1</v>
      </c>
      <c r="AO58" s="50">
        <v>1</v>
      </c>
      <c r="AP58" s="50">
        <v>1</v>
      </c>
      <c r="AQ58" s="50">
        <v>1</v>
      </c>
      <c r="AR58" s="50">
        <v>1</v>
      </c>
      <c r="AU58" s="39"/>
      <c r="AW58" s="39"/>
    </row>
    <row r="59" spans="1:49" x14ac:dyDescent="0.25">
      <c r="A59" s="40"/>
      <c r="B59" s="41">
        <v>5508</v>
      </c>
      <c r="C59" s="40" t="s">
        <v>94</v>
      </c>
      <c r="D59" s="42">
        <v>2551649</v>
      </c>
      <c r="E59" s="42">
        <v>3233603</v>
      </c>
      <c r="F59" s="42">
        <v>4278968</v>
      </c>
      <c r="G59" s="42">
        <v>4499004</v>
      </c>
      <c r="H59" s="42">
        <f t="shared" si="8"/>
        <v>3640806</v>
      </c>
      <c r="I59" s="42">
        <v>19979.820000000029</v>
      </c>
      <c r="J59" s="43">
        <f t="shared" si="0"/>
        <v>5.4877463946170239E-3</v>
      </c>
      <c r="K59" s="44">
        <v>982570.30000000028</v>
      </c>
      <c r="L59" s="45">
        <f t="shared" si="1"/>
        <v>0.2698771370954674</v>
      </c>
      <c r="M59" s="42">
        <v>0</v>
      </c>
      <c r="N59" s="45">
        <f t="shared" si="9"/>
        <v>0</v>
      </c>
      <c r="O59" s="44">
        <v>370173</v>
      </c>
      <c r="P59" s="44">
        <v>-579955</v>
      </c>
      <c r="Q59" s="44">
        <v>-160699</v>
      </c>
      <c r="R59" s="46">
        <v>0.71023999999999998</v>
      </c>
      <c r="S59" s="46">
        <v>0.55191000000000001</v>
      </c>
      <c r="T59" s="47">
        <f t="shared" si="10"/>
        <v>0.63109999999999999</v>
      </c>
      <c r="U59" s="48">
        <v>0</v>
      </c>
      <c r="V59" s="45">
        <f t="shared" si="2"/>
        <v>0</v>
      </c>
      <c r="W59" s="49"/>
      <c r="X59" s="50"/>
      <c r="Y59" s="51"/>
      <c r="Z59" s="52"/>
      <c r="AA59" s="45" t="str">
        <f t="shared" si="3"/>
        <v/>
      </c>
      <c r="AB59" s="45" t="str">
        <f t="shared" si="4"/>
        <v/>
      </c>
      <c r="AC59" s="45" t="str">
        <f t="shared" si="5"/>
        <v/>
      </c>
      <c r="AD59" s="53" t="str">
        <f t="shared" si="11"/>
        <v/>
      </c>
      <c r="AE59" s="45">
        <f t="shared" si="6"/>
        <v>0.63109999999999999</v>
      </c>
      <c r="AF59" s="36">
        <f t="shared" si="12"/>
        <v>1</v>
      </c>
      <c r="AG59" s="54">
        <f t="shared" si="7"/>
        <v>0</v>
      </c>
      <c r="AH59" s="32" t="str">
        <f t="shared" si="13"/>
        <v/>
      </c>
      <c r="AI59" s="50"/>
      <c r="AJ59" s="50">
        <v>1</v>
      </c>
      <c r="AK59" s="50">
        <v>1</v>
      </c>
      <c r="AL59" s="50">
        <v>1</v>
      </c>
      <c r="AM59" s="50">
        <v>1</v>
      </c>
      <c r="AN59" s="50">
        <v>1</v>
      </c>
      <c r="AO59" s="50">
        <v>1</v>
      </c>
      <c r="AP59" s="50">
        <v>1</v>
      </c>
      <c r="AQ59" s="50">
        <v>1</v>
      </c>
      <c r="AR59" s="50">
        <v>1</v>
      </c>
      <c r="AU59" s="39"/>
      <c r="AW59" s="39"/>
    </row>
    <row r="60" spans="1:49" x14ac:dyDescent="0.25">
      <c r="A60" s="40"/>
      <c r="B60" s="41">
        <v>5509</v>
      </c>
      <c r="C60" s="40" t="s">
        <v>95</v>
      </c>
      <c r="D60" s="42">
        <v>5751746</v>
      </c>
      <c r="E60" s="42">
        <v>6122160</v>
      </c>
      <c r="F60" s="42">
        <v>6956235</v>
      </c>
      <c r="G60" s="42">
        <v>8111331</v>
      </c>
      <c r="H60" s="42">
        <f t="shared" si="8"/>
        <v>6735368</v>
      </c>
      <c r="I60" s="42">
        <v>883650.8899999999</v>
      </c>
      <c r="J60" s="43">
        <f t="shared" si="0"/>
        <v>0.13119563622952746</v>
      </c>
      <c r="K60" s="44">
        <v>1899838.78</v>
      </c>
      <c r="L60" s="45">
        <f t="shared" si="1"/>
        <v>0.28206903913787634</v>
      </c>
      <c r="M60" s="42">
        <v>0</v>
      </c>
      <c r="N60" s="45">
        <f t="shared" si="9"/>
        <v>0</v>
      </c>
      <c r="O60" s="44">
        <v>2614283</v>
      </c>
      <c r="P60" s="44">
        <v>-164424</v>
      </c>
      <c r="Q60" s="44">
        <v>-2481480</v>
      </c>
      <c r="R60" s="46">
        <v>0.75165000000000004</v>
      </c>
      <c r="S60" s="46">
        <v>0.65415999999999996</v>
      </c>
      <c r="T60" s="47">
        <f t="shared" si="10"/>
        <v>0.70289999999999997</v>
      </c>
      <c r="U60" s="48">
        <v>0</v>
      </c>
      <c r="V60" s="45">
        <f t="shared" si="2"/>
        <v>0</v>
      </c>
      <c r="W60" s="49"/>
      <c r="X60" s="50"/>
      <c r="Y60" s="51"/>
      <c r="Z60" s="52"/>
      <c r="AA60" s="45" t="str">
        <f t="shared" si="3"/>
        <v/>
      </c>
      <c r="AB60" s="45" t="str">
        <f t="shared" si="4"/>
        <v/>
      </c>
      <c r="AC60" s="45" t="str">
        <f t="shared" si="5"/>
        <v/>
      </c>
      <c r="AD60" s="53" t="str">
        <f t="shared" si="11"/>
        <v/>
      </c>
      <c r="AE60" s="45">
        <f t="shared" si="6"/>
        <v>0.70289999999999997</v>
      </c>
      <c r="AF60" s="36">
        <f t="shared" si="12"/>
        <v>1</v>
      </c>
      <c r="AG60" s="54">
        <f t="shared" si="7"/>
        <v>0</v>
      </c>
      <c r="AH60" s="32" t="str">
        <f t="shared" si="13"/>
        <v/>
      </c>
      <c r="AI60" s="50"/>
      <c r="AJ60" s="50">
        <v>1</v>
      </c>
      <c r="AK60" s="50">
        <v>1</v>
      </c>
      <c r="AL60" s="50">
        <v>1</v>
      </c>
      <c r="AM60" s="50">
        <v>1</v>
      </c>
      <c r="AN60" s="50">
        <v>1</v>
      </c>
      <c r="AO60" s="50">
        <v>1</v>
      </c>
      <c r="AP60" s="50">
        <v>1</v>
      </c>
      <c r="AQ60" s="50">
        <v>0</v>
      </c>
      <c r="AR60" s="50">
        <v>0</v>
      </c>
      <c r="AU60" s="39"/>
      <c r="AW60" s="39"/>
    </row>
    <row r="61" spans="1:49" x14ac:dyDescent="0.25">
      <c r="A61" s="40"/>
      <c r="B61" s="41">
        <v>5510</v>
      </c>
      <c r="C61" s="40" t="s">
        <v>96</v>
      </c>
      <c r="D61" s="42">
        <v>7698711</v>
      </c>
      <c r="E61" s="42">
        <v>10164989</v>
      </c>
      <c r="F61" s="42">
        <v>10938374</v>
      </c>
      <c r="G61" s="42">
        <v>12439116</v>
      </c>
      <c r="H61" s="42">
        <f t="shared" si="8"/>
        <v>10310298</v>
      </c>
      <c r="I61" s="42">
        <v>111183.27000000003</v>
      </c>
      <c r="J61" s="43">
        <f t="shared" si="0"/>
        <v>1.0783710616317785E-2</v>
      </c>
      <c r="K61" s="44">
        <v>3663991.1399999997</v>
      </c>
      <c r="L61" s="45">
        <f t="shared" si="1"/>
        <v>0.35537199215774362</v>
      </c>
      <c r="M61" s="42">
        <v>0</v>
      </c>
      <c r="N61" s="45">
        <f t="shared" si="9"/>
        <v>0</v>
      </c>
      <c r="O61" s="44">
        <v>161989</v>
      </c>
      <c r="P61" s="44">
        <v>157472</v>
      </c>
      <c r="Q61" s="44">
        <v>-1295427</v>
      </c>
      <c r="R61" s="46">
        <v>0.62541999999999998</v>
      </c>
      <c r="S61" s="46">
        <v>0.48727999999999999</v>
      </c>
      <c r="T61" s="47">
        <f t="shared" si="10"/>
        <v>0.55640000000000001</v>
      </c>
      <c r="U61" s="48">
        <v>0</v>
      </c>
      <c r="V61" s="45">
        <f t="shared" si="2"/>
        <v>0</v>
      </c>
      <c r="W61" s="49"/>
      <c r="X61" s="50"/>
      <c r="Y61" s="51"/>
      <c r="Z61" s="52"/>
      <c r="AA61" s="45" t="str">
        <f t="shared" si="3"/>
        <v/>
      </c>
      <c r="AB61" s="45" t="str">
        <f t="shared" si="4"/>
        <v/>
      </c>
      <c r="AC61" s="45" t="str">
        <f t="shared" si="5"/>
        <v/>
      </c>
      <c r="AD61" s="53" t="str">
        <f t="shared" si="11"/>
        <v/>
      </c>
      <c r="AE61" s="45">
        <f t="shared" si="6"/>
        <v>0.55640000000000001</v>
      </c>
      <c r="AF61" s="36">
        <f t="shared" si="12"/>
        <v>1</v>
      </c>
      <c r="AG61" s="54">
        <f t="shared" si="7"/>
        <v>0</v>
      </c>
      <c r="AH61" s="32" t="str">
        <f t="shared" si="13"/>
        <v/>
      </c>
      <c r="AI61" s="50"/>
      <c r="AJ61" s="50">
        <v>1</v>
      </c>
      <c r="AK61" s="50">
        <v>1</v>
      </c>
      <c r="AL61" s="50">
        <v>2</v>
      </c>
      <c r="AM61" s="50">
        <v>1</v>
      </c>
      <c r="AN61" s="50">
        <v>1</v>
      </c>
      <c r="AO61" s="50">
        <v>1</v>
      </c>
      <c r="AP61" s="50">
        <v>1</v>
      </c>
      <c r="AQ61" s="50">
        <v>1</v>
      </c>
      <c r="AR61" s="50">
        <v>1</v>
      </c>
      <c r="AU61" s="39"/>
      <c r="AW61" s="39"/>
    </row>
    <row r="62" spans="1:49" x14ac:dyDescent="0.25">
      <c r="A62" s="40"/>
      <c r="B62" s="41">
        <v>5511</v>
      </c>
      <c r="C62" s="40" t="s">
        <v>97</v>
      </c>
      <c r="D62" s="42">
        <v>4629711</v>
      </c>
      <c r="E62" s="42">
        <v>4459398</v>
      </c>
      <c r="F62" s="42">
        <v>5468517</v>
      </c>
      <c r="G62" s="42">
        <v>7154706</v>
      </c>
      <c r="H62" s="42">
        <f t="shared" si="8"/>
        <v>5428083</v>
      </c>
      <c r="I62" s="42">
        <v>339348.45999999932</v>
      </c>
      <c r="J62" s="43">
        <f t="shared" si="0"/>
        <v>6.2517183322362488E-2</v>
      </c>
      <c r="K62" s="44">
        <v>1602960.11</v>
      </c>
      <c r="L62" s="45">
        <f t="shared" si="1"/>
        <v>0.29530869553763273</v>
      </c>
      <c r="M62" s="42">
        <v>9468</v>
      </c>
      <c r="N62" s="45">
        <f t="shared" si="9"/>
        <v>1.3233248158624547E-3</v>
      </c>
      <c r="O62" s="44">
        <v>955851</v>
      </c>
      <c r="P62" s="44">
        <v>299845</v>
      </c>
      <c r="Q62" s="44">
        <v>-501948</v>
      </c>
      <c r="R62" s="46">
        <v>0.72516000000000003</v>
      </c>
      <c r="S62" s="46">
        <v>0.64849000000000001</v>
      </c>
      <c r="T62" s="47">
        <f t="shared" si="10"/>
        <v>0.68679999999999997</v>
      </c>
      <c r="U62" s="48">
        <v>0</v>
      </c>
      <c r="V62" s="45">
        <f t="shared" si="2"/>
        <v>0</v>
      </c>
      <c r="W62" s="49"/>
      <c r="X62" s="50"/>
      <c r="Y62" s="51"/>
      <c r="Z62" s="52"/>
      <c r="AA62" s="45" t="str">
        <f t="shared" si="3"/>
        <v/>
      </c>
      <c r="AB62" s="45" t="str">
        <f t="shared" si="4"/>
        <v/>
      </c>
      <c r="AC62" s="45" t="str">
        <f t="shared" si="5"/>
        <v/>
      </c>
      <c r="AD62" s="53" t="str">
        <f t="shared" si="11"/>
        <v/>
      </c>
      <c r="AE62" s="45">
        <f t="shared" si="6"/>
        <v>0.68679999999999997</v>
      </c>
      <c r="AF62" s="36">
        <f t="shared" si="12"/>
        <v>1</v>
      </c>
      <c r="AG62" s="54">
        <f t="shared" si="7"/>
        <v>0</v>
      </c>
      <c r="AH62" s="32" t="str">
        <f t="shared" si="13"/>
        <v/>
      </c>
      <c r="AI62" s="50"/>
      <c r="AJ62" s="50">
        <v>1</v>
      </c>
      <c r="AK62" s="50">
        <v>1</v>
      </c>
      <c r="AL62" s="50">
        <v>1</v>
      </c>
      <c r="AM62" s="50">
        <v>1</v>
      </c>
      <c r="AN62" s="50">
        <v>0</v>
      </c>
      <c r="AO62" s="50">
        <v>2</v>
      </c>
      <c r="AP62" s="50">
        <v>1</v>
      </c>
      <c r="AQ62" s="50">
        <v>1</v>
      </c>
      <c r="AR62" s="50">
        <v>0</v>
      </c>
      <c r="AU62" s="39"/>
      <c r="AW62" s="39"/>
    </row>
    <row r="63" spans="1:49" x14ac:dyDescent="0.25">
      <c r="A63" s="40" t="s">
        <v>98</v>
      </c>
      <c r="B63" s="41">
        <v>5601</v>
      </c>
      <c r="C63" s="40" t="s">
        <v>99</v>
      </c>
      <c r="D63" s="42">
        <v>7552591</v>
      </c>
      <c r="E63" s="42">
        <v>8816698</v>
      </c>
      <c r="F63" s="42">
        <v>13627851</v>
      </c>
      <c r="G63" s="42">
        <v>12809277</v>
      </c>
      <c r="H63" s="42">
        <f t="shared" si="8"/>
        <v>10701604</v>
      </c>
      <c r="I63" s="42">
        <v>120929.88999999978</v>
      </c>
      <c r="J63" s="43">
        <f t="shared" si="0"/>
        <v>1.1300164909858352E-2</v>
      </c>
      <c r="K63" s="44">
        <v>9504784.4900000002</v>
      </c>
      <c r="L63" s="45">
        <f t="shared" si="1"/>
        <v>0.88816447422274269</v>
      </c>
      <c r="M63" s="42">
        <v>1403254</v>
      </c>
      <c r="N63" s="45">
        <f t="shared" si="9"/>
        <v>0.10954982080565515</v>
      </c>
      <c r="O63" s="44">
        <v>2426977</v>
      </c>
      <c r="P63" s="44">
        <v>-1570470</v>
      </c>
      <c r="Q63" s="44">
        <v>1642380</v>
      </c>
      <c r="R63" s="46">
        <v>0.64607000000000003</v>
      </c>
      <c r="S63" s="46">
        <v>0.51644999999999996</v>
      </c>
      <c r="T63" s="47">
        <f t="shared" si="10"/>
        <v>0.58130000000000004</v>
      </c>
      <c r="U63" s="48">
        <v>0</v>
      </c>
      <c r="V63" s="45">
        <f t="shared" si="2"/>
        <v>0</v>
      </c>
      <c r="W63" s="49"/>
      <c r="X63" s="50"/>
      <c r="Y63" s="51"/>
      <c r="Z63" s="52"/>
      <c r="AA63" s="45" t="str">
        <f t="shared" si="3"/>
        <v/>
      </c>
      <c r="AB63" s="45">
        <f t="shared" si="4"/>
        <v>0.88816447422274269</v>
      </c>
      <c r="AC63" s="45">
        <f t="shared" si="5"/>
        <v>0.10954982080565515</v>
      </c>
      <c r="AD63" s="53" t="str">
        <f t="shared" si="11"/>
        <v/>
      </c>
      <c r="AE63" s="45">
        <f t="shared" si="6"/>
        <v>0.58130000000000004</v>
      </c>
      <c r="AF63" s="36">
        <f t="shared" si="12"/>
        <v>3</v>
      </c>
      <c r="AG63" s="54">
        <f t="shared" si="7"/>
        <v>0</v>
      </c>
      <c r="AH63" s="32">
        <f t="shared" si="13"/>
        <v>1</v>
      </c>
      <c r="AI63" s="50"/>
      <c r="AJ63" s="50">
        <v>2</v>
      </c>
      <c r="AK63" s="50">
        <v>2</v>
      </c>
      <c r="AL63" s="50">
        <v>2</v>
      </c>
      <c r="AM63" s="50">
        <v>2</v>
      </c>
      <c r="AN63" s="50">
        <v>2</v>
      </c>
      <c r="AO63" s="50">
        <v>2</v>
      </c>
      <c r="AP63" s="50">
        <v>2</v>
      </c>
      <c r="AQ63" s="50">
        <v>3</v>
      </c>
      <c r="AR63" s="50">
        <v>3</v>
      </c>
      <c r="AU63" s="39"/>
      <c r="AW63" s="39"/>
    </row>
    <row r="64" spans="1:49" x14ac:dyDescent="0.25">
      <c r="A64" s="40"/>
      <c r="B64" s="41">
        <v>5602</v>
      </c>
      <c r="C64" s="40" t="s">
        <v>100</v>
      </c>
      <c r="D64" s="42">
        <v>32214797</v>
      </c>
      <c r="E64" s="42">
        <v>34082559</v>
      </c>
      <c r="F64" s="42">
        <v>53206864</v>
      </c>
      <c r="G64" s="42">
        <v>57335147</v>
      </c>
      <c r="H64" s="42">
        <f t="shared" si="8"/>
        <v>44209842</v>
      </c>
      <c r="I64" s="42">
        <v>387536.25999999949</v>
      </c>
      <c r="J64" s="43">
        <f t="shared" si="0"/>
        <v>8.7658368016786739E-3</v>
      </c>
      <c r="K64" s="44">
        <v>22004007.530000001</v>
      </c>
      <c r="L64" s="45">
        <f t="shared" si="1"/>
        <v>0.4977173980852499</v>
      </c>
      <c r="M64" s="42">
        <v>0</v>
      </c>
      <c r="N64" s="45">
        <f t="shared" si="9"/>
        <v>0</v>
      </c>
      <c r="O64" s="44">
        <v>5106185</v>
      </c>
      <c r="P64" s="44">
        <v>-2955471</v>
      </c>
      <c r="Q64" s="44">
        <v>599628</v>
      </c>
      <c r="R64" s="46">
        <v>0.71738000000000002</v>
      </c>
      <c r="S64" s="46">
        <v>0.65737999999999996</v>
      </c>
      <c r="T64" s="47">
        <f t="shared" si="10"/>
        <v>0.68740000000000001</v>
      </c>
      <c r="U64" s="48">
        <v>0</v>
      </c>
      <c r="V64" s="45">
        <f t="shared" si="2"/>
        <v>0</v>
      </c>
      <c r="W64" s="49"/>
      <c r="X64" s="50"/>
      <c r="Y64" s="51">
        <v>0.3085</v>
      </c>
      <c r="Z64" s="52"/>
      <c r="AA64" s="45" t="str">
        <f t="shared" si="3"/>
        <v/>
      </c>
      <c r="AB64" s="45" t="str">
        <f t="shared" si="4"/>
        <v/>
      </c>
      <c r="AC64" s="45" t="str">
        <f t="shared" si="5"/>
        <v/>
      </c>
      <c r="AD64" s="53" t="str">
        <f t="shared" si="11"/>
        <v/>
      </c>
      <c r="AE64" s="45">
        <f t="shared" si="6"/>
        <v>0.68740000000000001</v>
      </c>
      <c r="AF64" s="36">
        <f t="shared" si="12"/>
        <v>2</v>
      </c>
      <c r="AG64" s="54">
        <f t="shared" si="7"/>
        <v>0</v>
      </c>
      <c r="AH64" s="32" t="str">
        <f t="shared" si="13"/>
        <v/>
      </c>
      <c r="AI64" s="50"/>
      <c r="AJ64" s="50">
        <v>1</v>
      </c>
      <c r="AK64" s="50">
        <v>1</v>
      </c>
      <c r="AL64" s="50">
        <v>1</v>
      </c>
      <c r="AM64" s="50">
        <v>1</v>
      </c>
      <c r="AN64" s="50">
        <v>1</v>
      </c>
      <c r="AO64" s="50">
        <v>1</v>
      </c>
      <c r="AP64" s="50">
        <v>1</v>
      </c>
      <c r="AQ64" s="50">
        <v>1</v>
      </c>
      <c r="AR64" s="50">
        <v>1</v>
      </c>
      <c r="AU64" s="39"/>
      <c r="AW64" s="39"/>
    </row>
    <row r="65" spans="1:49" x14ac:dyDescent="0.25">
      <c r="A65" s="40"/>
      <c r="B65" s="41">
        <v>5603</v>
      </c>
      <c r="C65" s="40" t="s">
        <v>98</v>
      </c>
      <c r="D65" s="42">
        <v>87789951</v>
      </c>
      <c r="E65" s="42">
        <v>97071175</v>
      </c>
      <c r="F65" s="42">
        <v>123448985</v>
      </c>
      <c r="G65" s="42">
        <v>151640535</v>
      </c>
      <c r="H65" s="42">
        <f t="shared" si="8"/>
        <v>114987662</v>
      </c>
      <c r="I65" s="42">
        <v>1715278.0499999968</v>
      </c>
      <c r="J65" s="43">
        <f t="shared" si="0"/>
        <v>1.4917061710498964E-2</v>
      </c>
      <c r="K65" s="44">
        <v>46198710.760000005</v>
      </c>
      <c r="L65" s="45">
        <f t="shared" si="1"/>
        <v>0.40177102444260504</v>
      </c>
      <c r="M65" s="42">
        <v>64766</v>
      </c>
      <c r="N65" s="45">
        <f t="shared" si="9"/>
        <v>4.2710215972266256E-4</v>
      </c>
      <c r="O65" s="44">
        <v>6124134</v>
      </c>
      <c r="P65" s="44">
        <v>-9283</v>
      </c>
      <c r="Q65" s="44">
        <v>4053553</v>
      </c>
      <c r="R65" s="46">
        <v>0.80488999999999999</v>
      </c>
      <c r="S65" s="46">
        <v>0.70987999999999996</v>
      </c>
      <c r="T65" s="47">
        <f t="shared" si="10"/>
        <v>0.75739999999999996</v>
      </c>
      <c r="U65" s="48">
        <v>28798</v>
      </c>
      <c r="V65" s="45">
        <f t="shared" si="2"/>
        <v>1.8990964388248828E-4</v>
      </c>
      <c r="W65" s="49"/>
      <c r="X65" s="50"/>
      <c r="Y65" s="51"/>
      <c r="Z65" s="52"/>
      <c r="AA65" s="45" t="str">
        <f t="shared" si="3"/>
        <v/>
      </c>
      <c r="AB65" s="45" t="str">
        <f t="shared" si="4"/>
        <v/>
      </c>
      <c r="AC65" s="45" t="str">
        <f t="shared" si="5"/>
        <v/>
      </c>
      <c r="AD65" s="53" t="str">
        <f t="shared" si="11"/>
        <v/>
      </c>
      <c r="AE65" s="45">
        <f t="shared" si="6"/>
        <v>0.75739999999999996</v>
      </c>
      <c r="AF65" s="36">
        <f t="shared" si="12"/>
        <v>1</v>
      </c>
      <c r="AG65" s="54">
        <f t="shared" si="7"/>
        <v>0</v>
      </c>
      <c r="AH65" s="32" t="str">
        <f t="shared" si="13"/>
        <v/>
      </c>
      <c r="AI65" s="50"/>
      <c r="AJ65" s="50">
        <v>1</v>
      </c>
      <c r="AK65" s="50">
        <v>0</v>
      </c>
      <c r="AL65" s="50">
        <v>1</v>
      </c>
      <c r="AM65" s="50">
        <v>1</v>
      </c>
      <c r="AN65" s="50">
        <v>1</v>
      </c>
      <c r="AO65" s="50">
        <v>1</v>
      </c>
      <c r="AP65" s="50">
        <v>1</v>
      </c>
      <c r="AQ65" s="50">
        <v>1</v>
      </c>
      <c r="AR65" s="50">
        <v>2</v>
      </c>
      <c r="AU65" s="39"/>
      <c r="AW65" s="39"/>
    </row>
    <row r="66" spans="1:49" x14ac:dyDescent="0.25">
      <c r="A66" s="40"/>
      <c r="B66" s="41">
        <v>5605</v>
      </c>
      <c r="C66" s="40" t="s">
        <v>101</v>
      </c>
      <c r="D66" s="42">
        <v>30486012</v>
      </c>
      <c r="E66" s="42">
        <v>39438689</v>
      </c>
      <c r="F66" s="42">
        <v>44881178</v>
      </c>
      <c r="G66" s="42">
        <v>51475793</v>
      </c>
      <c r="H66" s="42">
        <f t="shared" si="8"/>
        <v>41570418</v>
      </c>
      <c r="I66" s="42">
        <v>3811987.899999999</v>
      </c>
      <c r="J66" s="43">
        <f t="shared" si="0"/>
        <v>9.1699532585888338E-2</v>
      </c>
      <c r="K66" s="44">
        <v>21948390.880000003</v>
      </c>
      <c r="L66" s="45">
        <f t="shared" si="1"/>
        <v>0.52798100033538276</v>
      </c>
      <c r="M66" s="42">
        <v>0</v>
      </c>
      <c r="N66" s="45">
        <f t="shared" si="9"/>
        <v>0</v>
      </c>
      <c r="O66" s="44">
        <v>206135</v>
      </c>
      <c r="P66" s="44">
        <v>239491</v>
      </c>
      <c r="Q66" s="44">
        <v>-4350204</v>
      </c>
      <c r="R66" s="46">
        <v>0.96511999999999998</v>
      </c>
      <c r="S66" s="46">
        <v>0.81411999999999995</v>
      </c>
      <c r="T66" s="47">
        <f t="shared" si="10"/>
        <v>0.88959999999999995</v>
      </c>
      <c r="U66" s="48">
        <v>0</v>
      </c>
      <c r="V66" s="45">
        <f t="shared" si="2"/>
        <v>0</v>
      </c>
      <c r="W66" s="49"/>
      <c r="X66" s="50"/>
      <c r="Y66" s="51"/>
      <c r="Z66" s="52"/>
      <c r="AA66" s="45" t="str">
        <f t="shared" si="3"/>
        <v/>
      </c>
      <c r="AB66" s="45">
        <f t="shared" si="4"/>
        <v>0.52798100033538276</v>
      </c>
      <c r="AC66" s="45" t="str">
        <f t="shared" si="5"/>
        <v/>
      </c>
      <c r="AD66" s="53" t="str">
        <f t="shared" si="11"/>
        <v/>
      </c>
      <c r="AE66" s="45" t="str">
        <f t="shared" si="6"/>
        <v/>
      </c>
      <c r="AF66" s="36">
        <f t="shared" si="12"/>
        <v>1</v>
      </c>
      <c r="AG66" s="54">
        <f t="shared" si="7"/>
        <v>0</v>
      </c>
      <c r="AH66" s="32" t="str">
        <f t="shared" si="13"/>
        <v/>
      </c>
      <c r="AI66" s="50"/>
      <c r="AJ66" s="50">
        <v>0</v>
      </c>
      <c r="AK66" s="50">
        <v>1</v>
      </c>
      <c r="AL66" s="50">
        <v>1</v>
      </c>
      <c r="AM66" s="50">
        <v>1</v>
      </c>
      <c r="AN66" s="50">
        <v>0</v>
      </c>
      <c r="AO66" s="50">
        <v>0</v>
      </c>
      <c r="AP66" s="50">
        <v>0</v>
      </c>
      <c r="AQ66" s="50">
        <v>0</v>
      </c>
      <c r="AR66" s="50">
        <v>0</v>
      </c>
      <c r="AU66" s="39"/>
      <c r="AW66" s="39"/>
    </row>
    <row r="67" spans="1:49" x14ac:dyDescent="0.25">
      <c r="A67" s="40"/>
      <c r="B67" s="41">
        <v>5606</v>
      </c>
      <c r="C67" s="40" t="s">
        <v>102</v>
      </c>
      <c r="D67" s="42">
        <v>9474940</v>
      </c>
      <c r="E67" s="42">
        <v>13126215</v>
      </c>
      <c r="F67" s="42">
        <v>20640894</v>
      </c>
      <c r="G67" s="42">
        <v>17515972</v>
      </c>
      <c r="H67" s="42">
        <f t="shared" si="8"/>
        <v>15189505</v>
      </c>
      <c r="I67" s="42">
        <v>1329500.1700000009</v>
      </c>
      <c r="J67" s="43">
        <f t="shared" ref="J67:J130" si="14">+I67/$H67</f>
        <v>8.7527550766137593E-2</v>
      </c>
      <c r="K67" s="44">
        <v>13501785.380000001</v>
      </c>
      <c r="L67" s="45">
        <f t="shared" ref="L67:L130" si="15">+K67/$H67</f>
        <v>0.88888909678096828</v>
      </c>
      <c r="M67" s="42">
        <v>171255</v>
      </c>
      <c r="N67" s="45">
        <f t="shared" si="9"/>
        <v>9.777076601858007E-3</v>
      </c>
      <c r="O67" s="44">
        <v>3092868</v>
      </c>
      <c r="P67" s="44">
        <v>-2701141</v>
      </c>
      <c r="Q67" s="44">
        <v>-211553</v>
      </c>
      <c r="R67" s="46">
        <v>0.65241000000000005</v>
      </c>
      <c r="S67" s="46">
        <v>0.58819999999999995</v>
      </c>
      <c r="T67" s="47">
        <f t="shared" si="10"/>
        <v>0.62029999999999996</v>
      </c>
      <c r="U67" s="48">
        <v>0</v>
      </c>
      <c r="V67" s="45">
        <f t="shared" ref="V67:V130" si="16">+U67/G67</f>
        <v>0</v>
      </c>
      <c r="W67" s="49"/>
      <c r="X67" s="50"/>
      <c r="Y67" s="51"/>
      <c r="Z67" s="52"/>
      <c r="AA67" s="45" t="str">
        <f t="shared" ref="AA67:AA130" si="17">IF(J67&gt;15%,J67,"")</f>
        <v/>
      </c>
      <c r="AB67" s="45">
        <f t="shared" ref="AB67:AB130" si="18">IF(L67&gt;50%,L67,"")</f>
        <v>0.88888909678096828</v>
      </c>
      <c r="AC67" s="45" t="str">
        <f t="shared" ref="AC67:AC130" si="19">IF(N67&gt;5%,N67,"")</f>
        <v/>
      </c>
      <c r="AD67" s="53" t="str">
        <f t="shared" si="11"/>
        <v/>
      </c>
      <c r="AE67" s="45">
        <f t="shared" ref="AE67:AE130" si="20">IF(T67&lt;T$268,T67,"")</f>
        <v>0.62029999999999996</v>
      </c>
      <c r="AF67" s="36">
        <f t="shared" si="12"/>
        <v>2</v>
      </c>
      <c r="AG67" s="54">
        <f t="shared" ref="AG67:AG130" si="21">IF(V67&gt;50%,V67,0)</f>
        <v>0</v>
      </c>
      <c r="AH67" s="32" t="str">
        <f t="shared" si="13"/>
        <v/>
      </c>
      <c r="AI67" s="50"/>
      <c r="AJ67" s="50">
        <v>1</v>
      </c>
      <c r="AK67" s="50">
        <v>2</v>
      </c>
      <c r="AL67" s="50">
        <v>2</v>
      </c>
      <c r="AM67" s="50">
        <v>2</v>
      </c>
      <c r="AN67" s="50">
        <v>2</v>
      </c>
      <c r="AO67" s="50">
        <v>3</v>
      </c>
      <c r="AP67" s="50">
        <v>2</v>
      </c>
      <c r="AQ67" s="50">
        <v>3</v>
      </c>
      <c r="AR67" s="50">
        <v>2</v>
      </c>
      <c r="AU67" s="39"/>
      <c r="AW67" s="39"/>
    </row>
    <row r="68" spans="1:49" x14ac:dyDescent="0.25">
      <c r="A68" s="40"/>
      <c r="B68" s="41">
        <v>5607</v>
      </c>
      <c r="C68" s="40" t="s">
        <v>103</v>
      </c>
      <c r="D68" s="42">
        <v>23457817</v>
      </c>
      <c r="E68" s="42">
        <v>31998682</v>
      </c>
      <c r="F68" s="42">
        <v>34957358</v>
      </c>
      <c r="G68" s="42">
        <v>44148888</v>
      </c>
      <c r="H68" s="42">
        <f t="shared" ref="H68:H131" si="22">ROUND((+F68+E68+D68+G68)/4,0)</f>
        <v>33640686</v>
      </c>
      <c r="I68" s="42">
        <v>2395170.0500000021</v>
      </c>
      <c r="J68" s="43">
        <f t="shared" si="14"/>
        <v>7.1198609029554341E-2</v>
      </c>
      <c r="K68" s="44">
        <v>6539411.959999999</v>
      </c>
      <c r="L68" s="45">
        <f t="shared" si="15"/>
        <v>0.1943899705255713</v>
      </c>
      <c r="M68" s="42">
        <v>1164279</v>
      </c>
      <c r="N68" s="45">
        <f t="shared" ref="N68:N131" si="23">+M68/G68</f>
        <v>2.6371649496585284E-2</v>
      </c>
      <c r="O68" s="44">
        <v>-849530</v>
      </c>
      <c r="P68" s="44">
        <v>-318091</v>
      </c>
      <c r="Q68" s="44">
        <v>720453</v>
      </c>
      <c r="R68" s="46">
        <v>0.78095999999999999</v>
      </c>
      <c r="S68" s="46">
        <v>0.75663000000000002</v>
      </c>
      <c r="T68" s="47">
        <f t="shared" ref="T68:T131" si="24">+ROUND(AVERAGE(R68:S68),4)</f>
        <v>0.76880000000000004</v>
      </c>
      <c r="U68" s="48">
        <v>0</v>
      </c>
      <c r="V68" s="45">
        <f t="shared" si="16"/>
        <v>0</v>
      </c>
      <c r="W68" s="49"/>
      <c r="X68" s="50"/>
      <c r="Y68" s="51"/>
      <c r="Z68" s="52"/>
      <c r="AA68" s="45" t="str">
        <f t="shared" si="17"/>
        <v/>
      </c>
      <c r="AB68" s="45" t="str">
        <f t="shared" si="18"/>
        <v/>
      </c>
      <c r="AC68" s="45" t="str">
        <f t="shared" si="19"/>
        <v/>
      </c>
      <c r="AD68" s="53" t="str">
        <f t="shared" ref="AD68:AD131" si="25">IF(AND(Q68&lt;0,O68&lt;0,P68&lt;0),"да","")</f>
        <v/>
      </c>
      <c r="AE68" s="45" t="str">
        <f t="shared" si="20"/>
        <v/>
      </c>
      <c r="AF68" s="36">
        <f t="shared" ref="AF68:AF131" si="26">COUNTIF(Y68:AC68,"&gt;0")+COUNTIF(AD68,"да")+COUNTIF(AE68,"&gt;0")</f>
        <v>0</v>
      </c>
      <c r="AG68" s="54">
        <f t="shared" si="21"/>
        <v>0</v>
      </c>
      <c r="AH68" s="32" t="str">
        <f t="shared" ref="AH68:AH131" si="27">+IF(OR(AF68&gt;2,AG68&gt;50%),1,"")</f>
        <v/>
      </c>
      <c r="AI68" s="50"/>
      <c r="AJ68" s="50">
        <v>0</v>
      </c>
      <c r="AK68" s="50">
        <v>0</v>
      </c>
      <c r="AL68" s="50">
        <v>0</v>
      </c>
      <c r="AM68" s="50">
        <v>0</v>
      </c>
      <c r="AN68" s="50">
        <v>1</v>
      </c>
      <c r="AO68" s="50">
        <v>0</v>
      </c>
      <c r="AP68" s="50">
        <v>0</v>
      </c>
      <c r="AQ68" s="50">
        <v>2</v>
      </c>
      <c r="AR68" s="50">
        <v>2</v>
      </c>
      <c r="AU68" s="39"/>
      <c r="AW68" s="39"/>
    </row>
    <row r="69" spans="1:49" x14ac:dyDescent="0.25">
      <c r="A69" s="40"/>
      <c r="B69" s="41">
        <v>5608</v>
      </c>
      <c r="C69" s="40" t="s">
        <v>104</v>
      </c>
      <c r="D69" s="42">
        <v>9204050</v>
      </c>
      <c r="E69" s="42">
        <v>10935047</v>
      </c>
      <c r="F69" s="42">
        <v>12232138</v>
      </c>
      <c r="G69" s="42">
        <v>15607500</v>
      </c>
      <c r="H69" s="42">
        <f t="shared" si="22"/>
        <v>11994684</v>
      </c>
      <c r="I69" s="42">
        <v>315859.10000000015</v>
      </c>
      <c r="J69" s="43">
        <f t="shared" si="14"/>
        <v>2.6333257299650425E-2</v>
      </c>
      <c r="K69" s="44">
        <v>12381778.790000001</v>
      </c>
      <c r="L69" s="45">
        <f t="shared" si="15"/>
        <v>1.0322721957493837</v>
      </c>
      <c r="M69" s="42">
        <v>225476</v>
      </c>
      <c r="N69" s="45">
        <f t="shared" si="23"/>
        <v>1.4446644241550536E-2</v>
      </c>
      <c r="O69" s="44">
        <v>760231</v>
      </c>
      <c r="P69" s="44">
        <v>22777</v>
      </c>
      <c r="Q69" s="44">
        <v>-553576</v>
      </c>
      <c r="R69" s="46">
        <v>0.72907999999999995</v>
      </c>
      <c r="S69" s="46">
        <v>0.68310999999999999</v>
      </c>
      <c r="T69" s="47">
        <f t="shared" si="24"/>
        <v>0.70609999999999995</v>
      </c>
      <c r="U69" s="48">
        <v>0</v>
      </c>
      <c r="V69" s="45">
        <f t="shared" si="16"/>
        <v>0</v>
      </c>
      <c r="W69" s="49"/>
      <c r="X69" s="50"/>
      <c r="Y69" s="51"/>
      <c r="Z69" s="52"/>
      <c r="AA69" s="45" t="str">
        <f t="shared" si="17"/>
        <v/>
      </c>
      <c r="AB69" s="45">
        <f t="shared" si="18"/>
        <v>1.0322721957493837</v>
      </c>
      <c r="AC69" s="45" t="str">
        <f t="shared" si="19"/>
        <v/>
      </c>
      <c r="AD69" s="53" t="str">
        <f t="shared" si="25"/>
        <v/>
      </c>
      <c r="AE69" s="45">
        <f t="shared" si="20"/>
        <v>0.70609999999999995</v>
      </c>
      <c r="AF69" s="36">
        <f t="shared" si="26"/>
        <v>2</v>
      </c>
      <c r="AG69" s="54">
        <f t="shared" si="21"/>
        <v>0</v>
      </c>
      <c r="AH69" s="32" t="str">
        <f t="shared" si="27"/>
        <v/>
      </c>
      <c r="AI69" s="50"/>
      <c r="AJ69" s="50">
        <v>1</v>
      </c>
      <c r="AK69" s="50">
        <v>1</v>
      </c>
      <c r="AL69" s="50">
        <v>0</v>
      </c>
      <c r="AM69" s="50">
        <v>1</v>
      </c>
      <c r="AN69" s="50">
        <v>1</v>
      </c>
      <c r="AO69" s="50">
        <v>1</v>
      </c>
      <c r="AP69" s="50">
        <v>2</v>
      </c>
      <c r="AQ69" s="50">
        <v>3</v>
      </c>
      <c r="AR69" s="50">
        <v>3</v>
      </c>
      <c r="AU69" s="39"/>
      <c r="AW69" s="39"/>
    </row>
    <row r="70" spans="1:49" x14ac:dyDescent="0.25">
      <c r="A70" s="40"/>
      <c r="B70" s="41">
        <v>5609</v>
      </c>
      <c r="C70" s="40" t="s">
        <v>105</v>
      </c>
      <c r="D70" s="42">
        <v>15504055</v>
      </c>
      <c r="E70" s="42">
        <v>14141038</v>
      </c>
      <c r="F70" s="42">
        <v>18308549</v>
      </c>
      <c r="G70" s="42">
        <v>26475675</v>
      </c>
      <c r="H70" s="42">
        <f t="shared" si="22"/>
        <v>18607329</v>
      </c>
      <c r="I70" s="42">
        <v>556400.08000000054</v>
      </c>
      <c r="J70" s="43">
        <f t="shared" si="14"/>
        <v>2.9902200364168362E-2</v>
      </c>
      <c r="K70" s="44">
        <v>13297817.75</v>
      </c>
      <c r="L70" s="45">
        <f t="shared" si="15"/>
        <v>0.71465484111126321</v>
      </c>
      <c r="M70" s="42">
        <v>45282</v>
      </c>
      <c r="N70" s="45">
        <f t="shared" si="23"/>
        <v>1.7103246659433613E-3</v>
      </c>
      <c r="O70" s="44">
        <v>2065438</v>
      </c>
      <c r="P70" s="44">
        <v>736640</v>
      </c>
      <c r="Q70" s="44">
        <v>1007226</v>
      </c>
      <c r="R70" s="46">
        <v>0.67969000000000002</v>
      </c>
      <c r="S70" s="46">
        <v>0.65222999999999998</v>
      </c>
      <c r="T70" s="47">
        <f t="shared" si="24"/>
        <v>0.66600000000000004</v>
      </c>
      <c r="U70" s="48">
        <v>0</v>
      </c>
      <c r="V70" s="45">
        <f t="shared" si="16"/>
        <v>0</v>
      </c>
      <c r="W70" s="49"/>
      <c r="X70" s="50"/>
      <c r="Y70" s="51">
        <v>0.26450000000000001</v>
      </c>
      <c r="Z70" s="52"/>
      <c r="AA70" s="45" t="str">
        <f t="shared" si="17"/>
        <v/>
      </c>
      <c r="AB70" s="45">
        <f t="shared" si="18"/>
        <v>0.71465484111126321</v>
      </c>
      <c r="AC70" s="45" t="str">
        <f t="shared" si="19"/>
        <v/>
      </c>
      <c r="AD70" s="53" t="str">
        <f t="shared" si="25"/>
        <v/>
      </c>
      <c r="AE70" s="45">
        <f t="shared" si="20"/>
        <v>0.66600000000000004</v>
      </c>
      <c r="AF70" s="36">
        <f t="shared" si="26"/>
        <v>3</v>
      </c>
      <c r="AG70" s="54">
        <f t="shared" si="21"/>
        <v>0</v>
      </c>
      <c r="AH70" s="32">
        <f t="shared" si="27"/>
        <v>1</v>
      </c>
      <c r="AI70" s="50"/>
      <c r="AJ70" s="50">
        <v>1</v>
      </c>
      <c r="AK70" s="50">
        <v>1</v>
      </c>
      <c r="AL70" s="50">
        <v>1</v>
      </c>
      <c r="AM70" s="50">
        <v>1</v>
      </c>
      <c r="AN70" s="50">
        <v>2</v>
      </c>
      <c r="AO70" s="50">
        <v>3</v>
      </c>
      <c r="AP70" s="50">
        <v>2</v>
      </c>
      <c r="AQ70" s="50">
        <v>3</v>
      </c>
      <c r="AR70" s="50">
        <v>1</v>
      </c>
      <c r="AU70" s="39"/>
      <c r="AW70" s="39"/>
    </row>
    <row r="71" spans="1:49" x14ac:dyDescent="0.25">
      <c r="A71" s="40"/>
      <c r="B71" s="41">
        <v>5610</v>
      </c>
      <c r="C71" s="40" t="s">
        <v>106</v>
      </c>
      <c r="D71" s="42">
        <v>9770596</v>
      </c>
      <c r="E71" s="42">
        <v>11838298</v>
      </c>
      <c r="F71" s="42">
        <v>18812685</v>
      </c>
      <c r="G71" s="42">
        <v>18901316</v>
      </c>
      <c r="H71" s="42">
        <f t="shared" si="22"/>
        <v>14830724</v>
      </c>
      <c r="I71" s="42">
        <v>272558.68999999994</v>
      </c>
      <c r="J71" s="43">
        <f t="shared" si="14"/>
        <v>1.837797601789366E-2</v>
      </c>
      <c r="K71" s="44">
        <v>12362163.65</v>
      </c>
      <c r="L71" s="45">
        <f t="shared" si="15"/>
        <v>0.83355092104741479</v>
      </c>
      <c r="M71" s="42">
        <v>0</v>
      </c>
      <c r="N71" s="45">
        <f t="shared" si="23"/>
        <v>0</v>
      </c>
      <c r="O71" s="44">
        <v>3501580</v>
      </c>
      <c r="P71" s="44">
        <v>818547</v>
      </c>
      <c r="Q71" s="44">
        <v>-1260586</v>
      </c>
      <c r="R71" s="46">
        <v>0.83357000000000003</v>
      </c>
      <c r="S71" s="46">
        <v>0.70267000000000002</v>
      </c>
      <c r="T71" s="47">
        <f t="shared" si="24"/>
        <v>0.7681</v>
      </c>
      <c r="U71" s="48">
        <v>0</v>
      </c>
      <c r="V71" s="45">
        <f t="shared" si="16"/>
        <v>0</v>
      </c>
      <c r="W71" s="49"/>
      <c r="X71" s="50"/>
      <c r="Y71" s="51"/>
      <c r="Z71" s="52"/>
      <c r="AA71" s="45" t="str">
        <f t="shared" si="17"/>
        <v/>
      </c>
      <c r="AB71" s="45">
        <f t="shared" si="18"/>
        <v>0.83355092104741479</v>
      </c>
      <c r="AC71" s="45" t="str">
        <f t="shared" si="19"/>
        <v/>
      </c>
      <c r="AD71" s="53" t="str">
        <f t="shared" si="25"/>
        <v/>
      </c>
      <c r="AE71" s="45" t="str">
        <f t="shared" si="20"/>
        <v/>
      </c>
      <c r="AF71" s="36">
        <f t="shared" si="26"/>
        <v>1</v>
      </c>
      <c r="AG71" s="54">
        <f t="shared" si="21"/>
        <v>0</v>
      </c>
      <c r="AH71" s="32" t="str">
        <f t="shared" si="27"/>
        <v/>
      </c>
      <c r="AI71" s="50"/>
      <c r="AJ71" s="50">
        <v>1</v>
      </c>
      <c r="AK71" s="50">
        <v>1</v>
      </c>
      <c r="AL71" s="50">
        <v>1</v>
      </c>
      <c r="AM71" s="50">
        <v>1</v>
      </c>
      <c r="AN71" s="50">
        <v>1</v>
      </c>
      <c r="AO71" s="50">
        <v>1</v>
      </c>
      <c r="AP71" s="50">
        <v>1</v>
      </c>
      <c r="AQ71" s="50">
        <v>1</v>
      </c>
      <c r="AR71" s="50">
        <v>1</v>
      </c>
      <c r="AU71" s="39"/>
      <c r="AW71" s="39"/>
    </row>
    <row r="72" spans="1:49" x14ac:dyDescent="0.25">
      <c r="A72" s="40"/>
      <c r="B72" s="41">
        <v>5611</v>
      </c>
      <c r="C72" s="40" t="s">
        <v>107</v>
      </c>
      <c r="D72" s="42">
        <v>6434392</v>
      </c>
      <c r="E72" s="42">
        <v>8481556</v>
      </c>
      <c r="F72" s="42">
        <v>10974296</v>
      </c>
      <c r="G72" s="42">
        <v>12050770</v>
      </c>
      <c r="H72" s="42">
        <f t="shared" si="22"/>
        <v>9485254</v>
      </c>
      <c r="I72" s="42">
        <v>1199904.3600000003</v>
      </c>
      <c r="J72" s="43">
        <f t="shared" si="14"/>
        <v>0.12650207996538632</v>
      </c>
      <c r="K72" s="44">
        <v>2333739</v>
      </c>
      <c r="L72" s="45">
        <f t="shared" si="15"/>
        <v>0.24603864060994043</v>
      </c>
      <c r="M72" s="42">
        <v>417353</v>
      </c>
      <c r="N72" s="45">
        <f t="shared" si="23"/>
        <v>3.463289067835499E-2</v>
      </c>
      <c r="O72" s="44">
        <v>1329028</v>
      </c>
      <c r="P72" s="44">
        <v>256122</v>
      </c>
      <c r="Q72" s="44">
        <v>-1688787</v>
      </c>
      <c r="R72" s="46">
        <v>0.68689999999999996</v>
      </c>
      <c r="S72" s="46">
        <v>0.65939000000000003</v>
      </c>
      <c r="T72" s="47">
        <f t="shared" si="24"/>
        <v>0.67310000000000003</v>
      </c>
      <c r="U72" s="48">
        <v>0</v>
      </c>
      <c r="V72" s="45">
        <f t="shared" si="16"/>
        <v>0</v>
      </c>
      <c r="W72" s="49"/>
      <c r="X72" s="50"/>
      <c r="Y72" s="51"/>
      <c r="Z72" s="52"/>
      <c r="AA72" s="45" t="str">
        <f t="shared" si="17"/>
        <v/>
      </c>
      <c r="AB72" s="45" t="str">
        <f t="shared" si="18"/>
        <v/>
      </c>
      <c r="AC72" s="45" t="str">
        <f t="shared" si="19"/>
        <v/>
      </c>
      <c r="AD72" s="53" t="str">
        <f t="shared" si="25"/>
        <v/>
      </c>
      <c r="AE72" s="45">
        <f t="shared" si="20"/>
        <v>0.67310000000000003</v>
      </c>
      <c r="AF72" s="36">
        <f t="shared" si="26"/>
        <v>1</v>
      </c>
      <c r="AG72" s="54">
        <f t="shared" si="21"/>
        <v>0</v>
      </c>
      <c r="AH72" s="32" t="str">
        <f t="shared" si="27"/>
        <v/>
      </c>
      <c r="AI72" s="50"/>
      <c r="AJ72" s="50">
        <v>1</v>
      </c>
      <c r="AK72" s="50">
        <v>1</v>
      </c>
      <c r="AL72" s="50">
        <v>2</v>
      </c>
      <c r="AM72" s="50">
        <v>1</v>
      </c>
      <c r="AN72" s="50">
        <v>1</v>
      </c>
      <c r="AO72" s="50">
        <v>1</v>
      </c>
      <c r="AP72" s="50">
        <v>1</v>
      </c>
      <c r="AQ72" s="50">
        <v>1</v>
      </c>
      <c r="AR72" s="50">
        <v>1</v>
      </c>
      <c r="AU72" s="39"/>
      <c r="AW72" s="39"/>
    </row>
    <row r="73" spans="1:49" x14ac:dyDescent="0.25">
      <c r="A73" s="40" t="s">
        <v>108</v>
      </c>
      <c r="B73" s="41">
        <v>5701</v>
      </c>
      <c r="C73" s="40" t="s">
        <v>108</v>
      </c>
      <c r="D73" s="42">
        <v>64001278</v>
      </c>
      <c r="E73" s="42">
        <v>80064545</v>
      </c>
      <c r="F73" s="42">
        <v>86789691</v>
      </c>
      <c r="G73" s="42">
        <v>102042695</v>
      </c>
      <c r="H73" s="42">
        <f t="shared" si="22"/>
        <v>83224552</v>
      </c>
      <c r="I73" s="42">
        <v>883751.08000000182</v>
      </c>
      <c r="J73" s="43">
        <f t="shared" si="14"/>
        <v>1.0618874584029023E-2</v>
      </c>
      <c r="K73" s="44">
        <v>87508328.5</v>
      </c>
      <c r="L73" s="45">
        <f t="shared" si="15"/>
        <v>1.0514725089778796</v>
      </c>
      <c r="M73" s="42">
        <v>0</v>
      </c>
      <c r="N73" s="45">
        <f t="shared" si="23"/>
        <v>0</v>
      </c>
      <c r="O73" s="44">
        <v>-1634484</v>
      </c>
      <c r="P73" s="44">
        <v>-3967319</v>
      </c>
      <c r="Q73" s="44">
        <v>582802</v>
      </c>
      <c r="R73" s="46">
        <v>0.89166000000000001</v>
      </c>
      <c r="S73" s="46">
        <v>0.8105</v>
      </c>
      <c r="T73" s="47">
        <f t="shared" si="24"/>
        <v>0.85109999999999997</v>
      </c>
      <c r="U73" s="48">
        <v>0</v>
      </c>
      <c r="V73" s="45">
        <f t="shared" si="16"/>
        <v>0</v>
      </c>
      <c r="W73" s="49"/>
      <c r="X73" s="50"/>
      <c r="Y73" s="51"/>
      <c r="Z73" s="52"/>
      <c r="AA73" s="45" t="str">
        <f t="shared" si="17"/>
        <v/>
      </c>
      <c r="AB73" s="45">
        <f t="shared" si="18"/>
        <v>1.0514725089778796</v>
      </c>
      <c r="AC73" s="45" t="str">
        <f t="shared" si="19"/>
        <v/>
      </c>
      <c r="AD73" s="53" t="str">
        <f t="shared" si="25"/>
        <v/>
      </c>
      <c r="AE73" s="45" t="str">
        <f t="shared" si="20"/>
        <v/>
      </c>
      <c r="AF73" s="36">
        <f t="shared" si="26"/>
        <v>1</v>
      </c>
      <c r="AG73" s="54">
        <f t="shared" si="21"/>
        <v>0</v>
      </c>
      <c r="AH73" s="32" t="str">
        <f t="shared" si="27"/>
        <v/>
      </c>
      <c r="AI73" s="50"/>
      <c r="AJ73" s="50">
        <v>1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U73" s="39"/>
      <c r="AW73" s="39"/>
    </row>
    <row r="74" spans="1:49" x14ac:dyDescent="0.25">
      <c r="A74" s="40"/>
      <c r="B74" s="41">
        <v>5702</v>
      </c>
      <c r="C74" s="40" t="s">
        <v>109</v>
      </c>
      <c r="D74" s="42">
        <v>14845257</v>
      </c>
      <c r="E74" s="42">
        <v>18855601</v>
      </c>
      <c r="F74" s="42">
        <v>24194423</v>
      </c>
      <c r="G74" s="42">
        <v>29813309</v>
      </c>
      <c r="H74" s="42">
        <f t="shared" si="22"/>
        <v>21927148</v>
      </c>
      <c r="I74" s="42">
        <v>346880.3499999998</v>
      </c>
      <c r="J74" s="43">
        <f t="shared" si="14"/>
        <v>1.5819674770289314E-2</v>
      </c>
      <c r="K74" s="44">
        <v>16844446.469999999</v>
      </c>
      <c r="L74" s="45">
        <f t="shared" si="15"/>
        <v>0.76820051882716345</v>
      </c>
      <c r="M74" s="42">
        <v>2051</v>
      </c>
      <c r="N74" s="45">
        <f t="shared" si="23"/>
        <v>6.8794778868726044E-5</v>
      </c>
      <c r="O74" s="44">
        <v>4052679</v>
      </c>
      <c r="P74" s="44">
        <v>-2648655</v>
      </c>
      <c r="Q74" s="44">
        <v>-1394474</v>
      </c>
      <c r="R74" s="46">
        <v>0.93803000000000003</v>
      </c>
      <c r="S74" s="46">
        <v>0.80388000000000004</v>
      </c>
      <c r="T74" s="47">
        <f t="shared" si="24"/>
        <v>0.871</v>
      </c>
      <c r="U74" s="48">
        <v>0</v>
      </c>
      <c r="V74" s="45">
        <f t="shared" si="16"/>
        <v>0</v>
      </c>
      <c r="W74" s="49"/>
      <c r="X74" s="50"/>
      <c r="Y74" s="51"/>
      <c r="Z74" s="52"/>
      <c r="AA74" s="45" t="str">
        <f t="shared" si="17"/>
        <v/>
      </c>
      <c r="AB74" s="45">
        <f t="shared" si="18"/>
        <v>0.76820051882716345</v>
      </c>
      <c r="AC74" s="45" t="str">
        <f t="shared" si="19"/>
        <v/>
      </c>
      <c r="AD74" s="53" t="str">
        <f t="shared" si="25"/>
        <v/>
      </c>
      <c r="AE74" s="45" t="str">
        <f t="shared" si="20"/>
        <v/>
      </c>
      <c r="AF74" s="36">
        <f t="shared" si="26"/>
        <v>1</v>
      </c>
      <c r="AG74" s="54">
        <f t="shared" si="21"/>
        <v>0</v>
      </c>
      <c r="AH74" s="32" t="str">
        <f t="shared" si="27"/>
        <v/>
      </c>
      <c r="AI74" s="50"/>
      <c r="AJ74" s="50">
        <v>0</v>
      </c>
      <c r="AK74" s="50">
        <v>0</v>
      </c>
      <c r="AL74" s="50">
        <v>0</v>
      </c>
      <c r="AM74" s="50">
        <v>0</v>
      </c>
      <c r="AN74" s="50">
        <v>1</v>
      </c>
      <c r="AO74" s="50">
        <v>0</v>
      </c>
      <c r="AP74" s="50">
        <v>1</v>
      </c>
      <c r="AQ74" s="50">
        <v>1</v>
      </c>
      <c r="AR74" s="50">
        <v>1</v>
      </c>
      <c r="AU74" s="39"/>
      <c r="AW74" s="39"/>
    </row>
    <row r="75" spans="1:49" x14ac:dyDescent="0.25">
      <c r="A75" s="40"/>
      <c r="B75" s="41">
        <v>5703</v>
      </c>
      <c r="C75" s="40" t="s">
        <v>110</v>
      </c>
      <c r="D75" s="42">
        <v>49120653</v>
      </c>
      <c r="E75" s="42">
        <v>48088174</v>
      </c>
      <c r="F75" s="42">
        <v>58289740</v>
      </c>
      <c r="G75" s="42">
        <v>67635422</v>
      </c>
      <c r="H75" s="42">
        <f t="shared" si="22"/>
        <v>55783497</v>
      </c>
      <c r="I75" s="42">
        <v>470504.65999999986</v>
      </c>
      <c r="J75" s="43">
        <f t="shared" si="14"/>
        <v>8.4344776735671458E-3</v>
      </c>
      <c r="K75" s="44">
        <v>28596981.740000002</v>
      </c>
      <c r="L75" s="45">
        <f t="shared" si="15"/>
        <v>0.51264232753281858</v>
      </c>
      <c r="M75" s="42">
        <v>0</v>
      </c>
      <c r="N75" s="45">
        <f t="shared" si="23"/>
        <v>0</v>
      </c>
      <c r="O75" s="44">
        <v>1112746</v>
      </c>
      <c r="P75" s="44">
        <v>-1039333</v>
      </c>
      <c r="Q75" s="44">
        <v>-1730741</v>
      </c>
      <c r="R75" s="46">
        <v>0.90754999999999997</v>
      </c>
      <c r="S75" s="46">
        <v>0.77390000000000003</v>
      </c>
      <c r="T75" s="47">
        <f t="shared" si="24"/>
        <v>0.8407</v>
      </c>
      <c r="U75" s="48">
        <v>0</v>
      </c>
      <c r="V75" s="45">
        <f t="shared" si="16"/>
        <v>0</v>
      </c>
      <c r="W75" s="49"/>
      <c r="X75" s="50"/>
      <c r="Y75" s="51"/>
      <c r="Z75" s="52"/>
      <c r="AA75" s="45" t="str">
        <f t="shared" si="17"/>
        <v/>
      </c>
      <c r="AB75" s="45">
        <f t="shared" si="18"/>
        <v>0.51264232753281858</v>
      </c>
      <c r="AC75" s="45" t="str">
        <f t="shared" si="19"/>
        <v/>
      </c>
      <c r="AD75" s="53" t="str">
        <f t="shared" si="25"/>
        <v/>
      </c>
      <c r="AE75" s="45" t="str">
        <f t="shared" si="20"/>
        <v/>
      </c>
      <c r="AF75" s="36">
        <f t="shared" si="26"/>
        <v>1</v>
      </c>
      <c r="AG75" s="54">
        <f t="shared" si="21"/>
        <v>0</v>
      </c>
      <c r="AH75" s="32" t="str">
        <f t="shared" si="27"/>
        <v/>
      </c>
      <c r="AI75" s="50"/>
      <c r="AJ75" s="50">
        <v>1</v>
      </c>
      <c r="AK75" s="50">
        <v>0</v>
      </c>
      <c r="AL75" s="50">
        <v>0</v>
      </c>
      <c r="AM75" s="50">
        <v>0</v>
      </c>
      <c r="AN75" s="50">
        <v>0</v>
      </c>
      <c r="AO75" s="50">
        <v>0</v>
      </c>
      <c r="AP75" s="50">
        <v>0</v>
      </c>
      <c r="AQ75" s="50">
        <v>1</v>
      </c>
      <c r="AR75" s="50">
        <v>1</v>
      </c>
      <c r="AU75" s="39"/>
      <c r="AW75" s="39"/>
    </row>
    <row r="76" spans="1:49" x14ac:dyDescent="0.25">
      <c r="A76" s="40"/>
      <c r="B76" s="41">
        <v>5704</v>
      </c>
      <c r="C76" s="40" t="s">
        <v>111</v>
      </c>
      <c r="D76" s="42">
        <v>13020940</v>
      </c>
      <c r="E76" s="42">
        <v>16264171</v>
      </c>
      <c r="F76" s="42">
        <v>24011562</v>
      </c>
      <c r="G76" s="42">
        <v>25083382</v>
      </c>
      <c r="H76" s="42">
        <f t="shared" si="22"/>
        <v>19595014</v>
      </c>
      <c r="I76" s="42">
        <v>142910.59000000096</v>
      </c>
      <c r="J76" s="43">
        <f t="shared" si="14"/>
        <v>7.2932119364651112E-3</v>
      </c>
      <c r="K76" s="44">
        <v>15380396.379999999</v>
      </c>
      <c r="L76" s="45">
        <f t="shared" si="15"/>
        <v>0.78491377347319058</v>
      </c>
      <c r="M76" s="42">
        <v>0</v>
      </c>
      <c r="N76" s="45">
        <f t="shared" si="23"/>
        <v>0</v>
      </c>
      <c r="O76" s="44">
        <v>3128812</v>
      </c>
      <c r="P76" s="44">
        <v>-2548909</v>
      </c>
      <c r="Q76" s="44">
        <v>-2377528</v>
      </c>
      <c r="R76" s="46">
        <v>0.83899999999999997</v>
      </c>
      <c r="S76" s="46">
        <v>0.85331999999999997</v>
      </c>
      <c r="T76" s="47">
        <f t="shared" si="24"/>
        <v>0.84619999999999995</v>
      </c>
      <c r="U76" s="48">
        <v>0</v>
      </c>
      <c r="V76" s="45">
        <f t="shared" si="16"/>
        <v>0</v>
      </c>
      <c r="W76" s="49"/>
      <c r="X76" s="50"/>
      <c r="Y76" s="51"/>
      <c r="Z76" s="52"/>
      <c r="AA76" s="45" t="str">
        <f t="shared" si="17"/>
        <v/>
      </c>
      <c r="AB76" s="45">
        <f t="shared" si="18"/>
        <v>0.78491377347319058</v>
      </c>
      <c r="AC76" s="45" t="str">
        <f t="shared" si="19"/>
        <v/>
      </c>
      <c r="AD76" s="53" t="str">
        <f t="shared" si="25"/>
        <v/>
      </c>
      <c r="AE76" s="45" t="str">
        <f t="shared" si="20"/>
        <v/>
      </c>
      <c r="AF76" s="36">
        <f t="shared" si="26"/>
        <v>1</v>
      </c>
      <c r="AG76" s="54">
        <f t="shared" si="21"/>
        <v>0</v>
      </c>
      <c r="AH76" s="32" t="str">
        <f t="shared" si="27"/>
        <v/>
      </c>
      <c r="AI76" s="50"/>
      <c r="AJ76" s="50">
        <v>0</v>
      </c>
      <c r="AK76" s="50">
        <v>1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0</v>
      </c>
      <c r="AU76" s="39"/>
      <c r="AW76" s="39"/>
    </row>
    <row r="77" spans="1:49" x14ac:dyDescent="0.25">
      <c r="A77" s="40" t="s">
        <v>112</v>
      </c>
      <c r="B77" s="41">
        <v>5801</v>
      </c>
      <c r="C77" s="40" t="s">
        <v>113</v>
      </c>
      <c r="D77" s="42">
        <v>28911874</v>
      </c>
      <c r="E77" s="42">
        <v>31252565</v>
      </c>
      <c r="F77" s="42">
        <v>39569079</v>
      </c>
      <c r="G77" s="42">
        <v>42971071</v>
      </c>
      <c r="H77" s="42">
        <f t="shared" si="22"/>
        <v>35676147</v>
      </c>
      <c r="I77" s="42">
        <v>1777862.5099999984</v>
      </c>
      <c r="J77" s="43">
        <f t="shared" si="14"/>
        <v>4.9833366534788592E-2</v>
      </c>
      <c r="K77" s="44">
        <v>12869380.770000001</v>
      </c>
      <c r="L77" s="45">
        <f t="shared" si="15"/>
        <v>0.36072787708829662</v>
      </c>
      <c r="M77" s="42">
        <v>125120</v>
      </c>
      <c r="N77" s="45">
        <f t="shared" si="23"/>
        <v>2.9117263565527607E-3</v>
      </c>
      <c r="O77" s="44">
        <v>1322273</v>
      </c>
      <c r="P77" s="44">
        <v>840163</v>
      </c>
      <c r="Q77" s="44">
        <v>-1104667</v>
      </c>
      <c r="R77" s="46">
        <v>0.85131000000000001</v>
      </c>
      <c r="S77" s="46">
        <v>0.75285999999999997</v>
      </c>
      <c r="T77" s="47">
        <f t="shared" si="24"/>
        <v>0.80210000000000004</v>
      </c>
      <c r="U77" s="48">
        <v>0</v>
      </c>
      <c r="V77" s="45">
        <f t="shared" si="16"/>
        <v>0</v>
      </c>
      <c r="W77" s="49"/>
      <c r="X77" s="50"/>
      <c r="Y77" s="51"/>
      <c r="Z77" s="52"/>
      <c r="AA77" s="45" t="str">
        <f t="shared" si="17"/>
        <v/>
      </c>
      <c r="AB77" s="45" t="str">
        <f t="shared" si="18"/>
        <v/>
      </c>
      <c r="AC77" s="45" t="str">
        <f t="shared" si="19"/>
        <v/>
      </c>
      <c r="AD77" s="53" t="str">
        <f t="shared" si="25"/>
        <v/>
      </c>
      <c r="AE77" s="45" t="str">
        <f t="shared" si="20"/>
        <v/>
      </c>
      <c r="AF77" s="36">
        <f t="shared" si="26"/>
        <v>0</v>
      </c>
      <c r="AG77" s="54">
        <f t="shared" si="21"/>
        <v>0</v>
      </c>
      <c r="AH77" s="32" t="str">
        <f t="shared" si="27"/>
        <v/>
      </c>
      <c r="AI77" s="50"/>
      <c r="AJ77" s="50">
        <v>0</v>
      </c>
      <c r="AK77" s="50">
        <v>0</v>
      </c>
      <c r="AL77" s="50">
        <v>0</v>
      </c>
      <c r="AM77" s="50">
        <v>3</v>
      </c>
      <c r="AN77" s="50">
        <v>2</v>
      </c>
      <c r="AO77" s="50">
        <v>1</v>
      </c>
      <c r="AP77" s="50">
        <v>0</v>
      </c>
      <c r="AQ77" s="50">
        <v>2</v>
      </c>
      <c r="AR77" s="50">
        <v>2</v>
      </c>
      <c r="AU77" s="39"/>
      <c r="AW77" s="39"/>
    </row>
    <row r="78" spans="1:49" x14ac:dyDescent="0.25">
      <c r="A78" s="40"/>
      <c r="B78" s="41">
        <v>5802</v>
      </c>
      <c r="C78" s="40" t="s">
        <v>114</v>
      </c>
      <c r="D78" s="42">
        <v>16966170</v>
      </c>
      <c r="E78" s="42">
        <v>20352587</v>
      </c>
      <c r="F78" s="42">
        <v>26503758</v>
      </c>
      <c r="G78" s="42">
        <v>28423230</v>
      </c>
      <c r="H78" s="42">
        <f t="shared" si="22"/>
        <v>23061436</v>
      </c>
      <c r="I78" s="42">
        <v>210210.57999999932</v>
      </c>
      <c r="J78" s="43">
        <f t="shared" si="14"/>
        <v>9.1152424332985732E-3</v>
      </c>
      <c r="K78" s="44">
        <v>7784473.5299999993</v>
      </c>
      <c r="L78" s="45">
        <f t="shared" si="15"/>
        <v>0.33755372085242219</v>
      </c>
      <c r="M78" s="42">
        <v>40341</v>
      </c>
      <c r="N78" s="45">
        <f t="shared" si="23"/>
        <v>1.4192968216490526E-3</v>
      </c>
      <c r="O78" s="44">
        <v>3797976</v>
      </c>
      <c r="P78" s="44">
        <v>-437924</v>
      </c>
      <c r="Q78" s="44">
        <v>-3244556</v>
      </c>
      <c r="R78" s="46">
        <v>0.74195</v>
      </c>
      <c r="S78" s="46">
        <v>0.73523000000000005</v>
      </c>
      <c r="T78" s="47">
        <f t="shared" si="24"/>
        <v>0.73860000000000003</v>
      </c>
      <c r="U78" s="48">
        <v>0</v>
      </c>
      <c r="V78" s="45">
        <f t="shared" si="16"/>
        <v>0</v>
      </c>
      <c r="W78" s="49"/>
      <c r="X78" s="50"/>
      <c r="Y78" s="51"/>
      <c r="Z78" s="52"/>
      <c r="AA78" s="45" t="str">
        <f t="shared" si="17"/>
        <v/>
      </c>
      <c r="AB78" s="45" t="str">
        <f t="shared" si="18"/>
        <v/>
      </c>
      <c r="AC78" s="45" t="str">
        <f t="shared" si="19"/>
        <v/>
      </c>
      <c r="AD78" s="53" t="str">
        <f t="shared" si="25"/>
        <v/>
      </c>
      <c r="AE78" s="45">
        <f t="shared" si="20"/>
        <v>0.73860000000000003</v>
      </c>
      <c r="AF78" s="36">
        <f t="shared" si="26"/>
        <v>1</v>
      </c>
      <c r="AG78" s="54">
        <f t="shared" si="21"/>
        <v>0</v>
      </c>
      <c r="AH78" s="32" t="str">
        <f t="shared" si="27"/>
        <v/>
      </c>
      <c r="AI78" s="50"/>
      <c r="AJ78" s="50">
        <v>0</v>
      </c>
      <c r="AK78" s="50">
        <v>0</v>
      </c>
      <c r="AL78" s="50">
        <v>1</v>
      </c>
      <c r="AM78" s="50">
        <v>1</v>
      </c>
      <c r="AN78" s="50">
        <v>0</v>
      </c>
      <c r="AO78" s="50">
        <v>1</v>
      </c>
      <c r="AP78" s="50">
        <v>0</v>
      </c>
      <c r="AQ78" s="50">
        <v>0</v>
      </c>
      <c r="AR78" s="50">
        <v>0</v>
      </c>
      <c r="AU78" s="39"/>
      <c r="AW78" s="39"/>
    </row>
    <row r="79" spans="1:49" x14ac:dyDescent="0.25">
      <c r="A79" s="40"/>
      <c r="B79" s="41">
        <v>5803</v>
      </c>
      <c r="C79" s="40" t="s">
        <v>112</v>
      </c>
      <c r="D79" s="42">
        <v>92746891</v>
      </c>
      <c r="E79" s="42">
        <v>106452463</v>
      </c>
      <c r="F79" s="42">
        <v>125177159</v>
      </c>
      <c r="G79" s="42">
        <v>144577632</v>
      </c>
      <c r="H79" s="42">
        <f t="shared" si="22"/>
        <v>117238536</v>
      </c>
      <c r="I79" s="42">
        <v>13419108.93</v>
      </c>
      <c r="J79" s="43">
        <f t="shared" si="14"/>
        <v>0.11445988143352455</v>
      </c>
      <c r="K79" s="44">
        <v>96863025.929999992</v>
      </c>
      <c r="L79" s="45">
        <f t="shared" si="15"/>
        <v>0.82620466985360508</v>
      </c>
      <c r="M79" s="42">
        <v>4546355</v>
      </c>
      <c r="N79" s="45">
        <f t="shared" si="23"/>
        <v>3.144577025580278E-2</v>
      </c>
      <c r="O79" s="44">
        <v>944897</v>
      </c>
      <c r="P79" s="44">
        <v>475154</v>
      </c>
      <c r="Q79" s="44">
        <v>-9188602</v>
      </c>
      <c r="R79" s="46">
        <v>0.84087999999999996</v>
      </c>
      <c r="S79" s="46">
        <v>0.66234000000000004</v>
      </c>
      <c r="T79" s="47">
        <f t="shared" si="24"/>
        <v>0.75160000000000005</v>
      </c>
      <c r="U79" s="48">
        <v>0</v>
      </c>
      <c r="V79" s="45">
        <f t="shared" si="16"/>
        <v>0</v>
      </c>
      <c r="W79" s="49"/>
      <c r="X79" s="50"/>
      <c r="Y79" s="51"/>
      <c r="Z79" s="52"/>
      <c r="AA79" s="45" t="str">
        <f t="shared" si="17"/>
        <v/>
      </c>
      <c r="AB79" s="45">
        <f t="shared" si="18"/>
        <v>0.82620466985360508</v>
      </c>
      <c r="AC79" s="45" t="str">
        <f t="shared" si="19"/>
        <v/>
      </c>
      <c r="AD79" s="53" t="str">
        <f t="shared" si="25"/>
        <v/>
      </c>
      <c r="AE79" s="45">
        <f t="shared" si="20"/>
        <v>0.75160000000000005</v>
      </c>
      <c r="AF79" s="36">
        <f t="shared" si="26"/>
        <v>2</v>
      </c>
      <c r="AG79" s="54">
        <f t="shared" si="21"/>
        <v>0</v>
      </c>
      <c r="AH79" s="32" t="str">
        <f t="shared" si="27"/>
        <v/>
      </c>
      <c r="AI79" s="50"/>
      <c r="AJ79" s="50">
        <v>2</v>
      </c>
      <c r="AK79" s="50">
        <v>1</v>
      </c>
      <c r="AL79" s="50">
        <v>1</v>
      </c>
      <c r="AM79" s="50">
        <v>1</v>
      </c>
      <c r="AN79" s="50">
        <v>3</v>
      </c>
      <c r="AO79" s="50">
        <v>1</v>
      </c>
      <c r="AP79" s="50">
        <v>1</v>
      </c>
      <c r="AQ79" s="50">
        <v>2</v>
      </c>
      <c r="AR79" s="50">
        <v>1</v>
      </c>
      <c r="AU79" s="39"/>
      <c r="AW79" s="39"/>
    </row>
    <row r="80" spans="1:49" x14ac:dyDescent="0.25">
      <c r="A80" s="40"/>
      <c r="B80" s="41">
        <v>5804</v>
      </c>
      <c r="C80" s="40" t="s">
        <v>115</v>
      </c>
      <c r="D80" s="42">
        <v>24429997</v>
      </c>
      <c r="E80" s="42">
        <v>30183634</v>
      </c>
      <c r="F80" s="42">
        <v>36824086</v>
      </c>
      <c r="G80" s="42">
        <v>41781371</v>
      </c>
      <c r="H80" s="42">
        <f t="shared" si="22"/>
        <v>33304772</v>
      </c>
      <c r="I80" s="42">
        <v>792854.46000000229</v>
      </c>
      <c r="J80" s="43">
        <f t="shared" si="14"/>
        <v>2.3806031760253525E-2</v>
      </c>
      <c r="K80" s="44">
        <v>13282338.939999999</v>
      </c>
      <c r="L80" s="45">
        <f t="shared" si="15"/>
        <v>0.3988118861765515</v>
      </c>
      <c r="M80" s="42">
        <v>0</v>
      </c>
      <c r="N80" s="45">
        <f t="shared" si="23"/>
        <v>0</v>
      </c>
      <c r="O80" s="44">
        <v>1111042</v>
      </c>
      <c r="P80" s="44">
        <v>241302</v>
      </c>
      <c r="Q80" s="44">
        <v>-1970467</v>
      </c>
      <c r="R80" s="46">
        <v>0.80003999999999997</v>
      </c>
      <c r="S80" s="46">
        <v>0.51561000000000001</v>
      </c>
      <c r="T80" s="47">
        <f t="shared" si="24"/>
        <v>0.65780000000000005</v>
      </c>
      <c r="U80" s="48">
        <v>0</v>
      </c>
      <c r="V80" s="45">
        <f t="shared" si="16"/>
        <v>0</v>
      </c>
      <c r="W80" s="49"/>
      <c r="X80" s="50"/>
      <c r="Y80" s="51"/>
      <c r="Z80" s="52"/>
      <c r="AA80" s="45" t="str">
        <f t="shared" si="17"/>
        <v/>
      </c>
      <c r="AB80" s="45" t="str">
        <f t="shared" si="18"/>
        <v/>
      </c>
      <c r="AC80" s="45" t="str">
        <f t="shared" si="19"/>
        <v/>
      </c>
      <c r="AD80" s="53" t="str">
        <f t="shared" si="25"/>
        <v/>
      </c>
      <c r="AE80" s="45">
        <f t="shared" si="20"/>
        <v>0.65780000000000005</v>
      </c>
      <c r="AF80" s="36">
        <f t="shared" si="26"/>
        <v>1</v>
      </c>
      <c r="AG80" s="54">
        <f t="shared" si="21"/>
        <v>0</v>
      </c>
      <c r="AH80" s="32" t="str">
        <f t="shared" si="27"/>
        <v/>
      </c>
      <c r="AI80" s="50"/>
      <c r="AJ80" s="50">
        <v>1</v>
      </c>
      <c r="AK80" s="50">
        <v>1</v>
      </c>
      <c r="AL80" s="50">
        <v>1</v>
      </c>
      <c r="AM80" s="50">
        <v>1</v>
      </c>
      <c r="AN80" s="50">
        <v>1</v>
      </c>
      <c r="AO80" s="50">
        <v>1</v>
      </c>
      <c r="AP80" s="50">
        <v>1</v>
      </c>
      <c r="AQ80" s="50">
        <v>1</v>
      </c>
      <c r="AR80" s="50">
        <v>1</v>
      </c>
      <c r="AU80" s="39"/>
      <c r="AW80" s="39"/>
    </row>
    <row r="81" spans="1:49" x14ac:dyDescent="0.25">
      <c r="A81" s="40"/>
      <c r="B81" s="41">
        <v>5805</v>
      </c>
      <c r="C81" s="40" t="s">
        <v>116</v>
      </c>
      <c r="D81" s="42">
        <v>19350576</v>
      </c>
      <c r="E81" s="42">
        <v>23129530</v>
      </c>
      <c r="F81" s="42">
        <v>38857600</v>
      </c>
      <c r="G81" s="42">
        <v>36561876</v>
      </c>
      <c r="H81" s="42">
        <f t="shared" si="22"/>
        <v>29474896</v>
      </c>
      <c r="I81" s="42">
        <v>5353631.32</v>
      </c>
      <c r="J81" s="43">
        <f t="shared" si="14"/>
        <v>0.18163359490734082</v>
      </c>
      <c r="K81" s="44">
        <v>8869933.959999999</v>
      </c>
      <c r="L81" s="45">
        <f t="shared" si="15"/>
        <v>0.3009318153319353</v>
      </c>
      <c r="M81" s="42">
        <v>398208</v>
      </c>
      <c r="N81" s="45">
        <f t="shared" si="23"/>
        <v>1.0891344853311138E-2</v>
      </c>
      <c r="O81" s="44">
        <v>1099114</v>
      </c>
      <c r="P81" s="44">
        <v>-7168874</v>
      </c>
      <c r="Q81" s="44">
        <v>-5828595</v>
      </c>
      <c r="R81" s="46">
        <v>0.82238</v>
      </c>
      <c r="S81" s="46">
        <v>0.77014000000000005</v>
      </c>
      <c r="T81" s="47">
        <f t="shared" si="24"/>
        <v>0.79630000000000001</v>
      </c>
      <c r="U81" s="48">
        <v>0</v>
      </c>
      <c r="V81" s="45">
        <f t="shared" si="16"/>
        <v>0</v>
      </c>
      <c r="W81" s="49"/>
      <c r="X81" s="50"/>
      <c r="Y81" s="51"/>
      <c r="Z81" s="52"/>
      <c r="AA81" s="45">
        <f t="shared" si="17"/>
        <v>0.18163359490734082</v>
      </c>
      <c r="AB81" s="45" t="str">
        <f t="shared" si="18"/>
        <v/>
      </c>
      <c r="AC81" s="45" t="str">
        <f t="shared" si="19"/>
        <v/>
      </c>
      <c r="AD81" s="53" t="str">
        <f t="shared" si="25"/>
        <v/>
      </c>
      <c r="AE81" s="45" t="str">
        <f t="shared" si="20"/>
        <v/>
      </c>
      <c r="AF81" s="36">
        <f t="shared" si="26"/>
        <v>1</v>
      </c>
      <c r="AG81" s="54">
        <f t="shared" si="21"/>
        <v>0</v>
      </c>
      <c r="AH81" s="32" t="str">
        <f t="shared" si="27"/>
        <v/>
      </c>
      <c r="AI81" s="50"/>
      <c r="AJ81" s="50">
        <v>0</v>
      </c>
      <c r="AK81" s="50">
        <v>1</v>
      </c>
      <c r="AL81" s="50">
        <v>0</v>
      </c>
      <c r="AM81" s="50">
        <v>0</v>
      </c>
      <c r="AN81" s="50">
        <v>2</v>
      </c>
      <c r="AO81" s="50">
        <v>1</v>
      </c>
      <c r="AP81" s="50">
        <v>0</v>
      </c>
      <c r="AQ81" s="50">
        <v>1</v>
      </c>
      <c r="AR81" s="50">
        <v>0</v>
      </c>
      <c r="AU81" s="39"/>
      <c r="AW81" s="39"/>
    </row>
    <row r="82" spans="1:49" x14ac:dyDescent="0.25">
      <c r="A82" s="40"/>
      <c r="B82" s="41">
        <v>5806</v>
      </c>
      <c r="C82" s="40" t="s">
        <v>117</v>
      </c>
      <c r="D82" s="42">
        <v>7518349</v>
      </c>
      <c r="E82" s="42">
        <v>8126015</v>
      </c>
      <c r="F82" s="42">
        <v>11870911</v>
      </c>
      <c r="G82" s="42">
        <v>11272458</v>
      </c>
      <c r="H82" s="42">
        <f t="shared" si="22"/>
        <v>9696933</v>
      </c>
      <c r="I82" s="42">
        <v>72655.160000000018</v>
      </c>
      <c r="J82" s="43">
        <f t="shared" si="14"/>
        <v>7.4925917297768291E-3</v>
      </c>
      <c r="K82" s="44">
        <v>678860.33999999985</v>
      </c>
      <c r="L82" s="45">
        <f t="shared" si="15"/>
        <v>7.0007737498031575E-2</v>
      </c>
      <c r="M82" s="42">
        <v>0</v>
      </c>
      <c r="N82" s="45">
        <f t="shared" si="23"/>
        <v>0</v>
      </c>
      <c r="O82" s="44">
        <v>1426827</v>
      </c>
      <c r="P82" s="44">
        <v>-588512</v>
      </c>
      <c r="Q82" s="44">
        <v>-405188</v>
      </c>
      <c r="R82" s="46">
        <v>0.55227000000000004</v>
      </c>
      <c r="S82" s="46">
        <v>0.64093</v>
      </c>
      <c r="T82" s="47">
        <f t="shared" si="24"/>
        <v>0.59660000000000002</v>
      </c>
      <c r="U82" s="48">
        <v>0</v>
      </c>
      <c r="V82" s="45">
        <f t="shared" si="16"/>
        <v>0</v>
      </c>
      <c r="W82" s="49"/>
      <c r="X82" s="50"/>
      <c r="Y82" s="51"/>
      <c r="Z82" s="52"/>
      <c r="AA82" s="45" t="str">
        <f t="shared" si="17"/>
        <v/>
      </c>
      <c r="AB82" s="45" t="str">
        <f t="shared" si="18"/>
        <v/>
      </c>
      <c r="AC82" s="45" t="str">
        <f t="shared" si="19"/>
        <v/>
      </c>
      <c r="AD82" s="53" t="str">
        <f t="shared" si="25"/>
        <v/>
      </c>
      <c r="AE82" s="45">
        <f t="shared" si="20"/>
        <v>0.59660000000000002</v>
      </c>
      <c r="AF82" s="36">
        <f t="shared" si="26"/>
        <v>1</v>
      </c>
      <c r="AG82" s="54">
        <f t="shared" si="21"/>
        <v>0</v>
      </c>
      <c r="AH82" s="32" t="str">
        <f t="shared" si="27"/>
        <v/>
      </c>
      <c r="AI82" s="50"/>
      <c r="AJ82" s="50">
        <v>1</v>
      </c>
      <c r="AK82" s="50">
        <v>1</v>
      </c>
      <c r="AL82" s="50">
        <v>2</v>
      </c>
      <c r="AM82" s="50">
        <v>2</v>
      </c>
      <c r="AN82" s="50">
        <v>1</v>
      </c>
      <c r="AO82" s="50">
        <v>1</v>
      </c>
      <c r="AP82" s="50">
        <v>1</v>
      </c>
      <c r="AQ82" s="50">
        <v>2</v>
      </c>
      <c r="AR82" s="50">
        <v>1</v>
      </c>
      <c r="AU82" s="39"/>
      <c r="AW82" s="39"/>
    </row>
    <row r="83" spans="1:49" x14ac:dyDescent="0.25">
      <c r="A83" s="40"/>
      <c r="B83" s="41">
        <v>5807</v>
      </c>
      <c r="C83" s="40" t="s">
        <v>118</v>
      </c>
      <c r="D83" s="42">
        <v>17871652</v>
      </c>
      <c r="E83" s="42">
        <v>21104438</v>
      </c>
      <c r="F83" s="42">
        <v>23864397</v>
      </c>
      <c r="G83" s="42">
        <v>26794794</v>
      </c>
      <c r="H83" s="42">
        <f t="shared" si="22"/>
        <v>22408820</v>
      </c>
      <c r="I83" s="42">
        <v>3650911.1400000006</v>
      </c>
      <c r="J83" s="43">
        <f t="shared" si="14"/>
        <v>0.16292295355132491</v>
      </c>
      <c r="K83" s="44">
        <v>8105465.4100000001</v>
      </c>
      <c r="L83" s="45">
        <f t="shared" si="15"/>
        <v>0.36170871156981937</v>
      </c>
      <c r="M83" s="42">
        <v>149793</v>
      </c>
      <c r="N83" s="45">
        <f t="shared" si="23"/>
        <v>5.5903769963672797E-3</v>
      </c>
      <c r="O83" s="44">
        <v>11961</v>
      </c>
      <c r="P83" s="44">
        <v>-786801</v>
      </c>
      <c r="Q83" s="44">
        <v>-775504</v>
      </c>
      <c r="R83" s="46">
        <v>0.84321999999999997</v>
      </c>
      <c r="S83" s="46">
        <v>0.75097999999999998</v>
      </c>
      <c r="T83" s="47">
        <f t="shared" si="24"/>
        <v>0.79710000000000003</v>
      </c>
      <c r="U83" s="48">
        <v>0</v>
      </c>
      <c r="V83" s="45">
        <f t="shared" si="16"/>
        <v>0</v>
      </c>
      <c r="W83" s="49"/>
      <c r="X83" s="50"/>
      <c r="Y83" s="51"/>
      <c r="Z83" s="52"/>
      <c r="AA83" s="45">
        <f t="shared" si="17"/>
        <v>0.16292295355132491</v>
      </c>
      <c r="AB83" s="45" t="str">
        <f t="shared" si="18"/>
        <v/>
      </c>
      <c r="AC83" s="45" t="str">
        <f t="shared" si="19"/>
        <v/>
      </c>
      <c r="AD83" s="53" t="str">
        <f t="shared" si="25"/>
        <v/>
      </c>
      <c r="AE83" s="45" t="str">
        <f t="shared" si="20"/>
        <v/>
      </c>
      <c r="AF83" s="36">
        <f t="shared" si="26"/>
        <v>1</v>
      </c>
      <c r="AG83" s="54">
        <f t="shared" si="21"/>
        <v>0</v>
      </c>
      <c r="AH83" s="32" t="str">
        <f t="shared" si="27"/>
        <v/>
      </c>
      <c r="AI83" s="50"/>
      <c r="AJ83" s="50">
        <v>0</v>
      </c>
      <c r="AK83" s="50">
        <v>1</v>
      </c>
      <c r="AL83" s="50">
        <v>0</v>
      </c>
      <c r="AM83" s="50">
        <v>1</v>
      </c>
      <c r="AN83" s="50">
        <v>1</v>
      </c>
      <c r="AO83" s="50">
        <v>0</v>
      </c>
      <c r="AP83" s="50">
        <v>1</v>
      </c>
      <c r="AQ83" s="50">
        <v>0</v>
      </c>
      <c r="AR83" s="50">
        <v>0</v>
      </c>
      <c r="AU83" s="39"/>
      <c r="AW83" s="39"/>
    </row>
    <row r="84" spans="1:49" x14ac:dyDescent="0.25">
      <c r="A84" s="40"/>
      <c r="B84" s="41">
        <v>5808</v>
      </c>
      <c r="C84" s="40" t="s">
        <v>119</v>
      </c>
      <c r="D84" s="42">
        <v>11342057</v>
      </c>
      <c r="E84" s="42">
        <v>9179059</v>
      </c>
      <c r="F84" s="42">
        <v>12339662</v>
      </c>
      <c r="G84" s="42">
        <v>19022683</v>
      </c>
      <c r="H84" s="42">
        <f t="shared" si="22"/>
        <v>12970865</v>
      </c>
      <c r="I84" s="42">
        <v>1257899.9100000004</v>
      </c>
      <c r="J84" s="43">
        <f t="shared" si="14"/>
        <v>9.6978876119672847E-2</v>
      </c>
      <c r="K84" s="44">
        <v>6997989.8100000005</v>
      </c>
      <c r="L84" s="45">
        <f t="shared" si="15"/>
        <v>0.53951604692516653</v>
      </c>
      <c r="M84" s="42">
        <v>379095</v>
      </c>
      <c r="N84" s="45">
        <f t="shared" si="23"/>
        <v>1.9928576846914813E-2</v>
      </c>
      <c r="O84" s="44">
        <v>1367145</v>
      </c>
      <c r="P84" s="44">
        <v>-1402291</v>
      </c>
      <c r="Q84" s="44">
        <v>-1107974</v>
      </c>
      <c r="R84" s="46">
        <v>0.81620999999999999</v>
      </c>
      <c r="S84" s="46">
        <v>0.78019000000000005</v>
      </c>
      <c r="T84" s="47">
        <f t="shared" si="24"/>
        <v>0.79820000000000002</v>
      </c>
      <c r="U84" s="48">
        <v>0</v>
      </c>
      <c r="V84" s="45">
        <f t="shared" si="16"/>
        <v>0</v>
      </c>
      <c r="W84" s="49"/>
      <c r="X84" s="50"/>
      <c r="Y84" s="51"/>
      <c r="Z84" s="52"/>
      <c r="AA84" s="45" t="str">
        <f t="shared" si="17"/>
        <v/>
      </c>
      <c r="AB84" s="45">
        <f t="shared" si="18"/>
        <v>0.53951604692516653</v>
      </c>
      <c r="AC84" s="45" t="str">
        <f t="shared" si="19"/>
        <v/>
      </c>
      <c r="AD84" s="53" t="str">
        <f t="shared" si="25"/>
        <v/>
      </c>
      <c r="AE84" s="45" t="str">
        <f t="shared" si="20"/>
        <v/>
      </c>
      <c r="AF84" s="36">
        <f t="shared" si="26"/>
        <v>1</v>
      </c>
      <c r="AG84" s="54">
        <f t="shared" si="21"/>
        <v>0</v>
      </c>
      <c r="AH84" s="32" t="str">
        <f t="shared" si="27"/>
        <v/>
      </c>
      <c r="AI84" s="50"/>
      <c r="AJ84" s="50">
        <v>0</v>
      </c>
      <c r="AK84" s="50">
        <v>0</v>
      </c>
      <c r="AL84" s="50">
        <v>0</v>
      </c>
      <c r="AM84" s="50">
        <v>1</v>
      </c>
      <c r="AN84" s="50">
        <v>0</v>
      </c>
      <c r="AO84" s="50">
        <v>0</v>
      </c>
      <c r="AP84" s="50">
        <v>0</v>
      </c>
      <c r="AQ84" s="50">
        <v>2</v>
      </c>
      <c r="AR84" s="50">
        <v>2</v>
      </c>
      <c r="AU84" s="39"/>
      <c r="AW84" s="39"/>
    </row>
    <row r="85" spans="1:49" x14ac:dyDescent="0.25">
      <c r="A85" s="40" t="s">
        <v>120</v>
      </c>
      <c r="B85" s="41">
        <v>5901</v>
      </c>
      <c r="C85" s="40" t="s">
        <v>121</v>
      </c>
      <c r="D85" s="42">
        <v>13350807</v>
      </c>
      <c r="E85" s="42">
        <v>16116362</v>
      </c>
      <c r="F85" s="42">
        <v>20985257</v>
      </c>
      <c r="G85" s="42">
        <v>26213695</v>
      </c>
      <c r="H85" s="42">
        <f t="shared" si="22"/>
        <v>19166530</v>
      </c>
      <c r="I85" s="42">
        <v>207648.30000000208</v>
      </c>
      <c r="J85" s="43">
        <f t="shared" si="14"/>
        <v>1.0833901598254984E-2</v>
      </c>
      <c r="K85" s="44">
        <v>11880262.67</v>
      </c>
      <c r="L85" s="45">
        <f t="shared" si="15"/>
        <v>0.61984421123698452</v>
      </c>
      <c r="M85" s="42">
        <v>0</v>
      </c>
      <c r="N85" s="45">
        <f t="shared" si="23"/>
        <v>0</v>
      </c>
      <c r="O85" s="44">
        <v>3892253</v>
      </c>
      <c r="P85" s="44">
        <v>1125563</v>
      </c>
      <c r="Q85" s="44">
        <v>-2747728</v>
      </c>
      <c r="R85" s="46">
        <v>0.87224999999999997</v>
      </c>
      <c r="S85" s="46">
        <v>0.83645000000000003</v>
      </c>
      <c r="T85" s="47">
        <f t="shared" si="24"/>
        <v>0.85440000000000005</v>
      </c>
      <c r="U85" s="48">
        <v>0</v>
      </c>
      <c r="V85" s="45">
        <f t="shared" si="16"/>
        <v>0</v>
      </c>
      <c r="W85" s="49"/>
      <c r="X85" s="50"/>
      <c r="Y85" s="51"/>
      <c r="Z85" s="52"/>
      <c r="AA85" s="45" t="str">
        <f t="shared" si="17"/>
        <v/>
      </c>
      <c r="AB85" s="45">
        <f t="shared" si="18"/>
        <v>0.61984421123698452</v>
      </c>
      <c r="AC85" s="45" t="str">
        <f t="shared" si="19"/>
        <v/>
      </c>
      <c r="AD85" s="53" t="str">
        <f t="shared" si="25"/>
        <v/>
      </c>
      <c r="AE85" s="45" t="str">
        <f t="shared" si="20"/>
        <v/>
      </c>
      <c r="AF85" s="36">
        <f t="shared" si="26"/>
        <v>1</v>
      </c>
      <c r="AG85" s="54">
        <f t="shared" si="21"/>
        <v>0</v>
      </c>
      <c r="AH85" s="32" t="str">
        <f t="shared" si="27"/>
        <v/>
      </c>
      <c r="AI85" s="50"/>
      <c r="AJ85" s="50">
        <v>1</v>
      </c>
      <c r="AK85" s="50">
        <v>1</v>
      </c>
      <c r="AL85" s="50">
        <v>0</v>
      </c>
      <c r="AM85" s="50">
        <v>0</v>
      </c>
      <c r="AN85" s="50">
        <v>0</v>
      </c>
      <c r="AO85" s="50">
        <v>1</v>
      </c>
      <c r="AP85" s="50">
        <v>0</v>
      </c>
      <c r="AQ85" s="50">
        <v>0</v>
      </c>
      <c r="AR85" s="50">
        <v>0</v>
      </c>
      <c r="AU85" s="39"/>
      <c r="AW85" s="39"/>
    </row>
    <row r="86" spans="1:49" x14ac:dyDescent="0.25">
      <c r="A86" s="40"/>
      <c r="B86" s="41">
        <v>5902</v>
      </c>
      <c r="C86" s="40" t="s">
        <v>122</v>
      </c>
      <c r="D86" s="42">
        <v>12694503</v>
      </c>
      <c r="E86" s="42">
        <v>14596561</v>
      </c>
      <c r="F86" s="42">
        <v>15622951</v>
      </c>
      <c r="G86" s="42">
        <v>23960510</v>
      </c>
      <c r="H86" s="42">
        <f t="shared" si="22"/>
        <v>16718631</v>
      </c>
      <c r="I86" s="42">
        <v>1775018.16</v>
      </c>
      <c r="J86" s="43">
        <f t="shared" si="14"/>
        <v>0.10617006619740575</v>
      </c>
      <c r="K86" s="44">
        <v>8937725.0700000022</v>
      </c>
      <c r="L86" s="45">
        <f t="shared" si="15"/>
        <v>0.53459670651263269</v>
      </c>
      <c r="M86" s="42">
        <v>0</v>
      </c>
      <c r="N86" s="45">
        <f t="shared" si="23"/>
        <v>0</v>
      </c>
      <c r="O86" s="44">
        <v>-595910</v>
      </c>
      <c r="P86" s="44">
        <v>1640429</v>
      </c>
      <c r="Q86" s="44">
        <v>1726128</v>
      </c>
      <c r="R86" s="46">
        <v>0.89949999999999997</v>
      </c>
      <c r="S86" s="46">
        <v>0.78812000000000004</v>
      </c>
      <c r="T86" s="47">
        <f t="shared" si="24"/>
        <v>0.84379999999999999</v>
      </c>
      <c r="U86" s="48">
        <v>0</v>
      </c>
      <c r="V86" s="45">
        <f t="shared" si="16"/>
        <v>0</v>
      </c>
      <c r="W86" s="49"/>
      <c r="X86" s="50"/>
      <c r="Y86" s="51"/>
      <c r="Z86" s="52"/>
      <c r="AA86" s="45" t="str">
        <f t="shared" si="17"/>
        <v/>
      </c>
      <c r="AB86" s="45">
        <f t="shared" si="18"/>
        <v>0.53459670651263269</v>
      </c>
      <c r="AC86" s="45" t="str">
        <f t="shared" si="19"/>
        <v/>
      </c>
      <c r="AD86" s="53" t="str">
        <f t="shared" si="25"/>
        <v/>
      </c>
      <c r="AE86" s="45" t="str">
        <f t="shared" si="20"/>
        <v/>
      </c>
      <c r="AF86" s="36">
        <f t="shared" si="26"/>
        <v>1</v>
      </c>
      <c r="AG86" s="54">
        <f t="shared" si="21"/>
        <v>0</v>
      </c>
      <c r="AH86" s="32" t="str">
        <f t="shared" si="27"/>
        <v/>
      </c>
      <c r="AI86" s="50"/>
      <c r="AJ86" s="50">
        <v>0</v>
      </c>
      <c r="AK86" s="50">
        <v>0</v>
      </c>
      <c r="AL86" s="50">
        <v>1</v>
      </c>
      <c r="AM86" s="50">
        <v>1</v>
      </c>
      <c r="AN86" s="50">
        <v>1</v>
      </c>
      <c r="AO86" s="50">
        <v>1</v>
      </c>
      <c r="AP86" s="50">
        <v>1</v>
      </c>
      <c r="AQ86" s="50">
        <v>1</v>
      </c>
      <c r="AR86" s="50">
        <v>1</v>
      </c>
      <c r="AU86" s="39"/>
      <c r="AW86" s="39"/>
    </row>
    <row r="87" spans="1:49" x14ac:dyDescent="0.25">
      <c r="A87" s="40"/>
      <c r="B87" s="41">
        <v>5903</v>
      </c>
      <c r="C87" s="40" t="s">
        <v>123</v>
      </c>
      <c r="D87" s="42">
        <v>24976141</v>
      </c>
      <c r="E87" s="42">
        <v>29108163</v>
      </c>
      <c r="F87" s="42">
        <v>37592260</v>
      </c>
      <c r="G87" s="42">
        <v>44580032</v>
      </c>
      <c r="H87" s="42">
        <f t="shared" si="22"/>
        <v>34064149</v>
      </c>
      <c r="I87" s="42">
        <v>2537417.9600000018</v>
      </c>
      <c r="J87" s="43">
        <f t="shared" si="14"/>
        <v>7.4489398223334502E-2</v>
      </c>
      <c r="K87" s="44">
        <v>13108667.82</v>
      </c>
      <c r="L87" s="45">
        <f t="shared" si="15"/>
        <v>0.38482299440388196</v>
      </c>
      <c r="M87" s="42">
        <v>778145</v>
      </c>
      <c r="N87" s="45">
        <f t="shared" si="23"/>
        <v>1.7455012145347944E-2</v>
      </c>
      <c r="O87" s="44">
        <v>4360979</v>
      </c>
      <c r="P87" s="44">
        <v>-1181379</v>
      </c>
      <c r="Q87" s="44">
        <v>-7052054</v>
      </c>
      <c r="R87" s="46">
        <v>0.80908999999999998</v>
      </c>
      <c r="S87" s="46">
        <v>0.77639000000000002</v>
      </c>
      <c r="T87" s="47">
        <f t="shared" si="24"/>
        <v>0.79269999999999996</v>
      </c>
      <c r="U87" s="48">
        <v>0</v>
      </c>
      <c r="V87" s="45">
        <f t="shared" si="16"/>
        <v>0</v>
      </c>
      <c r="W87" s="49"/>
      <c r="X87" s="50"/>
      <c r="Y87" s="51"/>
      <c r="Z87" s="52"/>
      <c r="AA87" s="45" t="str">
        <f t="shared" si="17"/>
        <v/>
      </c>
      <c r="AB87" s="45" t="str">
        <f t="shared" si="18"/>
        <v/>
      </c>
      <c r="AC87" s="45" t="str">
        <f t="shared" si="19"/>
        <v/>
      </c>
      <c r="AD87" s="53" t="str">
        <f t="shared" si="25"/>
        <v/>
      </c>
      <c r="AE87" s="45" t="str">
        <f t="shared" si="20"/>
        <v/>
      </c>
      <c r="AF87" s="36">
        <f t="shared" si="26"/>
        <v>0</v>
      </c>
      <c r="AG87" s="54">
        <f t="shared" si="21"/>
        <v>0</v>
      </c>
      <c r="AH87" s="32" t="str">
        <f t="shared" si="27"/>
        <v/>
      </c>
      <c r="AI87" s="50"/>
      <c r="AJ87" s="50">
        <v>0</v>
      </c>
      <c r="AK87" s="50">
        <v>0</v>
      </c>
      <c r="AL87" s="50">
        <v>0</v>
      </c>
      <c r="AM87" s="50">
        <v>0</v>
      </c>
      <c r="AN87" s="50">
        <v>0</v>
      </c>
      <c r="AO87" s="50">
        <v>0</v>
      </c>
      <c r="AP87" s="50">
        <v>0</v>
      </c>
      <c r="AQ87" s="50">
        <v>0</v>
      </c>
      <c r="AR87" s="50">
        <v>3</v>
      </c>
      <c r="AU87" s="39"/>
      <c r="AW87" s="39"/>
    </row>
    <row r="88" spans="1:49" x14ac:dyDescent="0.25">
      <c r="A88" s="40"/>
      <c r="B88" s="41">
        <v>5904</v>
      </c>
      <c r="C88" s="40" t="s">
        <v>124</v>
      </c>
      <c r="D88" s="42">
        <v>29061565</v>
      </c>
      <c r="E88" s="42">
        <v>43554787</v>
      </c>
      <c r="F88" s="42">
        <v>53940799</v>
      </c>
      <c r="G88" s="42">
        <v>47821115</v>
      </c>
      <c r="H88" s="42">
        <f t="shared" si="22"/>
        <v>43594567</v>
      </c>
      <c r="I88" s="42">
        <v>520486.38999999897</v>
      </c>
      <c r="J88" s="43">
        <f t="shared" si="14"/>
        <v>1.1939248989444005E-2</v>
      </c>
      <c r="K88" s="44">
        <v>13936254.52</v>
      </c>
      <c r="L88" s="45">
        <f t="shared" si="15"/>
        <v>0.31967870032979107</v>
      </c>
      <c r="M88" s="42">
        <v>0</v>
      </c>
      <c r="N88" s="45">
        <f t="shared" si="23"/>
        <v>0</v>
      </c>
      <c r="O88" s="44">
        <v>347055</v>
      </c>
      <c r="P88" s="44">
        <v>-3941650</v>
      </c>
      <c r="Q88" s="44">
        <v>4034663</v>
      </c>
      <c r="R88" s="46">
        <v>0.95226</v>
      </c>
      <c r="S88" s="46">
        <v>0.78849000000000002</v>
      </c>
      <c r="T88" s="47">
        <f t="shared" si="24"/>
        <v>0.87039999999999995</v>
      </c>
      <c r="U88" s="48">
        <v>0</v>
      </c>
      <c r="V88" s="45">
        <f t="shared" si="16"/>
        <v>0</v>
      </c>
      <c r="W88" s="49"/>
      <c r="X88" s="50"/>
      <c r="Y88" s="51"/>
      <c r="Z88" s="52"/>
      <c r="AA88" s="45" t="str">
        <f t="shared" si="17"/>
        <v/>
      </c>
      <c r="AB88" s="45" t="str">
        <f t="shared" si="18"/>
        <v/>
      </c>
      <c r="AC88" s="45" t="str">
        <f t="shared" si="19"/>
        <v/>
      </c>
      <c r="AD88" s="53" t="str">
        <f t="shared" si="25"/>
        <v/>
      </c>
      <c r="AE88" s="45" t="str">
        <f t="shared" si="20"/>
        <v/>
      </c>
      <c r="AF88" s="36">
        <f t="shared" si="26"/>
        <v>0</v>
      </c>
      <c r="AG88" s="54">
        <f t="shared" si="21"/>
        <v>0</v>
      </c>
      <c r="AH88" s="32" t="str">
        <f t="shared" si="27"/>
        <v/>
      </c>
      <c r="AI88" s="50"/>
      <c r="AJ88" s="50">
        <v>0</v>
      </c>
      <c r="AK88" s="50">
        <v>1</v>
      </c>
      <c r="AL88" s="50">
        <v>0</v>
      </c>
      <c r="AM88" s="50">
        <v>0</v>
      </c>
      <c r="AN88" s="50">
        <v>0</v>
      </c>
      <c r="AO88" s="50">
        <v>0</v>
      </c>
      <c r="AP88" s="50">
        <v>0</v>
      </c>
      <c r="AQ88" s="50">
        <v>0</v>
      </c>
      <c r="AR88" s="50">
        <v>1</v>
      </c>
      <c r="AU88" s="39"/>
      <c r="AW88" s="39"/>
    </row>
    <row r="89" spans="1:49" x14ac:dyDescent="0.25">
      <c r="A89" s="40"/>
      <c r="B89" s="41">
        <v>5905</v>
      </c>
      <c r="C89" s="40" t="s">
        <v>120</v>
      </c>
      <c r="D89" s="42">
        <v>85691801</v>
      </c>
      <c r="E89" s="42">
        <v>106653299</v>
      </c>
      <c r="F89" s="42">
        <v>115980180</v>
      </c>
      <c r="G89" s="42">
        <v>161099423</v>
      </c>
      <c r="H89" s="42">
        <f t="shared" si="22"/>
        <v>117356176</v>
      </c>
      <c r="I89" s="42">
        <v>38948754.649999991</v>
      </c>
      <c r="J89" s="43">
        <f t="shared" si="14"/>
        <v>0.33188500151879513</v>
      </c>
      <c r="K89" s="44">
        <v>94588016.00999999</v>
      </c>
      <c r="L89" s="45">
        <f t="shared" si="15"/>
        <v>0.80599095193762949</v>
      </c>
      <c r="M89" s="42">
        <v>1886647</v>
      </c>
      <c r="N89" s="45">
        <f t="shared" si="23"/>
        <v>1.1711072360575742E-2</v>
      </c>
      <c r="O89" s="44">
        <v>4345911</v>
      </c>
      <c r="P89" s="44">
        <v>9768248</v>
      </c>
      <c r="Q89" s="44">
        <v>-271778</v>
      </c>
      <c r="R89" s="46">
        <v>0.85094999999999998</v>
      </c>
      <c r="S89" s="46">
        <v>0.75509000000000004</v>
      </c>
      <c r="T89" s="47">
        <f t="shared" si="24"/>
        <v>0.80300000000000005</v>
      </c>
      <c r="U89" s="48">
        <v>701231</v>
      </c>
      <c r="V89" s="45">
        <f t="shared" si="16"/>
        <v>4.3527840568367525E-3</v>
      </c>
      <c r="W89" s="49"/>
      <c r="X89" s="50"/>
      <c r="Y89" s="51"/>
      <c r="Z89" s="52"/>
      <c r="AA89" s="45">
        <f t="shared" si="17"/>
        <v>0.33188500151879513</v>
      </c>
      <c r="AB89" s="45">
        <f t="shared" si="18"/>
        <v>0.80599095193762949</v>
      </c>
      <c r="AC89" s="45" t="str">
        <f t="shared" si="19"/>
        <v/>
      </c>
      <c r="AD89" s="53" t="str">
        <f t="shared" si="25"/>
        <v/>
      </c>
      <c r="AE89" s="45" t="str">
        <f t="shared" si="20"/>
        <v/>
      </c>
      <c r="AF89" s="36">
        <f t="shared" si="26"/>
        <v>2</v>
      </c>
      <c r="AG89" s="54">
        <f t="shared" si="21"/>
        <v>0</v>
      </c>
      <c r="AH89" s="32" t="str">
        <f t="shared" si="27"/>
        <v/>
      </c>
      <c r="AI89" s="50"/>
      <c r="AJ89" s="50">
        <v>3</v>
      </c>
      <c r="AK89" s="50">
        <v>2</v>
      </c>
      <c r="AL89" s="50">
        <v>2</v>
      </c>
      <c r="AM89" s="50">
        <v>2</v>
      </c>
      <c r="AN89" s="50">
        <v>3</v>
      </c>
      <c r="AO89" s="50">
        <v>3</v>
      </c>
      <c r="AP89" s="50">
        <v>2</v>
      </c>
      <c r="AQ89" s="50">
        <v>3</v>
      </c>
      <c r="AR89" s="50">
        <v>3</v>
      </c>
      <c r="AU89" s="39"/>
      <c r="AW89" s="39"/>
    </row>
    <row r="90" spans="1:49" x14ac:dyDescent="0.25">
      <c r="A90" s="40"/>
      <c r="B90" s="41">
        <v>5906</v>
      </c>
      <c r="C90" s="40" t="s">
        <v>125</v>
      </c>
      <c r="D90" s="42">
        <v>19572776</v>
      </c>
      <c r="E90" s="42">
        <v>24040718</v>
      </c>
      <c r="F90" s="42">
        <v>28343776</v>
      </c>
      <c r="G90" s="42">
        <v>32016823</v>
      </c>
      <c r="H90" s="42">
        <f t="shared" si="22"/>
        <v>25993523</v>
      </c>
      <c r="I90" s="42">
        <v>3427154.5800000015</v>
      </c>
      <c r="J90" s="43">
        <f t="shared" si="14"/>
        <v>0.13184648267955065</v>
      </c>
      <c r="K90" s="44">
        <v>12953993.98</v>
      </c>
      <c r="L90" s="45">
        <f t="shared" si="15"/>
        <v>0.49835468551146378</v>
      </c>
      <c r="M90" s="42">
        <v>0</v>
      </c>
      <c r="N90" s="45">
        <f t="shared" si="23"/>
        <v>0</v>
      </c>
      <c r="O90" s="44">
        <v>1495327</v>
      </c>
      <c r="P90" s="44">
        <v>-1414269</v>
      </c>
      <c r="Q90" s="44">
        <v>-105664</v>
      </c>
      <c r="R90" s="46">
        <v>0.89873000000000003</v>
      </c>
      <c r="S90" s="46">
        <v>0.76198999999999995</v>
      </c>
      <c r="T90" s="47">
        <f t="shared" si="24"/>
        <v>0.83040000000000003</v>
      </c>
      <c r="U90" s="48">
        <v>0</v>
      </c>
      <c r="V90" s="45">
        <f t="shared" si="16"/>
        <v>0</v>
      </c>
      <c r="W90" s="49"/>
      <c r="X90" s="50"/>
      <c r="Y90" s="51"/>
      <c r="Z90" s="52"/>
      <c r="AA90" s="45" t="str">
        <f t="shared" si="17"/>
        <v/>
      </c>
      <c r="AB90" s="45" t="str">
        <f t="shared" si="18"/>
        <v/>
      </c>
      <c r="AC90" s="45" t="str">
        <f t="shared" si="19"/>
        <v/>
      </c>
      <c r="AD90" s="53" t="str">
        <f t="shared" si="25"/>
        <v/>
      </c>
      <c r="AE90" s="45" t="str">
        <f t="shared" si="20"/>
        <v/>
      </c>
      <c r="AF90" s="36">
        <f t="shared" si="26"/>
        <v>0</v>
      </c>
      <c r="AG90" s="54">
        <f t="shared" si="21"/>
        <v>0</v>
      </c>
      <c r="AH90" s="32" t="str">
        <f t="shared" si="27"/>
        <v/>
      </c>
      <c r="AI90" s="50"/>
      <c r="AJ90" s="50">
        <v>0</v>
      </c>
      <c r="AK90" s="50">
        <v>1</v>
      </c>
      <c r="AL90" s="50">
        <v>0</v>
      </c>
      <c r="AM90" s="50">
        <v>0</v>
      </c>
      <c r="AN90" s="50">
        <v>0</v>
      </c>
      <c r="AO90" s="50">
        <v>1</v>
      </c>
      <c r="AP90" s="50">
        <v>0</v>
      </c>
      <c r="AQ90" s="50">
        <v>0</v>
      </c>
      <c r="AR90" s="50">
        <v>1</v>
      </c>
      <c r="AU90" s="39"/>
      <c r="AW90" s="39"/>
    </row>
    <row r="91" spans="1:49" x14ac:dyDescent="0.25">
      <c r="A91" s="40"/>
      <c r="B91" s="41">
        <v>5907</v>
      </c>
      <c r="C91" s="40" t="s">
        <v>126</v>
      </c>
      <c r="D91" s="42">
        <v>11544912</v>
      </c>
      <c r="E91" s="42">
        <v>13199396</v>
      </c>
      <c r="F91" s="42">
        <v>17068367</v>
      </c>
      <c r="G91" s="42">
        <v>20832885</v>
      </c>
      <c r="H91" s="42">
        <f t="shared" si="22"/>
        <v>15661390</v>
      </c>
      <c r="I91" s="42">
        <v>1172479.1900000002</v>
      </c>
      <c r="J91" s="43">
        <f t="shared" si="14"/>
        <v>7.4864312171525019E-2</v>
      </c>
      <c r="K91" s="44">
        <v>3087827.5999999996</v>
      </c>
      <c r="L91" s="45">
        <f t="shared" si="15"/>
        <v>0.19716178449039323</v>
      </c>
      <c r="M91" s="42">
        <v>0</v>
      </c>
      <c r="N91" s="45">
        <f t="shared" si="23"/>
        <v>0</v>
      </c>
      <c r="O91" s="44">
        <v>2512507</v>
      </c>
      <c r="P91" s="44">
        <v>97259</v>
      </c>
      <c r="Q91" s="44">
        <v>-1891954</v>
      </c>
      <c r="R91" s="46">
        <v>0.82418999999999998</v>
      </c>
      <c r="S91" s="46">
        <v>0.79290000000000005</v>
      </c>
      <c r="T91" s="47">
        <f t="shared" si="24"/>
        <v>0.8085</v>
      </c>
      <c r="U91" s="48">
        <v>0</v>
      </c>
      <c r="V91" s="45">
        <f t="shared" si="16"/>
        <v>0</v>
      </c>
      <c r="W91" s="49"/>
      <c r="X91" s="50"/>
      <c r="Y91" s="51"/>
      <c r="Z91" s="52"/>
      <c r="AA91" s="45" t="str">
        <f t="shared" si="17"/>
        <v/>
      </c>
      <c r="AB91" s="45" t="str">
        <f t="shared" si="18"/>
        <v/>
      </c>
      <c r="AC91" s="45" t="str">
        <f t="shared" si="19"/>
        <v/>
      </c>
      <c r="AD91" s="53" t="str">
        <f t="shared" si="25"/>
        <v/>
      </c>
      <c r="AE91" s="45" t="str">
        <f t="shared" si="20"/>
        <v/>
      </c>
      <c r="AF91" s="36">
        <f t="shared" si="26"/>
        <v>0</v>
      </c>
      <c r="AG91" s="54">
        <f t="shared" si="21"/>
        <v>0</v>
      </c>
      <c r="AH91" s="32" t="str">
        <f t="shared" si="27"/>
        <v/>
      </c>
      <c r="AI91" s="50"/>
      <c r="AJ91" s="50">
        <v>0</v>
      </c>
      <c r="AK91" s="50">
        <v>0</v>
      </c>
      <c r="AL91" s="50">
        <v>0</v>
      </c>
      <c r="AM91" s="50">
        <v>0</v>
      </c>
      <c r="AN91" s="50">
        <v>0</v>
      </c>
      <c r="AO91" s="50">
        <v>0</v>
      </c>
      <c r="AP91" s="50">
        <v>0</v>
      </c>
      <c r="AQ91" s="50">
        <v>0</v>
      </c>
      <c r="AR91" s="50">
        <v>0</v>
      </c>
      <c r="AU91" s="39"/>
      <c r="AW91" s="39"/>
    </row>
    <row r="92" spans="1:49" x14ac:dyDescent="0.25">
      <c r="A92" s="40" t="s">
        <v>127</v>
      </c>
      <c r="B92" s="41">
        <v>6001</v>
      </c>
      <c r="C92" s="40" t="s">
        <v>128</v>
      </c>
      <c r="D92" s="42">
        <v>11670036</v>
      </c>
      <c r="E92" s="42">
        <v>12978456</v>
      </c>
      <c r="F92" s="42">
        <v>14144825</v>
      </c>
      <c r="G92" s="42">
        <v>16677839</v>
      </c>
      <c r="H92" s="42">
        <f t="shared" si="22"/>
        <v>13867789</v>
      </c>
      <c r="I92" s="42">
        <v>758065.62999999989</v>
      </c>
      <c r="J92" s="43">
        <f t="shared" si="14"/>
        <v>5.4663770122259571E-2</v>
      </c>
      <c r="K92" s="44">
        <v>4528434.25</v>
      </c>
      <c r="L92" s="45">
        <f t="shared" si="15"/>
        <v>0.32654334804199864</v>
      </c>
      <c r="M92" s="42">
        <v>594193</v>
      </c>
      <c r="N92" s="45">
        <f t="shared" si="23"/>
        <v>3.5627697329372231E-2</v>
      </c>
      <c r="O92" s="44">
        <v>965639</v>
      </c>
      <c r="P92" s="44">
        <v>1159091</v>
      </c>
      <c r="Q92" s="44">
        <v>109633</v>
      </c>
      <c r="R92" s="46">
        <v>0.66456000000000004</v>
      </c>
      <c r="S92" s="46">
        <v>0.73885999999999996</v>
      </c>
      <c r="T92" s="47">
        <f t="shared" si="24"/>
        <v>0.70169999999999999</v>
      </c>
      <c r="U92" s="48">
        <v>0</v>
      </c>
      <c r="V92" s="45">
        <f t="shared" si="16"/>
        <v>0</v>
      </c>
      <c r="W92" s="49"/>
      <c r="X92" s="50"/>
      <c r="Y92" s="51"/>
      <c r="Z92" s="52"/>
      <c r="AA92" s="45" t="str">
        <f t="shared" si="17"/>
        <v/>
      </c>
      <c r="AB92" s="45" t="str">
        <f t="shared" si="18"/>
        <v/>
      </c>
      <c r="AC92" s="45" t="str">
        <f t="shared" si="19"/>
        <v/>
      </c>
      <c r="AD92" s="53" t="str">
        <f t="shared" si="25"/>
        <v/>
      </c>
      <c r="AE92" s="45">
        <f t="shared" si="20"/>
        <v>0.70169999999999999</v>
      </c>
      <c r="AF92" s="36">
        <f t="shared" si="26"/>
        <v>1</v>
      </c>
      <c r="AG92" s="54">
        <f t="shared" si="21"/>
        <v>0</v>
      </c>
      <c r="AH92" s="32" t="str">
        <f t="shared" si="27"/>
        <v/>
      </c>
      <c r="AI92" s="50"/>
      <c r="AJ92" s="50">
        <v>3</v>
      </c>
      <c r="AK92" s="50">
        <v>1</v>
      </c>
      <c r="AL92" s="50">
        <v>1</v>
      </c>
      <c r="AM92" s="50">
        <v>1</v>
      </c>
      <c r="AN92" s="50">
        <v>2</v>
      </c>
      <c r="AO92" s="50">
        <v>2</v>
      </c>
      <c r="AP92" s="50">
        <v>2</v>
      </c>
      <c r="AQ92" s="50">
        <v>2</v>
      </c>
      <c r="AR92" s="50">
        <v>2</v>
      </c>
      <c r="AU92" s="39"/>
      <c r="AW92" s="39"/>
    </row>
    <row r="93" spans="1:49" x14ac:dyDescent="0.25">
      <c r="A93" s="40"/>
      <c r="B93" s="41">
        <v>6002</v>
      </c>
      <c r="C93" s="40" t="s">
        <v>129</v>
      </c>
      <c r="D93" s="42">
        <v>3264428</v>
      </c>
      <c r="E93" s="42">
        <v>3250195</v>
      </c>
      <c r="F93" s="42">
        <v>5061149</v>
      </c>
      <c r="G93" s="42">
        <v>4741896</v>
      </c>
      <c r="H93" s="42">
        <f t="shared" si="22"/>
        <v>4079417</v>
      </c>
      <c r="I93" s="42">
        <v>272626.92999999993</v>
      </c>
      <c r="J93" s="43">
        <f t="shared" si="14"/>
        <v>6.6829875445437406E-2</v>
      </c>
      <c r="K93" s="44">
        <v>44846.999999999985</v>
      </c>
      <c r="L93" s="45">
        <f t="shared" si="15"/>
        <v>1.0993482647152764E-2</v>
      </c>
      <c r="M93" s="42">
        <v>0</v>
      </c>
      <c r="N93" s="45">
        <f t="shared" si="23"/>
        <v>0</v>
      </c>
      <c r="O93" s="44">
        <v>630453</v>
      </c>
      <c r="P93" s="44">
        <v>-480572</v>
      </c>
      <c r="Q93" s="44">
        <v>965661</v>
      </c>
      <c r="R93" s="46">
        <v>0.63219000000000003</v>
      </c>
      <c r="S93" s="46">
        <v>0.69301000000000001</v>
      </c>
      <c r="T93" s="47">
        <f t="shared" si="24"/>
        <v>0.66259999999999997</v>
      </c>
      <c r="U93" s="48">
        <v>0</v>
      </c>
      <c r="V93" s="45">
        <f t="shared" si="16"/>
        <v>0</v>
      </c>
      <c r="W93" s="49"/>
      <c r="X93" s="50"/>
      <c r="Y93" s="51"/>
      <c r="Z93" s="52"/>
      <c r="AA93" s="45" t="str">
        <f t="shared" si="17"/>
        <v/>
      </c>
      <c r="AB93" s="45" t="str">
        <f t="shared" si="18"/>
        <v/>
      </c>
      <c r="AC93" s="45" t="str">
        <f t="shared" si="19"/>
        <v/>
      </c>
      <c r="AD93" s="53" t="str">
        <f t="shared" si="25"/>
        <v/>
      </c>
      <c r="AE93" s="45">
        <f t="shared" si="20"/>
        <v>0.66259999999999997</v>
      </c>
      <c r="AF93" s="36">
        <f t="shared" si="26"/>
        <v>1</v>
      </c>
      <c r="AG93" s="54">
        <f t="shared" si="21"/>
        <v>0</v>
      </c>
      <c r="AH93" s="32" t="str">
        <f t="shared" si="27"/>
        <v/>
      </c>
      <c r="AI93" s="50"/>
      <c r="AJ93" s="50">
        <v>1</v>
      </c>
      <c r="AK93" s="50">
        <v>1</v>
      </c>
      <c r="AL93" s="50">
        <v>1</v>
      </c>
      <c r="AM93" s="50">
        <v>1</v>
      </c>
      <c r="AN93" s="50">
        <v>2</v>
      </c>
      <c r="AO93" s="50">
        <v>2</v>
      </c>
      <c r="AP93" s="50">
        <v>1</v>
      </c>
      <c r="AQ93" s="50">
        <v>0</v>
      </c>
      <c r="AR93" s="50">
        <v>1</v>
      </c>
      <c r="AU93" s="39"/>
      <c r="AW93" s="39"/>
    </row>
    <row r="94" spans="1:49" x14ac:dyDescent="0.25">
      <c r="A94" s="40"/>
      <c r="B94" s="41">
        <v>6003</v>
      </c>
      <c r="C94" s="40" t="s">
        <v>130</v>
      </c>
      <c r="D94" s="42">
        <v>42835236</v>
      </c>
      <c r="E94" s="42">
        <v>50161938</v>
      </c>
      <c r="F94" s="42">
        <v>56610312</v>
      </c>
      <c r="G94" s="42">
        <v>70939419</v>
      </c>
      <c r="H94" s="42">
        <f t="shared" si="22"/>
        <v>55136726</v>
      </c>
      <c r="I94" s="42">
        <v>5858816.8699999992</v>
      </c>
      <c r="J94" s="43">
        <f t="shared" si="14"/>
        <v>0.10625978898348079</v>
      </c>
      <c r="K94" s="44">
        <v>33674659.399999999</v>
      </c>
      <c r="L94" s="45">
        <f t="shared" si="15"/>
        <v>0.61074825879215244</v>
      </c>
      <c r="M94" s="42">
        <v>2267633</v>
      </c>
      <c r="N94" s="45">
        <f t="shared" si="23"/>
        <v>3.196576786173002E-2</v>
      </c>
      <c r="O94" s="44">
        <v>-574786</v>
      </c>
      <c r="P94" s="44">
        <v>-5599285</v>
      </c>
      <c r="Q94" s="44">
        <v>6409074</v>
      </c>
      <c r="R94" s="46">
        <v>0.85477000000000003</v>
      </c>
      <c r="S94" s="46">
        <v>0.7157</v>
      </c>
      <c r="T94" s="47">
        <f t="shared" si="24"/>
        <v>0.78520000000000001</v>
      </c>
      <c r="U94" s="48">
        <v>0</v>
      </c>
      <c r="V94" s="45">
        <f t="shared" si="16"/>
        <v>0</v>
      </c>
      <c r="W94" s="49"/>
      <c r="X94" s="50"/>
      <c r="Y94" s="51"/>
      <c r="Z94" s="52"/>
      <c r="AA94" s="45" t="str">
        <f t="shared" si="17"/>
        <v/>
      </c>
      <c r="AB94" s="45">
        <f t="shared" si="18"/>
        <v>0.61074825879215244</v>
      </c>
      <c r="AC94" s="45" t="str">
        <f t="shared" si="19"/>
        <v/>
      </c>
      <c r="AD94" s="53" t="str">
        <f t="shared" si="25"/>
        <v/>
      </c>
      <c r="AE94" s="45" t="str">
        <f t="shared" si="20"/>
        <v/>
      </c>
      <c r="AF94" s="36">
        <f t="shared" si="26"/>
        <v>1</v>
      </c>
      <c r="AG94" s="54">
        <f t="shared" si="21"/>
        <v>0</v>
      </c>
      <c r="AH94" s="32" t="str">
        <f t="shared" si="27"/>
        <v/>
      </c>
      <c r="AI94" s="50"/>
      <c r="AJ94" s="50">
        <v>1</v>
      </c>
      <c r="AK94" s="50">
        <v>1</v>
      </c>
      <c r="AL94" s="50">
        <v>0</v>
      </c>
      <c r="AM94" s="50">
        <v>0</v>
      </c>
      <c r="AN94" s="50">
        <v>2</v>
      </c>
      <c r="AO94" s="50">
        <v>0</v>
      </c>
      <c r="AP94" s="50">
        <v>2</v>
      </c>
      <c r="AQ94" s="50">
        <v>1</v>
      </c>
      <c r="AR94" s="50">
        <v>3</v>
      </c>
      <c r="AU94" s="39"/>
      <c r="AW94" s="39"/>
    </row>
    <row r="95" spans="1:49" x14ac:dyDescent="0.25">
      <c r="A95" s="40"/>
      <c r="B95" s="41">
        <v>6004</v>
      </c>
      <c r="C95" s="40" t="s">
        <v>131</v>
      </c>
      <c r="D95" s="42">
        <v>7232161</v>
      </c>
      <c r="E95" s="42">
        <v>8239731</v>
      </c>
      <c r="F95" s="42">
        <v>8919891</v>
      </c>
      <c r="G95" s="42">
        <v>13629529</v>
      </c>
      <c r="H95" s="42">
        <f t="shared" si="22"/>
        <v>9505328</v>
      </c>
      <c r="I95" s="42">
        <v>465738.83000000013</v>
      </c>
      <c r="J95" s="43">
        <f t="shared" si="14"/>
        <v>4.8997660049185057E-2</v>
      </c>
      <c r="K95" s="44">
        <v>8209506.6599999992</v>
      </c>
      <c r="L95" s="45">
        <f t="shared" si="15"/>
        <v>0.86367421092675589</v>
      </c>
      <c r="M95" s="42">
        <v>129193</v>
      </c>
      <c r="N95" s="45">
        <f t="shared" si="23"/>
        <v>9.4789042233227577E-3</v>
      </c>
      <c r="O95" s="44">
        <v>-685737</v>
      </c>
      <c r="P95" s="44">
        <v>794737</v>
      </c>
      <c r="Q95" s="44">
        <v>-1026534</v>
      </c>
      <c r="R95" s="46">
        <v>0.77129000000000003</v>
      </c>
      <c r="S95" s="46">
        <v>0.72704000000000002</v>
      </c>
      <c r="T95" s="47">
        <f t="shared" si="24"/>
        <v>0.74919999999999998</v>
      </c>
      <c r="U95" s="48">
        <v>0</v>
      </c>
      <c r="V95" s="45">
        <f t="shared" si="16"/>
        <v>0</v>
      </c>
      <c r="W95" s="49"/>
      <c r="X95" s="50"/>
      <c r="Y95" s="51"/>
      <c r="Z95" s="52"/>
      <c r="AA95" s="45" t="str">
        <f t="shared" si="17"/>
        <v/>
      </c>
      <c r="AB95" s="45">
        <f t="shared" si="18"/>
        <v>0.86367421092675589</v>
      </c>
      <c r="AC95" s="45" t="str">
        <f t="shared" si="19"/>
        <v/>
      </c>
      <c r="AD95" s="53" t="str">
        <f t="shared" si="25"/>
        <v/>
      </c>
      <c r="AE95" s="45">
        <f t="shared" si="20"/>
        <v>0.74919999999999998</v>
      </c>
      <c r="AF95" s="36">
        <f t="shared" si="26"/>
        <v>2</v>
      </c>
      <c r="AG95" s="54">
        <f t="shared" si="21"/>
        <v>0</v>
      </c>
      <c r="AH95" s="32" t="str">
        <f t="shared" si="27"/>
        <v/>
      </c>
      <c r="AI95" s="50"/>
      <c r="AJ95" s="50">
        <v>2</v>
      </c>
      <c r="AK95" s="50">
        <v>1</v>
      </c>
      <c r="AL95" s="50">
        <v>1</v>
      </c>
      <c r="AM95" s="50">
        <v>1</v>
      </c>
      <c r="AN95" s="50">
        <v>3</v>
      </c>
      <c r="AO95" s="50">
        <v>4</v>
      </c>
      <c r="AP95" s="50">
        <v>3</v>
      </c>
      <c r="AQ95" s="50">
        <v>4</v>
      </c>
      <c r="AR95" s="50">
        <v>2</v>
      </c>
      <c r="AU95" s="39"/>
      <c r="AW95" s="39"/>
    </row>
    <row r="96" spans="1:49" x14ac:dyDescent="0.25">
      <c r="A96" s="40"/>
      <c r="B96" s="41">
        <v>6005</v>
      </c>
      <c r="C96" s="40" t="s">
        <v>127</v>
      </c>
      <c r="D96" s="42">
        <v>63443565</v>
      </c>
      <c r="E96" s="42">
        <v>72723361</v>
      </c>
      <c r="F96" s="42">
        <v>89900019</v>
      </c>
      <c r="G96" s="42">
        <v>109784611</v>
      </c>
      <c r="H96" s="42">
        <f t="shared" si="22"/>
        <v>83962889</v>
      </c>
      <c r="I96" s="42">
        <v>2180202.2199999918</v>
      </c>
      <c r="J96" s="43">
        <f t="shared" si="14"/>
        <v>2.5966260165249815E-2</v>
      </c>
      <c r="K96" s="44">
        <v>63988667.970000014</v>
      </c>
      <c r="L96" s="45">
        <f t="shared" si="15"/>
        <v>0.76210655364657609</v>
      </c>
      <c r="M96" s="42">
        <v>0</v>
      </c>
      <c r="N96" s="45">
        <f t="shared" si="23"/>
        <v>0</v>
      </c>
      <c r="O96" s="44">
        <v>1906797</v>
      </c>
      <c r="P96" s="44">
        <v>-2038783</v>
      </c>
      <c r="Q96" s="44">
        <v>-1257378</v>
      </c>
      <c r="R96" s="46">
        <v>0.81752999999999998</v>
      </c>
      <c r="S96" s="46">
        <v>0.63592000000000004</v>
      </c>
      <c r="T96" s="47">
        <f t="shared" si="24"/>
        <v>0.72670000000000001</v>
      </c>
      <c r="U96" s="48">
        <v>0</v>
      </c>
      <c r="V96" s="45">
        <f t="shared" si="16"/>
        <v>0</v>
      </c>
      <c r="W96" s="49"/>
      <c r="X96" s="50"/>
      <c r="Y96" s="51"/>
      <c r="Z96" s="52"/>
      <c r="AA96" s="45" t="str">
        <f t="shared" si="17"/>
        <v/>
      </c>
      <c r="AB96" s="45">
        <f t="shared" si="18"/>
        <v>0.76210655364657609</v>
      </c>
      <c r="AC96" s="45" t="str">
        <f t="shared" si="19"/>
        <v/>
      </c>
      <c r="AD96" s="53" t="str">
        <f t="shared" si="25"/>
        <v/>
      </c>
      <c r="AE96" s="45">
        <f t="shared" si="20"/>
        <v>0.72670000000000001</v>
      </c>
      <c r="AF96" s="36">
        <f t="shared" si="26"/>
        <v>2</v>
      </c>
      <c r="AG96" s="54">
        <f t="shared" si="21"/>
        <v>0</v>
      </c>
      <c r="AH96" s="32" t="str">
        <f t="shared" si="27"/>
        <v/>
      </c>
      <c r="AI96" s="50"/>
      <c r="AJ96" s="50">
        <v>2</v>
      </c>
      <c r="AK96" s="50">
        <v>1</v>
      </c>
      <c r="AL96" s="50">
        <v>2</v>
      </c>
      <c r="AM96" s="50">
        <v>1</v>
      </c>
      <c r="AN96" s="50">
        <v>1</v>
      </c>
      <c r="AO96" s="50">
        <v>1</v>
      </c>
      <c r="AP96" s="50">
        <v>1</v>
      </c>
      <c r="AQ96" s="50">
        <v>1</v>
      </c>
      <c r="AR96" s="50">
        <v>2</v>
      </c>
      <c r="AU96" s="39"/>
      <c r="AW96" s="39"/>
    </row>
    <row r="97" spans="1:49" x14ac:dyDescent="0.25">
      <c r="A97" s="40"/>
      <c r="B97" s="41">
        <v>6006</v>
      </c>
      <c r="C97" s="40" t="s">
        <v>132</v>
      </c>
      <c r="D97" s="42">
        <v>4170993</v>
      </c>
      <c r="E97" s="42">
        <v>4732338</v>
      </c>
      <c r="F97" s="42">
        <v>6212781</v>
      </c>
      <c r="G97" s="42">
        <v>7034640</v>
      </c>
      <c r="H97" s="42">
        <f t="shared" si="22"/>
        <v>5537688</v>
      </c>
      <c r="I97" s="42">
        <v>21231.490000000493</v>
      </c>
      <c r="J97" s="43">
        <f t="shared" si="14"/>
        <v>3.8339989540762307E-3</v>
      </c>
      <c r="K97" s="44">
        <v>574129.76000000024</v>
      </c>
      <c r="L97" s="45">
        <f t="shared" si="15"/>
        <v>0.10367679797056105</v>
      </c>
      <c r="M97" s="42">
        <v>0</v>
      </c>
      <c r="N97" s="45">
        <f t="shared" si="23"/>
        <v>0</v>
      </c>
      <c r="O97" s="44">
        <v>641997</v>
      </c>
      <c r="P97" s="44">
        <v>-43785</v>
      </c>
      <c r="Q97" s="44">
        <v>-158136</v>
      </c>
      <c r="R97" s="46">
        <v>0.76002999999999998</v>
      </c>
      <c r="S97" s="46">
        <v>0.75856999999999997</v>
      </c>
      <c r="T97" s="47">
        <f t="shared" si="24"/>
        <v>0.75929999999999997</v>
      </c>
      <c r="U97" s="48">
        <v>0</v>
      </c>
      <c r="V97" s="45">
        <f t="shared" si="16"/>
        <v>0</v>
      </c>
      <c r="W97" s="49"/>
      <c r="X97" s="50"/>
      <c r="Y97" s="51"/>
      <c r="Z97" s="52"/>
      <c r="AA97" s="45" t="str">
        <f t="shared" si="17"/>
        <v/>
      </c>
      <c r="AB97" s="45" t="str">
        <f t="shared" si="18"/>
        <v/>
      </c>
      <c r="AC97" s="45" t="str">
        <f t="shared" si="19"/>
        <v/>
      </c>
      <c r="AD97" s="53" t="str">
        <f t="shared" si="25"/>
        <v/>
      </c>
      <c r="AE97" s="45">
        <f t="shared" si="20"/>
        <v>0.75929999999999997</v>
      </c>
      <c r="AF97" s="36">
        <f t="shared" si="26"/>
        <v>1</v>
      </c>
      <c r="AG97" s="54">
        <f t="shared" si="21"/>
        <v>0</v>
      </c>
      <c r="AH97" s="32" t="str">
        <f t="shared" si="27"/>
        <v/>
      </c>
      <c r="AI97" s="50"/>
      <c r="AJ97" s="50">
        <v>0</v>
      </c>
      <c r="AK97" s="50">
        <v>0</v>
      </c>
      <c r="AL97" s="50">
        <v>0</v>
      </c>
      <c r="AM97" s="50">
        <v>1</v>
      </c>
      <c r="AN97" s="50">
        <v>0</v>
      </c>
      <c r="AO97" s="50">
        <v>1</v>
      </c>
      <c r="AP97" s="50">
        <v>1</v>
      </c>
      <c r="AQ97" s="50">
        <v>0</v>
      </c>
      <c r="AR97" s="50">
        <v>1</v>
      </c>
      <c r="AU97" s="39"/>
      <c r="AW97" s="39"/>
    </row>
    <row r="98" spans="1:49" x14ac:dyDescent="0.25">
      <c r="A98" s="40"/>
      <c r="B98" s="41">
        <v>6007</v>
      </c>
      <c r="C98" s="40" t="s">
        <v>133</v>
      </c>
      <c r="D98" s="42">
        <v>4198875</v>
      </c>
      <c r="E98" s="42">
        <v>6324908</v>
      </c>
      <c r="F98" s="42">
        <v>5856412</v>
      </c>
      <c r="G98" s="42">
        <v>6343704</v>
      </c>
      <c r="H98" s="42">
        <f t="shared" si="22"/>
        <v>5680975</v>
      </c>
      <c r="I98" s="42">
        <v>336387.47000000038</v>
      </c>
      <c r="J98" s="43">
        <f t="shared" si="14"/>
        <v>5.9212981926517964E-2</v>
      </c>
      <c r="K98" s="44">
        <v>512526.17999999993</v>
      </c>
      <c r="L98" s="45">
        <f t="shared" si="15"/>
        <v>9.0217996030610925E-2</v>
      </c>
      <c r="M98" s="42">
        <v>312211</v>
      </c>
      <c r="N98" s="45">
        <f t="shared" si="23"/>
        <v>4.9215883969365534E-2</v>
      </c>
      <c r="O98" s="44">
        <v>-467948</v>
      </c>
      <c r="P98" s="44">
        <v>907168</v>
      </c>
      <c r="Q98" s="44">
        <v>54100</v>
      </c>
      <c r="R98" s="46">
        <v>0.85458000000000001</v>
      </c>
      <c r="S98" s="46">
        <v>0.74665000000000004</v>
      </c>
      <c r="T98" s="47">
        <f t="shared" si="24"/>
        <v>0.80059999999999998</v>
      </c>
      <c r="U98" s="48">
        <v>0</v>
      </c>
      <c r="V98" s="45">
        <f t="shared" si="16"/>
        <v>0</v>
      </c>
      <c r="W98" s="49"/>
      <c r="X98" s="50"/>
      <c r="Y98" s="51"/>
      <c r="Z98" s="52"/>
      <c r="AA98" s="45" t="str">
        <f t="shared" si="17"/>
        <v/>
      </c>
      <c r="AB98" s="45" t="str">
        <f t="shared" si="18"/>
        <v/>
      </c>
      <c r="AC98" s="45" t="str">
        <f t="shared" si="19"/>
        <v/>
      </c>
      <c r="AD98" s="53" t="str">
        <f t="shared" si="25"/>
        <v/>
      </c>
      <c r="AE98" s="45" t="str">
        <f t="shared" si="20"/>
        <v/>
      </c>
      <c r="AF98" s="36">
        <f t="shared" si="26"/>
        <v>0</v>
      </c>
      <c r="AG98" s="54">
        <f t="shared" si="21"/>
        <v>0</v>
      </c>
      <c r="AH98" s="32" t="str">
        <f t="shared" si="27"/>
        <v/>
      </c>
      <c r="AI98" s="50"/>
      <c r="AJ98" s="50">
        <v>0</v>
      </c>
      <c r="AK98" s="50">
        <v>0</v>
      </c>
      <c r="AL98" s="50">
        <v>0</v>
      </c>
      <c r="AM98" s="50">
        <v>0</v>
      </c>
      <c r="AN98" s="50">
        <v>1</v>
      </c>
      <c r="AO98" s="50">
        <v>2</v>
      </c>
      <c r="AP98" s="50">
        <v>3</v>
      </c>
      <c r="AQ98" s="50">
        <v>2</v>
      </c>
      <c r="AR98" s="50">
        <v>3</v>
      </c>
      <c r="AU98" s="39"/>
      <c r="AW98" s="39"/>
    </row>
    <row r="99" spans="1:49" x14ac:dyDescent="0.25">
      <c r="A99" s="40"/>
      <c r="B99" s="41">
        <v>6008</v>
      </c>
      <c r="C99" s="40" t="s">
        <v>134</v>
      </c>
      <c r="D99" s="42">
        <v>10489971</v>
      </c>
      <c r="E99" s="42">
        <v>12137665</v>
      </c>
      <c r="F99" s="42">
        <v>14213388</v>
      </c>
      <c r="G99" s="42">
        <v>16771968</v>
      </c>
      <c r="H99" s="42">
        <f t="shared" si="22"/>
        <v>13403248</v>
      </c>
      <c r="I99" s="42">
        <v>1854880.4599999995</v>
      </c>
      <c r="J99" s="43">
        <f t="shared" si="14"/>
        <v>0.13839037075192517</v>
      </c>
      <c r="K99" s="44">
        <v>5798444.2599999998</v>
      </c>
      <c r="L99" s="45">
        <f t="shared" si="15"/>
        <v>0.43261486021895584</v>
      </c>
      <c r="M99" s="42">
        <v>313749</v>
      </c>
      <c r="N99" s="45">
        <f t="shared" si="23"/>
        <v>1.8706749261625112E-2</v>
      </c>
      <c r="O99" s="44">
        <v>164024</v>
      </c>
      <c r="P99" s="44">
        <v>-470446</v>
      </c>
      <c r="Q99" s="44">
        <v>111336</v>
      </c>
      <c r="R99" s="46">
        <v>0.71364000000000005</v>
      </c>
      <c r="S99" s="46">
        <v>0.74987000000000004</v>
      </c>
      <c r="T99" s="47">
        <f t="shared" si="24"/>
        <v>0.73180000000000001</v>
      </c>
      <c r="U99" s="48">
        <v>2501</v>
      </c>
      <c r="V99" s="45">
        <f t="shared" si="16"/>
        <v>1.4911786142210622E-4</v>
      </c>
      <c r="W99" s="49"/>
      <c r="X99" s="50"/>
      <c r="Y99" s="51"/>
      <c r="Z99" s="52"/>
      <c r="AA99" s="45" t="str">
        <f t="shared" si="17"/>
        <v/>
      </c>
      <c r="AB99" s="45" t="str">
        <f t="shared" si="18"/>
        <v/>
      </c>
      <c r="AC99" s="45" t="str">
        <f t="shared" si="19"/>
        <v/>
      </c>
      <c r="AD99" s="53" t="str">
        <f t="shared" si="25"/>
        <v/>
      </c>
      <c r="AE99" s="45">
        <f t="shared" si="20"/>
        <v>0.73180000000000001</v>
      </c>
      <c r="AF99" s="36">
        <f t="shared" si="26"/>
        <v>1</v>
      </c>
      <c r="AG99" s="54">
        <f t="shared" si="21"/>
        <v>0</v>
      </c>
      <c r="AH99" s="32" t="str">
        <f t="shared" si="27"/>
        <v/>
      </c>
      <c r="AI99" s="50"/>
      <c r="AJ99" s="50">
        <v>1</v>
      </c>
      <c r="AK99" s="50">
        <v>1</v>
      </c>
      <c r="AL99" s="50">
        <v>1</v>
      </c>
      <c r="AM99" s="50">
        <v>1</v>
      </c>
      <c r="AN99" s="50">
        <v>3</v>
      </c>
      <c r="AO99" s="50">
        <v>2</v>
      </c>
      <c r="AP99" s="50">
        <v>3</v>
      </c>
      <c r="AQ99" s="50">
        <v>4</v>
      </c>
      <c r="AR99" s="50">
        <v>4</v>
      </c>
      <c r="AU99" s="39"/>
      <c r="AW99" s="39"/>
    </row>
    <row r="100" spans="1:49" x14ac:dyDescent="0.25">
      <c r="A100" s="40"/>
      <c r="B100" s="41">
        <v>6009</v>
      </c>
      <c r="C100" s="40" t="s">
        <v>135</v>
      </c>
      <c r="D100" s="42">
        <v>2338216</v>
      </c>
      <c r="E100" s="42">
        <v>2764453</v>
      </c>
      <c r="F100" s="42">
        <v>2905986</v>
      </c>
      <c r="G100" s="42">
        <v>4073568</v>
      </c>
      <c r="H100" s="42">
        <f t="shared" si="22"/>
        <v>3020556</v>
      </c>
      <c r="I100" s="42">
        <v>18137.339999999997</v>
      </c>
      <c r="J100" s="43">
        <f t="shared" si="14"/>
        <v>6.004636232534671E-3</v>
      </c>
      <c r="K100" s="44">
        <v>62224.800000000003</v>
      </c>
      <c r="L100" s="45">
        <f t="shared" si="15"/>
        <v>2.060044574575012E-2</v>
      </c>
      <c r="M100" s="42">
        <v>0</v>
      </c>
      <c r="N100" s="45">
        <f t="shared" si="23"/>
        <v>0</v>
      </c>
      <c r="O100" s="44">
        <v>621678</v>
      </c>
      <c r="P100" s="44">
        <v>794815</v>
      </c>
      <c r="Q100" s="44">
        <v>-729713</v>
      </c>
      <c r="R100" s="46">
        <v>0.50702000000000003</v>
      </c>
      <c r="S100" s="46">
        <v>0.60665999999999998</v>
      </c>
      <c r="T100" s="47">
        <f t="shared" si="24"/>
        <v>0.55679999999999996</v>
      </c>
      <c r="U100" s="48">
        <v>0</v>
      </c>
      <c r="V100" s="45">
        <f t="shared" si="16"/>
        <v>0</v>
      </c>
      <c r="W100" s="49"/>
      <c r="X100" s="50"/>
      <c r="Y100" s="51"/>
      <c r="Z100" s="52"/>
      <c r="AA100" s="45" t="str">
        <f t="shared" si="17"/>
        <v/>
      </c>
      <c r="AB100" s="45" t="str">
        <f t="shared" si="18"/>
        <v/>
      </c>
      <c r="AC100" s="45" t="str">
        <f t="shared" si="19"/>
        <v/>
      </c>
      <c r="AD100" s="53" t="str">
        <f t="shared" si="25"/>
        <v/>
      </c>
      <c r="AE100" s="45">
        <f t="shared" si="20"/>
        <v>0.55679999999999996</v>
      </c>
      <c r="AF100" s="36">
        <f t="shared" si="26"/>
        <v>1</v>
      </c>
      <c r="AG100" s="54">
        <f t="shared" si="21"/>
        <v>0</v>
      </c>
      <c r="AH100" s="32" t="str">
        <f t="shared" si="27"/>
        <v/>
      </c>
      <c r="AI100" s="50"/>
      <c r="AJ100" s="50">
        <v>1</v>
      </c>
      <c r="AK100" s="50">
        <v>0</v>
      </c>
      <c r="AL100" s="50">
        <v>1</v>
      </c>
      <c r="AM100" s="50">
        <v>1</v>
      </c>
      <c r="AN100" s="50">
        <v>1</v>
      </c>
      <c r="AO100" s="50">
        <v>1</v>
      </c>
      <c r="AP100" s="50">
        <v>1</v>
      </c>
      <c r="AQ100" s="50">
        <v>1</v>
      </c>
      <c r="AR100" s="50">
        <v>1</v>
      </c>
      <c r="AU100" s="39"/>
      <c r="AW100" s="39"/>
    </row>
    <row r="101" spans="1:49" x14ac:dyDescent="0.25">
      <c r="A101" s="40" t="s">
        <v>136</v>
      </c>
      <c r="B101" s="41">
        <v>6101</v>
      </c>
      <c r="C101" s="40" t="s">
        <v>137</v>
      </c>
      <c r="D101" s="42">
        <v>6930121</v>
      </c>
      <c r="E101" s="42">
        <v>8633761</v>
      </c>
      <c r="F101" s="42">
        <v>9236178</v>
      </c>
      <c r="G101" s="42">
        <v>16192765</v>
      </c>
      <c r="H101" s="42">
        <f t="shared" si="22"/>
        <v>10248206</v>
      </c>
      <c r="I101" s="42">
        <v>726544.43999999948</v>
      </c>
      <c r="J101" s="43">
        <f t="shared" si="14"/>
        <v>7.0894792708109056E-2</v>
      </c>
      <c r="K101" s="44">
        <v>11805772.15</v>
      </c>
      <c r="L101" s="45">
        <f t="shared" si="15"/>
        <v>1.1519842741256372</v>
      </c>
      <c r="M101" s="42">
        <v>0</v>
      </c>
      <c r="N101" s="45">
        <f t="shared" si="23"/>
        <v>0</v>
      </c>
      <c r="O101" s="44">
        <v>-1796702</v>
      </c>
      <c r="P101" s="44">
        <v>5929505</v>
      </c>
      <c r="Q101" s="44">
        <v>-3071614</v>
      </c>
      <c r="R101" s="46">
        <v>0.82216999999999996</v>
      </c>
      <c r="S101" s="46">
        <v>0.81803999999999999</v>
      </c>
      <c r="T101" s="47">
        <f t="shared" si="24"/>
        <v>0.82010000000000005</v>
      </c>
      <c r="U101" s="48">
        <v>0</v>
      </c>
      <c r="V101" s="45">
        <f t="shared" si="16"/>
        <v>0</v>
      </c>
      <c r="W101" s="49"/>
      <c r="X101" s="50"/>
      <c r="Y101" s="51"/>
      <c r="Z101" s="52"/>
      <c r="AA101" s="45" t="str">
        <f t="shared" si="17"/>
        <v/>
      </c>
      <c r="AB101" s="45">
        <f t="shared" si="18"/>
        <v>1.1519842741256372</v>
      </c>
      <c r="AC101" s="45" t="str">
        <f t="shared" si="19"/>
        <v/>
      </c>
      <c r="AD101" s="53" t="str">
        <f t="shared" si="25"/>
        <v/>
      </c>
      <c r="AE101" s="45" t="str">
        <f t="shared" si="20"/>
        <v/>
      </c>
      <c r="AF101" s="36">
        <f t="shared" si="26"/>
        <v>1</v>
      </c>
      <c r="AG101" s="54">
        <f t="shared" si="21"/>
        <v>0</v>
      </c>
      <c r="AH101" s="32" t="str">
        <f t="shared" si="27"/>
        <v/>
      </c>
      <c r="AI101" s="50"/>
      <c r="AJ101" s="50">
        <v>1</v>
      </c>
      <c r="AK101" s="50">
        <v>0</v>
      </c>
      <c r="AL101" s="50">
        <v>0</v>
      </c>
      <c r="AM101" s="50">
        <v>0</v>
      </c>
      <c r="AN101" s="50">
        <v>0</v>
      </c>
      <c r="AO101" s="50">
        <v>0</v>
      </c>
      <c r="AP101" s="50">
        <v>0</v>
      </c>
      <c r="AQ101" s="50">
        <v>0</v>
      </c>
      <c r="AR101" s="50">
        <v>1</v>
      </c>
      <c r="AU101" s="39"/>
      <c r="AW101" s="39"/>
    </row>
    <row r="102" spans="1:49" x14ac:dyDescent="0.25">
      <c r="A102" s="40"/>
      <c r="B102" s="41">
        <v>6102</v>
      </c>
      <c r="C102" s="40" t="s">
        <v>138</v>
      </c>
      <c r="D102" s="42">
        <v>6354077</v>
      </c>
      <c r="E102" s="42">
        <v>7138288</v>
      </c>
      <c r="F102" s="42">
        <v>9517249</v>
      </c>
      <c r="G102" s="42">
        <v>9271223</v>
      </c>
      <c r="H102" s="42">
        <f t="shared" si="22"/>
        <v>8070209</v>
      </c>
      <c r="I102" s="42">
        <v>5465621.7400000002</v>
      </c>
      <c r="J102" s="43">
        <f t="shared" si="14"/>
        <v>0.67725900779025672</v>
      </c>
      <c r="K102" s="44">
        <v>6929951.2800000003</v>
      </c>
      <c r="L102" s="45">
        <f t="shared" si="15"/>
        <v>0.85870778315654528</v>
      </c>
      <c r="M102" s="42">
        <v>0</v>
      </c>
      <c r="N102" s="45">
        <f t="shared" si="23"/>
        <v>0</v>
      </c>
      <c r="O102" s="44">
        <v>718801</v>
      </c>
      <c r="P102" s="44">
        <v>-427578</v>
      </c>
      <c r="Q102" s="44">
        <v>21754</v>
      </c>
      <c r="R102" s="46">
        <v>0.68237999999999999</v>
      </c>
      <c r="S102" s="46">
        <v>0.61463999999999996</v>
      </c>
      <c r="T102" s="47">
        <f t="shared" si="24"/>
        <v>0.64849999999999997</v>
      </c>
      <c r="U102" s="48">
        <v>0</v>
      </c>
      <c r="V102" s="45">
        <f t="shared" si="16"/>
        <v>0</v>
      </c>
      <c r="W102" s="49"/>
      <c r="X102" s="50"/>
      <c r="Y102" s="51"/>
      <c r="Z102" s="52"/>
      <c r="AA102" s="45">
        <f t="shared" si="17"/>
        <v>0.67725900779025672</v>
      </c>
      <c r="AB102" s="45">
        <f t="shared" si="18"/>
        <v>0.85870778315654528</v>
      </c>
      <c r="AC102" s="45" t="str">
        <f t="shared" si="19"/>
        <v/>
      </c>
      <c r="AD102" s="53" t="str">
        <f t="shared" si="25"/>
        <v/>
      </c>
      <c r="AE102" s="45">
        <f t="shared" si="20"/>
        <v>0.64849999999999997</v>
      </c>
      <c r="AF102" s="36">
        <f t="shared" si="26"/>
        <v>3</v>
      </c>
      <c r="AG102" s="54">
        <f t="shared" si="21"/>
        <v>0</v>
      </c>
      <c r="AH102" s="32">
        <f t="shared" si="27"/>
        <v>1</v>
      </c>
      <c r="AI102" s="50"/>
      <c r="AJ102" s="50">
        <v>1</v>
      </c>
      <c r="AK102" s="50">
        <v>1</v>
      </c>
      <c r="AL102" s="50">
        <v>1</v>
      </c>
      <c r="AM102" s="50">
        <v>1</v>
      </c>
      <c r="AN102" s="50">
        <v>1</v>
      </c>
      <c r="AO102" s="50">
        <v>1</v>
      </c>
      <c r="AP102" s="50">
        <v>1</v>
      </c>
      <c r="AQ102" s="50">
        <v>0</v>
      </c>
      <c r="AR102" s="50">
        <v>1</v>
      </c>
      <c r="AU102" s="39"/>
      <c r="AW102" s="39"/>
    </row>
    <row r="103" spans="1:49" x14ac:dyDescent="0.25">
      <c r="A103" s="40"/>
      <c r="B103" s="41">
        <v>6103</v>
      </c>
      <c r="C103" s="40" t="s">
        <v>136</v>
      </c>
      <c r="D103" s="42">
        <v>49625131</v>
      </c>
      <c r="E103" s="42">
        <v>59953371</v>
      </c>
      <c r="F103" s="42">
        <v>71692458</v>
      </c>
      <c r="G103" s="42">
        <v>80489015</v>
      </c>
      <c r="H103" s="42">
        <f t="shared" si="22"/>
        <v>65439994</v>
      </c>
      <c r="I103" s="42">
        <v>1589867.1899999985</v>
      </c>
      <c r="J103" s="43">
        <f t="shared" si="14"/>
        <v>2.4295038749545094E-2</v>
      </c>
      <c r="K103" s="44">
        <v>39264685.599999994</v>
      </c>
      <c r="L103" s="45">
        <f t="shared" si="15"/>
        <v>0.60001053178580666</v>
      </c>
      <c r="M103" s="42">
        <v>1488558</v>
      </c>
      <c r="N103" s="45">
        <f t="shared" si="23"/>
        <v>1.849392740114909E-2</v>
      </c>
      <c r="O103" s="44">
        <v>3153050</v>
      </c>
      <c r="P103" s="44">
        <v>387542</v>
      </c>
      <c r="Q103" s="44">
        <v>655499</v>
      </c>
      <c r="R103" s="46">
        <v>0.76822000000000001</v>
      </c>
      <c r="S103" s="46">
        <v>0.76988000000000001</v>
      </c>
      <c r="T103" s="47">
        <f t="shared" si="24"/>
        <v>0.76910000000000001</v>
      </c>
      <c r="U103" s="48">
        <v>0</v>
      </c>
      <c r="V103" s="45">
        <f t="shared" si="16"/>
        <v>0</v>
      </c>
      <c r="W103" s="49"/>
      <c r="X103" s="50"/>
      <c r="Y103" s="51"/>
      <c r="Z103" s="52"/>
      <c r="AA103" s="45" t="str">
        <f t="shared" si="17"/>
        <v/>
      </c>
      <c r="AB103" s="45">
        <f t="shared" si="18"/>
        <v>0.60001053178580666</v>
      </c>
      <c r="AC103" s="45" t="str">
        <f t="shared" si="19"/>
        <v/>
      </c>
      <c r="AD103" s="53" t="str">
        <f t="shared" si="25"/>
        <v/>
      </c>
      <c r="AE103" s="45" t="str">
        <f t="shared" si="20"/>
        <v/>
      </c>
      <c r="AF103" s="36">
        <f t="shared" si="26"/>
        <v>1</v>
      </c>
      <c r="AG103" s="54">
        <f t="shared" si="21"/>
        <v>0</v>
      </c>
      <c r="AH103" s="32" t="str">
        <f t="shared" si="27"/>
        <v/>
      </c>
      <c r="AI103" s="50"/>
      <c r="AJ103" s="50">
        <v>2</v>
      </c>
      <c r="AK103" s="50">
        <v>2</v>
      </c>
      <c r="AL103" s="50">
        <v>2</v>
      </c>
      <c r="AM103" s="50">
        <v>2</v>
      </c>
      <c r="AN103" s="50">
        <v>2</v>
      </c>
      <c r="AO103" s="50">
        <v>2</v>
      </c>
      <c r="AP103" s="50">
        <v>1</v>
      </c>
      <c r="AQ103" s="50">
        <v>0</v>
      </c>
      <c r="AR103" s="50">
        <v>3</v>
      </c>
      <c r="AU103" s="39"/>
      <c r="AW103" s="39"/>
    </row>
    <row r="104" spans="1:49" x14ac:dyDescent="0.25">
      <c r="A104" s="40"/>
      <c r="B104" s="41">
        <v>6104</v>
      </c>
      <c r="C104" s="40" t="s">
        <v>139</v>
      </c>
      <c r="D104" s="42">
        <v>25128357</v>
      </c>
      <c r="E104" s="42">
        <v>26029535</v>
      </c>
      <c r="F104" s="42">
        <v>31199858</v>
      </c>
      <c r="G104" s="42">
        <v>38410344</v>
      </c>
      <c r="H104" s="42">
        <f t="shared" si="22"/>
        <v>30192024</v>
      </c>
      <c r="I104" s="42">
        <v>215159.39000000089</v>
      </c>
      <c r="J104" s="43">
        <f t="shared" si="14"/>
        <v>7.1263652281145801E-3</v>
      </c>
      <c r="K104" s="44">
        <v>37651315.460000001</v>
      </c>
      <c r="L104" s="45">
        <f t="shared" si="15"/>
        <v>1.2470616564162773</v>
      </c>
      <c r="M104" s="42">
        <v>0</v>
      </c>
      <c r="N104" s="45">
        <f t="shared" si="23"/>
        <v>0</v>
      </c>
      <c r="O104" s="44">
        <v>1034041</v>
      </c>
      <c r="P104" s="44">
        <v>1614274</v>
      </c>
      <c r="Q104" s="44">
        <v>-680087</v>
      </c>
      <c r="R104" s="46">
        <v>0.76356000000000002</v>
      </c>
      <c r="S104" s="46">
        <v>0.62434000000000001</v>
      </c>
      <c r="T104" s="47">
        <f t="shared" si="24"/>
        <v>0.69399999999999995</v>
      </c>
      <c r="U104" s="48">
        <v>0</v>
      </c>
      <c r="V104" s="45">
        <f t="shared" si="16"/>
        <v>0</v>
      </c>
      <c r="W104" s="49"/>
      <c r="X104" s="50"/>
      <c r="Y104" s="51"/>
      <c r="Z104" s="52"/>
      <c r="AA104" s="45" t="str">
        <f t="shared" si="17"/>
        <v/>
      </c>
      <c r="AB104" s="45">
        <f t="shared" si="18"/>
        <v>1.2470616564162773</v>
      </c>
      <c r="AC104" s="45" t="str">
        <f t="shared" si="19"/>
        <v/>
      </c>
      <c r="AD104" s="53" t="str">
        <f t="shared" si="25"/>
        <v/>
      </c>
      <c r="AE104" s="45">
        <f t="shared" si="20"/>
        <v>0.69399999999999995</v>
      </c>
      <c r="AF104" s="36">
        <f t="shared" si="26"/>
        <v>2</v>
      </c>
      <c r="AG104" s="54">
        <f t="shared" si="21"/>
        <v>0</v>
      </c>
      <c r="AH104" s="32" t="str">
        <f t="shared" si="27"/>
        <v/>
      </c>
      <c r="AI104" s="50"/>
      <c r="AJ104" s="50">
        <v>1</v>
      </c>
      <c r="AK104" s="50">
        <v>1</v>
      </c>
      <c r="AL104" s="50">
        <v>1</v>
      </c>
      <c r="AM104" s="50">
        <v>1</v>
      </c>
      <c r="AN104" s="50">
        <v>2</v>
      </c>
      <c r="AO104" s="50">
        <v>0</v>
      </c>
      <c r="AP104" s="50">
        <v>0</v>
      </c>
      <c r="AQ104" s="50">
        <v>1</v>
      </c>
      <c r="AR104" s="50">
        <v>0</v>
      </c>
      <c r="AU104" s="39"/>
      <c r="AW104" s="39"/>
    </row>
    <row r="105" spans="1:49" x14ac:dyDescent="0.25">
      <c r="A105" s="40"/>
      <c r="B105" s="41">
        <v>6105</v>
      </c>
      <c r="C105" s="40" t="s">
        <v>140</v>
      </c>
      <c r="D105" s="42">
        <v>25722727</v>
      </c>
      <c r="E105" s="42">
        <v>28895850</v>
      </c>
      <c r="F105" s="42">
        <v>34412907</v>
      </c>
      <c r="G105" s="42">
        <v>40166727</v>
      </c>
      <c r="H105" s="42">
        <f t="shared" si="22"/>
        <v>32299553</v>
      </c>
      <c r="I105" s="42">
        <v>775225.80999999912</v>
      </c>
      <c r="J105" s="43">
        <f t="shared" si="14"/>
        <v>2.400113122308532E-2</v>
      </c>
      <c r="K105" s="44">
        <v>11254991.670000002</v>
      </c>
      <c r="L105" s="45">
        <f t="shared" si="15"/>
        <v>0.34845657678296665</v>
      </c>
      <c r="M105" s="42">
        <v>0</v>
      </c>
      <c r="N105" s="45">
        <f t="shared" si="23"/>
        <v>0</v>
      </c>
      <c r="O105" s="44">
        <v>493559</v>
      </c>
      <c r="P105" s="44">
        <v>-25729</v>
      </c>
      <c r="Q105" s="44">
        <v>-1655876</v>
      </c>
      <c r="R105" s="46">
        <v>0.76993999999999996</v>
      </c>
      <c r="S105" s="46">
        <v>0.76585000000000003</v>
      </c>
      <c r="T105" s="47">
        <f t="shared" si="24"/>
        <v>0.76790000000000003</v>
      </c>
      <c r="U105" s="48">
        <v>0</v>
      </c>
      <c r="V105" s="45">
        <f t="shared" si="16"/>
        <v>0</v>
      </c>
      <c r="W105" s="49"/>
      <c r="X105" s="50"/>
      <c r="Y105" s="51"/>
      <c r="Z105" s="52"/>
      <c r="AA105" s="45" t="str">
        <f t="shared" si="17"/>
        <v/>
      </c>
      <c r="AB105" s="45" t="str">
        <f t="shared" si="18"/>
        <v/>
      </c>
      <c r="AC105" s="45" t="str">
        <f t="shared" si="19"/>
        <v/>
      </c>
      <c r="AD105" s="53" t="str">
        <f t="shared" si="25"/>
        <v/>
      </c>
      <c r="AE105" s="45" t="str">
        <f t="shared" si="20"/>
        <v/>
      </c>
      <c r="AF105" s="36">
        <f t="shared" si="26"/>
        <v>0</v>
      </c>
      <c r="AG105" s="54">
        <f t="shared" si="21"/>
        <v>0</v>
      </c>
      <c r="AH105" s="32" t="str">
        <f t="shared" si="27"/>
        <v/>
      </c>
      <c r="AI105" s="50"/>
      <c r="AJ105" s="50">
        <v>0</v>
      </c>
      <c r="AK105" s="50">
        <v>0</v>
      </c>
      <c r="AL105" s="50">
        <v>1</v>
      </c>
      <c r="AM105" s="50">
        <v>1</v>
      </c>
      <c r="AN105" s="50">
        <v>2</v>
      </c>
      <c r="AO105" s="50">
        <v>1</v>
      </c>
      <c r="AP105" s="50">
        <v>2</v>
      </c>
      <c r="AQ105" s="50">
        <v>3</v>
      </c>
      <c r="AR105" s="50">
        <v>3</v>
      </c>
      <c r="AU105" s="39"/>
      <c r="AW105" s="39"/>
    </row>
    <row r="106" spans="1:49" x14ac:dyDescent="0.25">
      <c r="A106" s="40"/>
      <c r="B106" s="41">
        <v>6106</v>
      </c>
      <c r="C106" s="40" t="s">
        <v>141</v>
      </c>
      <c r="D106" s="42">
        <v>33399311</v>
      </c>
      <c r="E106" s="42">
        <v>36419534</v>
      </c>
      <c r="F106" s="42">
        <v>46634381</v>
      </c>
      <c r="G106" s="42">
        <v>53037923</v>
      </c>
      <c r="H106" s="42">
        <f t="shared" si="22"/>
        <v>42372787</v>
      </c>
      <c r="I106" s="42">
        <v>817886.71999999834</v>
      </c>
      <c r="J106" s="43">
        <f t="shared" si="14"/>
        <v>1.930216957407117E-2</v>
      </c>
      <c r="K106" s="44">
        <v>14887917.43</v>
      </c>
      <c r="L106" s="45">
        <f t="shared" si="15"/>
        <v>0.35135563374672524</v>
      </c>
      <c r="M106" s="42">
        <v>320883</v>
      </c>
      <c r="N106" s="45">
        <f t="shared" si="23"/>
        <v>6.0500672320822216E-3</v>
      </c>
      <c r="O106" s="44">
        <v>673851</v>
      </c>
      <c r="P106" s="44">
        <v>455194</v>
      </c>
      <c r="Q106" s="44">
        <v>493688</v>
      </c>
      <c r="R106" s="46">
        <v>0.84496000000000004</v>
      </c>
      <c r="S106" s="46">
        <v>0.81501000000000001</v>
      </c>
      <c r="T106" s="47">
        <f t="shared" si="24"/>
        <v>0.83</v>
      </c>
      <c r="U106" s="48">
        <v>0</v>
      </c>
      <c r="V106" s="45">
        <f t="shared" si="16"/>
        <v>0</v>
      </c>
      <c r="W106" s="49"/>
      <c r="X106" s="50"/>
      <c r="Y106" s="51"/>
      <c r="Z106" s="52"/>
      <c r="AA106" s="45" t="str">
        <f t="shared" si="17"/>
        <v/>
      </c>
      <c r="AB106" s="45" t="str">
        <f t="shared" si="18"/>
        <v/>
      </c>
      <c r="AC106" s="45" t="str">
        <f t="shared" si="19"/>
        <v/>
      </c>
      <c r="AD106" s="53" t="str">
        <f t="shared" si="25"/>
        <v/>
      </c>
      <c r="AE106" s="45" t="str">
        <f t="shared" si="20"/>
        <v/>
      </c>
      <c r="AF106" s="36">
        <f t="shared" si="26"/>
        <v>0</v>
      </c>
      <c r="AG106" s="54">
        <f t="shared" si="21"/>
        <v>0</v>
      </c>
      <c r="AH106" s="32" t="str">
        <f t="shared" si="27"/>
        <v/>
      </c>
      <c r="AI106" s="50"/>
      <c r="AJ106" s="50">
        <v>0</v>
      </c>
      <c r="AK106" s="50">
        <v>0</v>
      </c>
      <c r="AL106" s="50">
        <v>0</v>
      </c>
      <c r="AM106" s="50">
        <v>0</v>
      </c>
      <c r="AN106" s="50">
        <v>0</v>
      </c>
      <c r="AO106" s="50">
        <v>0</v>
      </c>
      <c r="AP106" s="50">
        <v>0</v>
      </c>
      <c r="AQ106" s="50">
        <v>0</v>
      </c>
      <c r="AR106" s="50">
        <v>0</v>
      </c>
      <c r="AU106" s="39"/>
      <c r="AW106" s="39"/>
    </row>
    <row r="107" spans="1:49" x14ac:dyDescent="0.25">
      <c r="A107" s="40"/>
      <c r="B107" s="41">
        <v>6107</v>
      </c>
      <c r="C107" s="40" t="s">
        <v>142</v>
      </c>
      <c r="D107" s="42">
        <v>11898415</v>
      </c>
      <c r="E107" s="42">
        <v>13077874</v>
      </c>
      <c r="F107" s="42">
        <v>16556722</v>
      </c>
      <c r="G107" s="42">
        <v>24990397</v>
      </c>
      <c r="H107" s="42">
        <f t="shared" si="22"/>
        <v>16630852</v>
      </c>
      <c r="I107" s="42">
        <v>267153.20000000048</v>
      </c>
      <c r="J107" s="43">
        <f t="shared" si="14"/>
        <v>1.6063710987266347E-2</v>
      </c>
      <c r="K107" s="44">
        <v>19460063.890000001</v>
      </c>
      <c r="L107" s="45">
        <f t="shared" si="15"/>
        <v>1.1701182771634311</v>
      </c>
      <c r="M107" s="42">
        <v>0</v>
      </c>
      <c r="N107" s="45">
        <f t="shared" si="23"/>
        <v>0</v>
      </c>
      <c r="O107" s="44">
        <v>2790883</v>
      </c>
      <c r="P107" s="44">
        <v>2226176</v>
      </c>
      <c r="Q107" s="44">
        <v>1958819</v>
      </c>
      <c r="R107" s="46">
        <v>0.70462999999999998</v>
      </c>
      <c r="S107" s="46">
        <v>0.61975999999999998</v>
      </c>
      <c r="T107" s="47">
        <f t="shared" si="24"/>
        <v>0.66220000000000001</v>
      </c>
      <c r="U107" s="48">
        <v>0</v>
      </c>
      <c r="V107" s="45">
        <f t="shared" si="16"/>
        <v>0</v>
      </c>
      <c r="W107" s="49"/>
      <c r="X107" s="50"/>
      <c r="Y107" s="51"/>
      <c r="Z107" s="52"/>
      <c r="AA107" s="45" t="str">
        <f t="shared" si="17"/>
        <v/>
      </c>
      <c r="AB107" s="45">
        <f t="shared" si="18"/>
        <v>1.1701182771634311</v>
      </c>
      <c r="AC107" s="45" t="str">
        <f t="shared" si="19"/>
        <v/>
      </c>
      <c r="AD107" s="53" t="str">
        <f t="shared" si="25"/>
        <v/>
      </c>
      <c r="AE107" s="45">
        <f t="shared" si="20"/>
        <v>0.66220000000000001</v>
      </c>
      <c r="AF107" s="36">
        <f t="shared" si="26"/>
        <v>2</v>
      </c>
      <c r="AG107" s="54">
        <f t="shared" si="21"/>
        <v>0</v>
      </c>
      <c r="AH107" s="32" t="str">
        <f t="shared" si="27"/>
        <v/>
      </c>
      <c r="AI107" s="50"/>
      <c r="AJ107" s="50">
        <v>2</v>
      </c>
      <c r="AK107" s="50">
        <v>2</v>
      </c>
      <c r="AL107" s="50">
        <v>2</v>
      </c>
      <c r="AM107" s="50">
        <v>1</v>
      </c>
      <c r="AN107" s="50">
        <v>1</v>
      </c>
      <c r="AO107" s="50">
        <v>1</v>
      </c>
      <c r="AP107" s="50">
        <v>1</v>
      </c>
      <c r="AQ107" s="50">
        <v>2</v>
      </c>
      <c r="AR107" s="50">
        <v>1</v>
      </c>
      <c r="AU107" s="39"/>
      <c r="AW107" s="39"/>
    </row>
    <row r="108" spans="1:49" x14ac:dyDescent="0.25">
      <c r="A108" s="40"/>
      <c r="B108" s="41">
        <v>6108</v>
      </c>
      <c r="C108" s="40" t="s">
        <v>143</v>
      </c>
      <c r="D108" s="42">
        <v>10130181</v>
      </c>
      <c r="E108" s="42">
        <v>12211264</v>
      </c>
      <c r="F108" s="42">
        <v>14179911</v>
      </c>
      <c r="G108" s="42">
        <v>16872260</v>
      </c>
      <c r="H108" s="42">
        <f t="shared" si="22"/>
        <v>13348404</v>
      </c>
      <c r="I108" s="42">
        <v>148359.79999999958</v>
      </c>
      <c r="J108" s="43">
        <f t="shared" si="14"/>
        <v>1.111442236839697E-2</v>
      </c>
      <c r="K108" s="44">
        <v>21307548.790000003</v>
      </c>
      <c r="L108" s="45">
        <f t="shared" si="15"/>
        <v>1.5962619044194348</v>
      </c>
      <c r="M108" s="42">
        <v>0</v>
      </c>
      <c r="N108" s="45">
        <f t="shared" si="23"/>
        <v>0</v>
      </c>
      <c r="O108" s="44">
        <v>1416728</v>
      </c>
      <c r="P108" s="44">
        <v>2657941</v>
      </c>
      <c r="Q108" s="44">
        <v>1093016</v>
      </c>
      <c r="R108" s="46">
        <v>0.80528</v>
      </c>
      <c r="S108" s="46">
        <v>0.68032000000000004</v>
      </c>
      <c r="T108" s="47">
        <f t="shared" si="24"/>
        <v>0.74280000000000002</v>
      </c>
      <c r="U108" s="48">
        <v>0</v>
      </c>
      <c r="V108" s="45">
        <f t="shared" si="16"/>
        <v>0</v>
      </c>
      <c r="W108" s="49"/>
      <c r="X108" s="50"/>
      <c r="Y108" s="51"/>
      <c r="Z108" s="52"/>
      <c r="AA108" s="45" t="str">
        <f t="shared" si="17"/>
        <v/>
      </c>
      <c r="AB108" s="45">
        <f t="shared" si="18"/>
        <v>1.5962619044194348</v>
      </c>
      <c r="AC108" s="45" t="str">
        <f t="shared" si="19"/>
        <v/>
      </c>
      <c r="AD108" s="53" t="str">
        <f t="shared" si="25"/>
        <v/>
      </c>
      <c r="AE108" s="45">
        <f t="shared" si="20"/>
        <v>0.74280000000000002</v>
      </c>
      <c r="AF108" s="36">
        <f t="shared" si="26"/>
        <v>2</v>
      </c>
      <c r="AG108" s="54">
        <f t="shared" si="21"/>
        <v>0</v>
      </c>
      <c r="AH108" s="32" t="str">
        <f t="shared" si="27"/>
        <v/>
      </c>
      <c r="AI108" s="50"/>
      <c r="AJ108" s="50">
        <v>1</v>
      </c>
      <c r="AK108" s="50">
        <v>1</v>
      </c>
      <c r="AL108" s="50">
        <v>0</v>
      </c>
      <c r="AM108" s="50">
        <v>0</v>
      </c>
      <c r="AN108" s="50">
        <v>0</v>
      </c>
      <c r="AO108" s="50">
        <v>0</v>
      </c>
      <c r="AP108" s="50">
        <v>0</v>
      </c>
      <c r="AQ108" s="50">
        <v>1</v>
      </c>
      <c r="AR108" s="50">
        <v>1</v>
      </c>
      <c r="AU108" s="39"/>
      <c r="AW108" s="39"/>
    </row>
    <row r="109" spans="1:49" x14ac:dyDescent="0.25">
      <c r="A109" s="40" t="s">
        <v>144</v>
      </c>
      <c r="B109" s="41">
        <v>6201</v>
      </c>
      <c r="C109" s="40" t="s">
        <v>145</v>
      </c>
      <c r="D109" s="42">
        <v>22501362</v>
      </c>
      <c r="E109" s="42">
        <v>25347819</v>
      </c>
      <c r="F109" s="42">
        <v>31077385</v>
      </c>
      <c r="G109" s="42">
        <v>37757402</v>
      </c>
      <c r="H109" s="42">
        <f t="shared" si="22"/>
        <v>29170992</v>
      </c>
      <c r="I109" s="42">
        <v>454873.53000000148</v>
      </c>
      <c r="J109" s="43">
        <f t="shared" si="14"/>
        <v>1.5593351436248773E-2</v>
      </c>
      <c r="K109" s="44">
        <v>11130600.41</v>
      </c>
      <c r="L109" s="45">
        <f t="shared" si="15"/>
        <v>0.38156400063460305</v>
      </c>
      <c r="M109" s="42">
        <v>60018</v>
      </c>
      <c r="N109" s="45">
        <f t="shared" si="23"/>
        <v>1.5895691128324984E-3</v>
      </c>
      <c r="O109" s="44">
        <v>793134</v>
      </c>
      <c r="P109" s="44">
        <v>2639626</v>
      </c>
      <c r="Q109" s="44">
        <v>2811972</v>
      </c>
      <c r="R109" s="46">
        <v>0.74983</v>
      </c>
      <c r="S109" s="46">
        <v>0.62065000000000003</v>
      </c>
      <c r="T109" s="47">
        <f t="shared" si="24"/>
        <v>0.68520000000000003</v>
      </c>
      <c r="U109" s="48">
        <v>0</v>
      </c>
      <c r="V109" s="45">
        <f t="shared" si="16"/>
        <v>0</v>
      </c>
      <c r="W109" s="49"/>
      <c r="X109" s="50"/>
      <c r="Y109" s="51"/>
      <c r="Z109" s="52"/>
      <c r="AA109" s="45" t="str">
        <f t="shared" si="17"/>
        <v/>
      </c>
      <c r="AB109" s="45" t="str">
        <f t="shared" si="18"/>
        <v/>
      </c>
      <c r="AC109" s="45" t="str">
        <f t="shared" si="19"/>
        <v/>
      </c>
      <c r="AD109" s="53" t="str">
        <f t="shared" si="25"/>
        <v/>
      </c>
      <c r="AE109" s="45">
        <f t="shared" si="20"/>
        <v>0.68520000000000003</v>
      </c>
      <c r="AF109" s="36">
        <f t="shared" si="26"/>
        <v>1</v>
      </c>
      <c r="AG109" s="54">
        <f t="shared" si="21"/>
        <v>0</v>
      </c>
      <c r="AH109" s="32" t="str">
        <f t="shared" si="27"/>
        <v/>
      </c>
      <c r="AI109" s="50"/>
      <c r="AJ109" s="50">
        <v>1</v>
      </c>
      <c r="AK109" s="50">
        <v>1</v>
      </c>
      <c r="AL109" s="50">
        <v>2</v>
      </c>
      <c r="AM109" s="50">
        <v>1</v>
      </c>
      <c r="AN109" s="50">
        <v>1</v>
      </c>
      <c r="AO109" s="50">
        <v>1</v>
      </c>
      <c r="AP109" s="50">
        <v>1</v>
      </c>
      <c r="AQ109" s="50">
        <v>2</v>
      </c>
      <c r="AR109" s="50">
        <v>1</v>
      </c>
      <c r="AU109" s="39"/>
      <c r="AW109" s="39"/>
    </row>
    <row r="110" spans="1:49" x14ac:dyDescent="0.25">
      <c r="A110" s="40"/>
      <c r="B110" s="41">
        <v>6202</v>
      </c>
      <c r="C110" s="40" t="s">
        <v>146</v>
      </c>
      <c r="D110" s="42">
        <v>9159876</v>
      </c>
      <c r="E110" s="42">
        <v>13037171</v>
      </c>
      <c r="F110" s="42">
        <v>15602588</v>
      </c>
      <c r="G110" s="42">
        <v>15568065</v>
      </c>
      <c r="H110" s="42">
        <f t="shared" si="22"/>
        <v>13341925</v>
      </c>
      <c r="I110" s="42">
        <v>295011.78000000073</v>
      </c>
      <c r="J110" s="43">
        <f t="shared" si="14"/>
        <v>2.2111635314993956E-2</v>
      </c>
      <c r="K110" s="44">
        <v>5053801.91</v>
      </c>
      <c r="L110" s="45">
        <f t="shared" si="15"/>
        <v>0.37879105976086658</v>
      </c>
      <c r="M110" s="42">
        <v>0</v>
      </c>
      <c r="N110" s="45">
        <f t="shared" si="23"/>
        <v>0</v>
      </c>
      <c r="O110" s="44">
        <v>2473122</v>
      </c>
      <c r="P110" s="44">
        <v>-971962</v>
      </c>
      <c r="Q110" s="44">
        <v>-530471</v>
      </c>
      <c r="R110" s="46">
        <v>0.65029999999999999</v>
      </c>
      <c r="S110" s="46">
        <v>0.58133000000000001</v>
      </c>
      <c r="T110" s="47">
        <f t="shared" si="24"/>
        <v>0.61580000000000001</v>
      </c>
      <c r="U110" s="48">
        <v>0</v>
      </c>
      <c r="V110" s="45">
        <f t="shared" si="16"/>
        <v>0</v>
      </c>
      <c r="W110" s="49"/>
      <c r="X110" s="50"/>
      <c r="Y110" s="51"/>
      <c r="Z110" s="52"/>
      <c r="AA110" s="45" t="str">
        <f t="shared" si="17"/>
        <v/>
      </c>
      <c r="AB110" s="45" t="str">
        <f t="shared" si="18"/>
        <v/>
      </c>
      <c r="AC110" s="45" t="str">
        <f t="shared" si="19"/>
        <v/>
      </c>
      <c r="AD110" s="53" t="str">
        <f t="shared" si="25"/>
        <v/>
      </c>
      <c r="AE110" s="45">
        <f t="shared" si="20"/>
        <v>0.61580000000000001</v>
      </c>
      <c r="AF110" s="36">
        <f t="shared" si="26"/>
        <v>1</v>
      </c>
      <c r="AG110" s="54">
        <f t="shared" si="21"/>
        <v>0</v>
      </c>
      <c r="AH110" s="32" t="str">
        <f t="shared" si="27"/>
        <v/>
      </c>
      <c r="AI110" s="50"/>
      <c r="AJ110" s="50">
        <v>2</v>
      </c>
      <c r="AK110" s="50">
        <v>2</v>
      </c>
      <c r="AL110" s="50">
        <v>2</v>
      </c>
      <c r="AM110" s="50">
        <v>1</v>
      </c>
      <c r="AN110" s="50">
        <v>1</v>
      </c>
      <c r="AO110" s="50">
        <v>2</v>
      </c>
      <c r="AP110" s="50">
        <v>1</v>
      </c>
      <c r="AQ110" s="50">
        <v>1</v>
      </c>
      <c r="AR110" s="50">
        <v>2</v>
      </c>
      <c r="AU110" s="39"/>
      <c r="AW110" s="39"/>
    </row>
    <row r="111" spans="1:49" x14ac:dyDescent="0.25">
      <c r="A111" s="40"/>
      <c r="B111" s="41">
        <v>6203</v>
      </c>
      <c r="C111" s="40" t="s">
        <v>147</v>
      </c>
      <c r="D111" s="42">
        <v>6754182</v>
      </c>
      <c r="E111" s="42">
        <v>8294941</v>
      </c>
      <c r="F111" s="42">
        <v>9804895</v>
      </c>
      <c r="G111" s="42">
        <v>13897060</v>
      </c>
      <c r="H111" s="42">
        <f t="shared" si="22"/>
        <v>9687770</v>
      </c>
      <c r="I111" s="42">
        <v>56523.869999999442</v>
      </c>
      <c r="J111" s="43">
        <f t="shared" si="14"/>
        <v>5.8345594496978601E-3</v>
      </c>
      <c r="K111" s="44">
        <v>10270968.039999999</v>
      </c>
      <c r="L111" s="45">
        <f t="shared" si="15"/>
        <v>1.0601994101841805</v>
      </c>
      <c r="M111" s="42">
        <v>0</v>
      </c>
      <c r="N111" s="45">
        <f t="shared" si="23"/>
        <v>0</v>
      </c>
      <c r="O111" s="44">
        <v>161551</v>
      </c>
      <c r="P111" s="44">
        <v>-304047</v>
      </c>
      <c r="Q111" s="44">
        <v>-258615</v>
      </c>
      <c r="R111" s="46">
        <v>0.66788999999999998</v>
      </c>
      <c r="S111" s="46">
        <v>0.52056000000000002</v>
      </c>
      <c r="T111" s="47">
        <f t="shared" si="24"/>
        <v>0.59419999999999995</v>
      </c>
      <c r="U111" s="48">
        <v>0</v>
      </c>
      <c r="V111" s="45">
        <f t="shared" si="16"/>
        <v>0</v>
      </c>
      <c r="W111" s="49"/>
      <c r="X111" s="50"/>
      <c r="Y111" s="51"/>
      <c r="Z111" s="52"/>
      <c r="AA111" s="45" t="str">
        <f t="shared" si="17"/>
        <v/>
      </c>
      <c r="AB111" s="45">
        <f t="shared" si="18"/>
        <v>1.0601994101841805</v>
      </c>
      <c r="AC111" s="45" t="str">
        <f t="shared" si="19"/>
        <v/>
      </c>
      <c r="AD111" s="53" t="str">
        <f t="shared" si="25"/>
        <v/>
      </c>
      <c r="AE111" s="45">
        <f t="shared" si="20"/>
        <v>0.59419999999999995</v>
      </c>
      <c r="AF111" s="36">
        <f t="shared" si="26"/>
        <v>2</v>
      </c>
      <c r="AG111" s="54">
        <f t="shared" si="21"/>
        <v>0</v>
      </c>
      <c r="AH111" s="32" t="str">
        <f t="shared" si="27"/>
        <v/>
      </c>
      <c r="AI111" s="50"/>
      <c r="AJ111" s="50">
        <v>1</v>
      </c>
      <c r="AK111" s="50">
        <v>2</v>
      </c>
      <c r="AL111" s="50">
        <v>1</v>
      </c>
      <c r="AM111" s="50">
        <v>1</v>
      </c>
      <c r="AN111" s="50">
        <v>1</v>
      </c>
      <c r="AO111" s="50">
        <v>2</v>
      </c>
      <c r="AP111" s="50">
        <v>1</v>
      </c>
      <c r="AQ111" s="50">
        <v>1</v>
      </c>
      <c r="AR111" s="50">
        <v>1</v>
      </c>
      <c r="AU111" s="39"/>
      <c r="AW111" s="39"/>
    </row>
    <row r="112" spans="1:49" x14ac:dyDescent="0.25">
      <c r="A112" s="40"/>
      <c r="B112" s="41">
        <v>6204</v>
      </c>
      <c r="C112" s="40" t="s">
        <v>148</v>
      </c>
      <c r="D112" s="42">
        <v>11827382</v>
      </c>
      <c r="E112" s="42">
        <v>14298935</v>
      </c>
      <c r="F112" s="42">
        <v>15925208</v>
      </c>
      <c r="G112" s="42">
        <v>17645637</v>
      </c>
      <c r="H112" s="42">
        <f t="shared" si="22"/>
        <v>14924291</v>
      </c>
      <c r="I112" s="42">
        <v>88390.680000000008</v>
      </c>
      <c r="J112" s="43">
        <f t="shared" si="14"/>
        <v>5.9226049666278955E-3</v>
      </c>
      <c r="K112" s="44">
        <v>8208858.46</v>
      </c>
      <c r="L112" s="45">
        <f t="shared" si="15"/>
        <v>0.55003339589130229</v>
      </c>
      <c r="M112" s="42">
        <v>0</v>
      </c>
      <c r="N112" s="45">
        <f t="shared" si="23"/>
        <v>0</v>
      </c>
      <c r="O112" s="44">
        <v>521430</v>
      </c>
      <c r="P112" s="44">
        <v>954058</v>
      </c>
      <c r="Q112" s="44">
        <v>-239192</v>
      </c>
      <c r="R112" s="46">
        <v>0.69554000000000005</v>
      </c>
      <c r="S112" s="46">
        <v>0.62395999999999996</v>
      </c>
      <c r="T112" s="47">
        <f t="shared" si="24"/>
        <v>0.65980000000000005</v>
      </c>
      <c r="U112" s="48">
        <v>0</v>
      </c>
      <c r="V112" s="45">
        <f t="shared" si="16"/>
        <v>0</v>
      </c>
      <c r="W112" s="49"/>
      <c r="X112" s="50"/>
      <c r="Y112" s="51"/>
      <c r="Z112" s="52"/>
      <c r="AA112" s="45" t="str">
        <f t="shared" si="17"/>
        <v/>
      </c>
      <c r="AB112" s="45">
        <f t="shared" si="18"/>
        <v>0.55003339589130229</v>
      </c>
      <c r="AC112" s="45" t="str">
        <f t="shared" si="19"/>
        <v/>
      </c>
      <c r="AD112" s="53" t="str">
        <f t="shared" si="25"/>
        <v/>
      </c>
      <c r="AE112" s="45">
        <f t="shared" si="20"/>
        <v>0.65980000000000005</v>
      </c>
      <c r="AF112" s="36">
        <f t="shared" si="26"/>
        <v>2</v>
      </c>
      <c r="AG112" s="54">
        <f t="shared" si="21"/>
        <v>0</v>
      </c>
      <c r="AH112" s="32" t="str">
        <f t="shared" si="27"/>
        <v/>
      </c>
      <c r="AI112" s="50"/>
      <c r="AJ112" s="50">
        <v>1</v>
      </c>
      <c r="AK112" s="50">
        <v>1</v>
      </c>
      <c r="AL112" s="50">
        <v>1</v>
      </c>
      <c r="AM112" s="50">
        <v>1</v>
      </c>
      <c r="AN112" s="50">
        <v>1</v>
      </c>
      <c r="AO112" s="50">
        <v>1</v>
      </c>
      <c r="AP112" s="50">
        <v>1</v>
      </c>
      <c r="AQ112" s="50">
        <v>1</v>
      </c>
      <c r="AR112" s="50">
        <v>1</v>
      </c>
      <c r="AU112" s="39"/>
      <c r="AW112" s="39"/>
    </row>
    <row r="113" spans="1:49" x14ac:dyDescent="0.25">
      <c r="A113" s="40"/>
      <c r="B113" s="41">
        <v>6205</v>
      </c>
      <c r="C113" s="40" t="s">
        <v>149</v>
      </c>
      <c r="D113" s="42">
        <v>10091460</v>
      </c>
      <c r="E113" s="42">
        <v>11674988</v>
      </c>
      <c r="F113" s="42">
        <v>16025965</v>
      </c>
      <c r="G113" s="42">
        <v>17152739</v>
      </c>
      <c r="H113" s="42">
        <f t="shared" si="22"/>
        <v>13736288</v>
      </c>
      <c r="I113" s="42">
        <v>397864.31999999972</v>
      </c>
      <c r="J113" s="43">
        <f t="shared" si="14"/>
        <v>2.8964471333157816E-2</v>
      </c>
      <c r="K113" s="44">
        <v>7517778.4899999993</v>
      </c>
      <c r="L113" s="45">
        <f t="shared" si="15"/>
        <v>0.54729330733310189</v>
      </c>
      <c r="M113" s="42">
        <v>100828</v>
      </c>
      <c r="N113" s="45">
        <f t="shared" si="23"/>
        <v>5.8782448680645112E-3</v>
      </c>
      <c r="O113" s="44">
        <v>806611</v>
      </c>
      <c r="P113" s="44">
        <v>-1747020</v>
      </c>
      <c r="Q113" s="44">
        <v>74044</v>
      </c>
      <c r="R113" s="46">
        <v>0.73294999999999999</v>
      </c>
      <c r="S113" s="46">
        <v>0.72909999999999997</v>
      </c>
      <c r="T113" s="47">
        <f t="shared" si="24"/>
        <v>0.73099999999999998</v>
      </c>
      <c r="U113" s="48">
        <v>0</v>
      </c>
      <c r="V113" s="45">
        <f t="shared" si="16"/>
        <v>0</v>
      </c>
      <c r="W113" s="49"/>
      <c r="X113" s="50"/>
      <c r="Y113" s="51"/>
      <c r="Z113" s="52"/>
      <c r="AA113" s="45" t="str">
        <f t="shared" si="17"/>
        <v/>
      </c>
      <c r="AB113" s="45">
        <f t="shared" si="18"/>
        <v>0.54729330733310189</v>
      </c>
      <c r="AC113" s="45" t="str">
        <f t="shared" si="19"/>
        <v/>
      </c>
      <c r="AD113" s="53" t="str">
        <f t="shared" si="25"/>
        <v/>
      </c>
      <c r="AE113" s="45">
        <f t="shared" si="20"/>
        <v>0.73099999999999998</v>
      </c>
      <c r="AF113" s="36">
        <f t="shared" si="26"/>
        <v>2</v>
      </c>
      <c r="AG113" s="54">
        <f t="shared" si="21"/>
        <v>0</v>
      </c>
      <c r="AH113" s="32" t="str">
        <f t="shared" si="27"/>
        <v/>
      </c>
      <c r="AI113" s="50"/>
      <c r="AJ113" s="50">
        <v>1</v>
      </c>
      <c r="AK113" s="50">
        <v>1</v>
      </c>
      <c r="AL113" s="50">
        <v>0</v>
      </c>
      <c r="AM113" s="50">
        <v>1</v>
      </c>
      <c r="AN113" s="50">
        <v>0</v>
      </c>
      <c r="AO113" s="50">
        <v>0</v>
      </c>
      <c r="AP113" s="50">
        <v>0</v>
      </c>
      <c r="AQ113" s="50">
        <v>1</v>
      </c>
      <c r="AR113" s="50">
        <v>0</v>
      </c>
      <c r="AU113" s="39"/>
      <c r="AW113" s="39"/>
    </row>
    <row r="114" spans="1:49" x14ac:dyDescent="0.25">
      <c r="A114" s="40"/>
      <c r="B114" s="41">
        <v>6206</v>
      </c>
      <c r="C114" s="40" t="s">
        <v>150</v>
      </c>
      <c r="D114" s="42">
        <v>5107232</v>
      </c>
      <c r="E114" s="42">
        <v>5158371</v>
      </c>
      <c r="F114" s="42">
        <v>6454246</v>
      </c>
      <c r="G114" s="42">
        <v>12403474</v>
      </c>
      <c r="H114" s="42">
        <f t="shared" si="22"/>
        <v>7280831</v>
      </c>
      <c r="I114" s="42">
        <v>215805.22999999952</v>
      </c>
      <c r="J114" s="43">
        <f t="shared" si="14"/>
        <v>2.9640192170371695E-2</v>
      </c>
      <c r="K114" s="44">
        <v>10786319.640000001</v>
      </c>
      <c r="L114" s="45">
        <f t="shared" si="15"/>
        <v>1.4814682060330751</v>
      </c>
      <c r="M114" s="42">
        <v>0</v>
      </c>
      <c r="N114" s="45">
        <f t="shared" si="23"/>
        <v>0</v>
      </c>
      <c r="O114" s="44">
        <v>26485</v>
      </c>
      <c r="P114" s="44">
        <v>2443652</v>
      </c>
      <c r="Q114" s="44">
        <v>-1389126</v>
      </c>
      <c r="R114" s="46">
        <v>0.69874999999999998</v>
      </c>
      <c r="S114" s="46">
        <v>0.75285000000000002</v>
      </c>
      <c r="T114" s="47">
        <f t="shared" si="24"/>
        <v>0.7258</v>
      </c>
      <c r="U114" s="48">
        <v>0</v>
      </c>
      <c r="V114" s="45">
        <f t="shared" si="16"/>
        <v>0</v>
      </c>
      <c r="W114" s="49"/>
      <c r="X114" s="50"/>
      <c r="Y114" s="51"/>
      <c r="Z114" s="52"/>
      <c r="AA114" s="45" t="str">
        <f t="shared" si="17"/>
        <v/>
      </c>
      <c r="AB114" s="45">
        <f t="shared" si="18"/>
        <v>1.4814682060330751</v>
      </c>
      <c r="AC114" s="45" t="str">
        <f t="shared" si="19"/>
        <v/>
      </c>
      <c r="AD114" s="53" t="str">
        <f t="shared" si="25"/>
        <v/>
      </c>
      <c r="AE114" s="45">
        <f t="shared" si="20"/>
        <v>0.7258</v>
      </c>
      <c r="AF114" s="36">
        <f t="shared" si="26"/>
        <v>2</v>
      </c>
      <c r="AG114" s="54">
        <f t="shared" si="21"/>
        <v>0</v>
      </c>
      <c r="AH114" s="32" t="str">
        <f t="shared" si="27"/>
        <v/>
      </c>
      <c r="AI114" s="50"/>
      <c r="AJ114" s="50">
        <v>1</v>
      </c>
      <c r="AK114" s="50">
        <v>1</v>
      </c>
      <c r="AL114" s="50">
        <v>1</v>
      </c>
      <c r="AM114" s="50">
        <v>1</v>
      </c>
      <c r="AN114" s="50">
        <v>2</v>
      </c>
      <c r="AO114" s="50">
        <v>1</v>
      </c>
      <c r="AP114" s="50">
        <v>1</v>
      </c>
      <c r="AQ114" s="50">
        <v>3</v>
      </c>
      <c r="AR114" s="50">
        <v>3</v>
      </c>
      <c r="AU114" s="39"/>
      <c r="AW114" s="39"/>
    </row>
    <row r="115" spans="1:49" x14ac:dyDescent="0.25">
      <c r="A115" s="40"/>
      <c r="B115" s="41">
        <v>6207</v>
      </c>
      <c r="C115" s="40" t="s">
        <v>151</v>
      </c>
      <c r="D115" s="42">
        <v>30467645</v>
      </c>
      <c r="E115" s="42">
        <v>34217114</v>
      </c>
      <c r="F115" s="42">
        <v>38497067</v>
      </c>
      <c r="G115" s="42">
        <v>66049188</v>
      </c>
      <c r="H115" s="42">
        <f t="shared" si="22"/>
        <v>42307754</v>
      </c>
      <c r="I115" s="42">
        <v>4022899.48</v>
      </c>
      <c r="J115" s="43">
        <f t="shared" si="14"/>
        <v>9.508657632830142E-2</v>
      </c>
      <c r="K115" s="44">
        <v>13887069.329999998</v>
      </c>
      <c r="L115" s="45">
        <f t="shared" si="15"/>
        <v>0.32823934189463233</v>
      </c>
      <c r="M115" s="42">
        <v>80605</v>
      </c>
      <c r="N115" s="45">
        <f t="shared" si="23"/>
        <v>1.2203783640761792E-3</v>
      </c>
      <c r="O115" s="44">
        <v>-866277</v>
      </c>
      <c r="P115" s="44">
        <v>65752</v>
      </c>
      <c r="Q115" s="44">
        <v>3429558</v>
      </c>
      <c r="R115" s="46">
        <v>0.69091000000000002</v>
      </c>
      <c r="S115" s="46">
        <v>0.60082999999999998</v>
      </c>
      <c r="T115" s="47">
        <f t="shared" si="24"/>
        <v>0.64590000000000003</v>
      </c>
      <c r="U115" s="48">
        <v>0</v>
      </c>
      <c r="V115" s="45">
        <f t="shared" si="16"/>
        <v>0</v>
      </c>
      <c r="W115" s="49"/>
      <c r="X115" s="50"/>
      <c r="Y115" s="51"/>
      <c r="Z115" s="52"/>
      <c r="AA115" s="45" t="str">
        <f t="shared" si="17"/>
        <v/>
      </c>
      <c r="AB115" s="45" t="str">
        <f t="shared" si="18"/>
        <v/>
      </c>
      <c r="AC115" s="45" t="str">
        <f t="shared" si="19"/>
        <v/>
      </c>
      <c r="AD115" s="53" t="str">
        <f t="shared" si="25"/>
        <v/>
      </c>
      <c r="AE115" s="45">
        <f t="shared" si="20"/>
        <v>0.64590000000000003</v>
      </c>
      <c r="AF115" s="36">
        <f t="shared" si="26"/>
        <v>1</v>
      </c>
      <c r="AG115" s="54">
        <f t="shared" si="21"/>
        <v>0</v>
      </c>
      <c r="AH115" s="32" t="str">
        <f t="shared" si="27"/>
        <v/>
      </c>
      <c r="AI115" s="50"/>
      <c r="AJ115" s="50">
        <v>2</v>
      </c>
      <c r="AK115" s="50">
        <v>1</v>
      </c>
      <c r="AL115" s="50">
        <v>1</v>
      </c>
      <c r="AM115" s="50">
        <v>1</v>
      </c>
      <c r="AN115" s="50">
        <v>1</v>
      </c>
      <c r="AO115" s="50">
        <v>1</v>
      </c>
      <c r="AP115" s="50">
        <v>2</v>
      </c>
      <c r="AQ115" s="50">
        <v>2</v>
      </c>
      <c r="AR115" s="50">
        <v>1</v>
      </c>
      <c r="AU115" s="39"/>
      <c r="AW115" s="39"/>
    </row>
    <row r="116" spans="1:49" x14ac:dyDescent="0.25">
      <c r="A116" s="40"/>
      <c r="B116" s="41">
        <v>6208</v>
      </c>
      <c r="C116" s="40" t="s">
        <v>152</v>
      </c>
      <c r="D116" s="42">
        <v>6696312</v>
      </c>
      <c r="E116" s="42">
        <v>7285417</v>
      </c>
      <c r="F116" s="42">
        <v>7689952</v>
      </c>
      <c r="G116" s="42">
        <v>10212602</v>
      </c>
      <c r="H116" s="42">
        <f t="shared" si="22"/>
        <v>7971071</v>
      </c>
      <c r="I116" s="42">
        <v>361721.07000000047</v>
      </c>
      <c r="J116" s="43">
        <f t="shared" si="14"/>
        <v>4.5379230720689917E-2</v>
      </c>
      <c r="K116" s="44">
        <v>354717.27</v>
      </c>
      <c r="L116" s="45">
        <f t="shared" si="15"/>
        <v>4.4500578404081462E-2</v>
      </c>
      <c r="M116" s="42">
        <v>0</v>
      </c>
      <c r="N116" s="45">
        <f t="shared" si="23"/>
        <v>0</v>
      </c>
      <c r="O116" s="44">
        <v>200633</v>
      </c>
      <c r="P116" s="44">
        <v>42783</v>
      </c>
      <c r="Q116" s="44">
        <v>-17378</v>
      </c>
      <c r="R116" s="46">
        <v>0.79179999999999995</v>
      </c>
      <c r="S116" s="46">
        <v>0.69882</v>
      </c>
      <c r="T116" s="47">
        <f t="shared" si="24"/>
        <v>0.74529999999999996</v>
      </c>
      <c r="U116" s="48">
        <v>0</v>
      </c>
      <c r="V116" s="45">
        <f t="shared" si="16"/>
        <v>0</v>
      </c>
      <c r="W116" s="49"/>
      <c r="X116" s="50"/>
      <c r="Y116" s="51"/>
      <c r="Z116" s="52"/>
      <c r="AA116" s="45" t="str">
        <f t="shared" si="17"/>
        <v/>
      </c>
      <c r="AB116" s="45" t="str">
        <f t="shared" si="18"/>
        <v/>
      </c>
      <c r="AC116" s="45" t="str">
        <f t="shared" si="19"/>
        <v/>
      </c>
      <c r="AD116" s="53" t="str">
        <f t="shared" si="25"/>
        <v/>
      </c>
      <c r="AE116" s="45">
        <f t="shared" si="20"/>
        <v>0.74529999999999996</v>
      </c>
      <c r="AF116" s="36">
        <f t="shared" si="26"/>
        <v>1</v>
      </c>
      <c r="AG116" s="54">
        <f t="shared" si="21"/>
        <v>0</v>
      </c>
      <c r="AH116" s="32" t="str">
        <f t="shared" si="27"/>
        <v/>
      </c>
      <c r="AI116" s="50"/>
      <c r="AJ116" s="50">
        <v>1</v>
      </c>
      <c r="AK116" s="50">
        <v>1</v>
      </c>
      <c r="AL116" s="50">
        <v>1</v>
      </c>
      <c r="AM116" s="50">
        <v>1</v>
      </c>
      <c r="AN116" s="50">
        <v>1</v>
      </c>
      <c r="AO116" s="50">
        <v>1</v>
      </c>
      <c r="AP116" s="50">
        <v>1</v>
      </c>
      <c r="AQ116" s="50">
        <v>1</v>
      </c>
      <c r="AR116" s="50">
        <v>1</v>
      </c>
      <c r="AU116" s="39"/>
      <c r="AW116" s="39"/>
    </row>
    <row r="117" spans="1:49" x14ac:dyDescent="0.25">
      <c r="A117" s="40"/>
      <c r="B117" s="41">
        <v>6209</v>
      </c>
      <c r="C117" s="40" t="s">
        <v>144</v>
      </c>
      <c r="D117" s="42">
        <v>56727110</v>
      </c>
      <c r="E117" s="42">
        <v>69642209</v>
      </c>
      <c r="F117" s="42">
        <v>78717659</v>
      </c>
      <c r="G117" s="42">
        <v>106811870</v>
      </c>
      <c r="H117" s="42">
        <f t="shared" si="22"/>
        <v>77974712</v>
      </c>
      <c r="I117" s="42">
        <v>6783175.599999994</v>
      </c>
      <c r="J117" s="43">
        <f t="shared" si="14"/>
        <v>8.6991992993831049E-2</v>
      </c>
      <c r="K117" s="44">
        <v>22919257</v>
      </c>
      <c r="L117" s="45">
        <f t="shared" si="15"/>
        <v>0.293931922441727</v>
      </c>
      <c r="M117" s="42">
        <v>2608297</v>
      </c>
      <c r="N117" s="45">
        <f t="shared" si="23"/>
        <v>2.4419542509648038E-2</v>
      </c>
      <c r="O117" s="44">
        <v>-2727855</v>
      </c>
      <c r="P117" s="44">
        <v>1941595</v>
      </c>
      <c r="Q117" s="44">
        <v>-4134036</v>
      </c>
      <c r="R117" s="46">
        <v>0.83604999999999996</v>
      </c>
      <c r="S117" s="46">
        <v>0.69599</v>
      </c>
      <c r="T117" s="47">
        <f t="shared" si="24"/>
        <v>0.76600000000000001</v>
      </c>
      <c r="U117" s="48">
        <v>0</v>
      </c>
      <c r="V117" s="45">
        <f t="shared" si="16"/>
        <v>0</v>
      </c>
      <c r="W117" s="49"/>
      <c r="X117" s="50"/>
      <c r="Y117" s="51"/>
      <c r="Z117" s="52"/>
      <c r="AA117" s="45" t="str">
        <f t="shared" si="17"/>
        <v/>
      </c>
      <c r="AB117" s="45" t="str">
        <f t="shared" si="18"/>
        <v/>
      </c>
      <c r="AC117" s="45" t="str">
        <f t="shared" si="19"/>
        <v/>
      </c>
      <c r="AD117" s="53" t="str">
        <f t="shared" si="25"/>
        <v/>
      </c>
      <c r="AE117" s="45" t="str">
        <f t="shared" si="20"/>
        <v/>
      </c>
      <c r="AF117" s="36">
        <f t="shared" si="26"/>
        <v>0</v>
      </c>
      <c r="AG117" s="54">
        <f t="shared" si="21"/>
        <v>0</v>
      </c>
      <c r="AH117" s="32" t="str">
        <f t="shared" si="27"/>
        <v/>
      </c>
      <c r="AI117" s="50"/>
      <c r="AJ117" s="50">
        <v>1</v>
      </c>
      <c r="AK117" s="50">
        <v>1</v>
      </c>
      <c r="AL117" s="50">
        <v>1</v>
      </c>
      <c r="AM117" s="50">
        <v>1</v>
      </c>
      <c r="AN117" s="50">
        <v>1</v>
      </c>
      <c r="AO117" s="50">
        <v>1</v>
      </c>
      <c r="AP117" s="50">
        <v>1</v>
      </c>
      <c r="AQ117" s="50">
        <v>1</v>
      </c>
      <c r="AR117" s="50">
        <v>1</v>
      </c>
      <c r="AU117" s="39"/>
      <c r="AW117" s="39"/>
    </row>
    <row r="118" spans="1:49" x14ac:dyDescent="0.25">
      <c r="A118" s="40"/>
      <c r="B118" s="41">
        <v>6210</v>
      </c>
      <c r="C118" s="40" t="s">
        <v>153</v>
      </c>
      <c r="D118" s="42">
        <v>4717646</v>
      </c>
      <c r="E118" s="42">
        <v>6057698</v>
      </c>
      <c r="F118" s="42">
        <v>6627763</v>
      </c>
      <c r="G118" s="42">
        <v>8514703</v>
      </c>
      <c r="H118" s="42">
        <f t="shared" si="22"/>
        <v>6479453</v>
      </c>
      <c r="I118" s="42">
        <v>256530.88999999964</v>
      </c>
      <c r="J118" s="43">
        <f t="shared" si="14"/>
        <v>3.9591442364039005E-2</v>
      </c>
      <c r="K118" s="44">
        <v>9302665.7300000004</v>
      </c>
      <c r="L118" s="45">
        <f t="shared" si="15"/>
        <v>1.4357177573477269</v>
      </c>
      <c r="M118" s="42">
        <v>126537</v>
      </c>
      <c r="N118" s="45">
        <f t="shared" si="23"/>
        <v>1.4860999849319465E-2</v>
      </c>
      <c r="O118" s="44">
        <v>1452141</v>
      </c>
      <c r="P118" s="44">
        <v>448986</v>
      </c>
      <c r="Q118" s="44">
        <v>-247536</v>
      </c>
      <c r="R118" s="46">
        <v>0.70511000000000001</v>
      </c>
      <c r="S118" s="46">
        <v>0.71543000000000001</v>
      </c>
      <c r="T118" s="47">
        <f t="shared" si="24"/>
        <v>0.71030000000000004</v>
      </c>
      <c r="U118" s="48">
        <v>0</v>
      </c>
      <c r="V118" s="45">
        <f t="shared" si="16"/>
        <v>0</v>
      </c>
      <c r="W118" s="49"/>
      <c r="X118" s="50"/>
      <c r="Y118" s="51"/>
      <c r="Z118" s="52"/>
      <c r="AA118" s="45" t="str">
        <f t="shared" si="17"/>
        <v/>
      </c>
      <c r="AB118" s="45">
        <f t="shared" si="18"/>
        <v>1.4357177573477269</v>
      </c>
      <c r="AC118" s="45" t="str">
        <f t="shared" si="19"/>
        <v/>
      </c>
      <c r="AD118" s="53" t="str">
        <f t="shared" si="25"/>
        <v/>
      </c>
      <c r="AE118" s="45">
        <f t="shared" si="20"/>
        <v>0.71030000000000004</v>
      </c>
      <c r="AF118" s="36">
        <f t="shared" si="26"/>
        <v>2</v>
      </c>
      <c r="AG118" s="54">
        <f t="shared" si="21"/>
        <v>0</v>
      </c>
      <c r="AH118" s="32" t="str">
        <f t="shared" si="27"/>
        <v/>
      </c>
      <c r="AI118" s="50"/>
      <c r="AJ118" s="50">
        <v>1</v>
      </c>
      <c r="AK118" s="50">
        <v>1</v>
      </c>
      <c r="AL118" s="50">
        <v>2</v>
      </c>
      <c r="AM118" s="50">
        <v>2</v>
      </c>
      <c r="AN118" s="50">
        <v>1</v>
      </c>
      <c r="AO118" s="50">
        <v>1</v>
      </c>
      <c r="AP118" s="50">
        <v>0</v>
      </c>
      <c r="AQ118" s="50">
        <v>1</v>
      </c>
      <c r="AR118" s="50">
        <v>0</v>
      </c>
      <c r="AU118" s="39"/>
      <c r="AW118" s="39"/>
    </row>
    <row r="119" spans="1:49" x14ac:dyDescent="0.25">
      <c r="A119" s="40"/>
      <c r="B119" s="41">
        <v>6211</v>
      </c>
      <c r="C119" s="40" t="s">
        <v>154</v>
      </c>
      <c r="D119" s="42">
        <v>5301728</v>
      </c>
      <c r="E119" s="42">
        <v>6230344</v>
      </c>
      <c r="F119" s="42">
        <v>7489561</v>
      </c>
      <c r="G119" s="42">
        <v>8904729</v>
      </c>
      <c r="H119" s="42">
        <f t="shared" si="22"/>
        <v>6981591</v>
      </c>
      <c r="I119" s="42">
        <v>90095.220000000656</v>
      </c>
      <c r="J119" s="43">
        <f t="shared" si="14"/>
        <v>1.2904683187542875E-2</v>
      </c>
      <c r="K119" s="44">
        <v>3327192.96</v>
      </c>
      <c r="L119" s="45">
        <f t="shared" si="15"/>
        <v>0.47656658202979807</v>
      </c>
      <c r="M119" s="42">
        <v>0</v>
      </c>
      <c r="N119" s="45">
        <f t="shared" si="23"/>
        <v>0</v>
      </c>
      <c r="O119" s="44">
        <v>790523</v>
      </c>
      <c r="P119" s="44">
        <v>843824</v>
      </c>
      <c r="Q119" s="44">
        <v>-1602572</v>
      </c>
      <c r="R119" s="46">
        <v>0.52146000000000003</v>
      </c>
      <c r="S119" s="46">
        <v>0.55593999999999999</v>
      </c>
      <c r="T119" s="47">
        <f t="shared" si="24"/>
        <v>0.53869999999999996</v>
      </c>
      <c r="U119" s="48">
        <v>0</v>
      </c>
      <c r="V119" s="45">
        <f t="shared" si="16"/>
        <v>0</v>
      </c>
      <c r="W119" s="49"/>
      <c r="X119" s="50"/>
      <c r="Y119" s="51"/>
      <c r="Z119" s="52"/>
      <c r="AA119" s="45" t="str">
        <f t="shared" si="17"/>
        <v/>
      </c>
      <c r="AB119" s="45" t="str">
        <f t="shared" si="18"/>
        <v/>
      </c>
      <c r="AC119" s="45" t="str">
        <f t="shared" si="19"/>
        <v/>
      </c>
      <c r="AD119" s="53" t="str">
        <f t="shared" si="25"/>
        <v/>
      </c>
      <c r="AE119" s="45">
        <f t="shared" si="20"/>
        <v>0.53869999999999996</v>
      </c>
      <c r="AF119" s="36">
        <f t="shared" si="26"/>
        <v>1</v>
      </c>
      <c r="AG119" s="54">
        <f t="shared" si="21"/>
        <v>0</v>
      </c>
      <c r="AH119" s="32" t="str">
        <f t="shared" si="27"/>
        <v/>
      </c>
      <c r="AI119" s="50"/>
      <c r="AJ119" s="50">
        <v>1</v>
      </c>
      <c r="AK119" s="50">
        <v>1</v>
      </c>
      <c r="AL119" s="50">
        <v>1</v>
      </c>
      <c r="AM119" s="50">
        <v>1</v>
      </c>
      <c r="AN119" s="50">
        <v>1</v>
      </c>
      <c r="AO119" s="50">
        <v>1</v>
      </c>
      <c r="AP119" s="50">
        <v>1</v>
      </c>
      <c r="AQ119" s="50">
        <v>1</v>
      </c>
      <c r="AR119" s="50">
        <v>1</v>
      </c>
      <c r="AU119" s="39"/>
      <c r="AW119" s="39"/>
    </row>
    <row r="120" spans="1:49" x14ac:dyDescent="0.25">
      <c r="A120" s="40" t="s">
        <v>155</v>
      </c>
      <c r="B120" s="41">
        <v>6301</v>
      </c>
      <c r="C120" s="40" t="s">
        <v>156</v>
      </c>
      <c r="D120" s="42">
        <v>9027500</v>
      </c>
      <c r="E120" s="42">
        <v>10648646</v>
      </c>
      <c r="F120" s="42">
        <v>14917964</v>
      </c>
      <c r="G120" s="42">
        <v>16791708</v>
      </c>
      <c r="H120" s="42">
        <f t="shared" si="22"/>
        <v>12846455</v>
      </c>
      <c r="I120" s="42">
        <v>260636.27999999921</v>
      </c>
      <c r="J120" s="43">
        <f t="shared" si="14"/>
        <v>2.0288576109128879E-2</v>
      </c>
      <c r="K120" s="44">
        <v>3486251.58</v>
      </c>
      <c r="L120" s="45">
        <f t="shared" si="15"/>
        <v>0.27137849157608074</v>
      </c>
      <c r="M120" s="42">
        <v>0</v>
      </c>
      <c r="N120" s="45">
        <f t="shared" si="23"/>
        <v>0</v>
      </c>
      <c r="O120" s="44">
        <v>4107572</v>
      </c>
      <c r="P120" s="44">
        <v>500402</v>
      </c>
      <c r="Q120" s="44">
        <v>-2906777</v>
      </c>
      <c r="R120" s="46">
        <v>0.77081999999999995</v>
      </c>
      <c r="S120" s="46">
        <v>0.75534000000000001</v>
      </c>
      <c r="T120" s="47">
        <f t="shared" si="24"/>
        <v>0.7631</v>
      </c>
      <c r="U120" s="48">
        <v>0</v>
      </c>
      <c r="V120" s="45">
        <f t="shared" si="16"/>
        <v>0</v>
      </c>
      <c r="W120" s="49"/>
      <c r="X120" s="50"/>
      <c r="Y120" s="51"/>
      <c r="Z120" s="52"/>
      <c r="AA120" s="45" t="str">
        <f t="shared" si="17"/>
        <v/>
      </c>
      <c r="AB120" s="45" t="str">
        <f t="shared" si="18"/>
        <v/>
      </c>
      <c r="AC120" s="45" t="str">
        <f t="shared" si="19"/>
        <v/>
      </c>
      <c r="AD120" s="53" t="str">
        <f t="shared" si="25"/>
        <v/>
      </c>
      <c r="AE120" s="45" t="str">
        <f t="shared" si="20"/>
        <v/>
      </c>
      <c r="AF120" s="36">
        <f t="shared" si="26"/>
        <v>0</v>
      </c>
      <c r="AG120" s="54">
        <f t="shared" si="21"/>
        <v>0</v>
      </c>
      <c r="AH120" s="32" t="str">
        <f t="shared" si="27"/>
        <v/>
      </c>
      <c r="AI120" s="50"/>
      <c r="AJ120" s="50">
        <v>1</v>
      </c>
      <c r="AK120" s="50">
        <v>1</v>
      </c>
      <c r="AL120" s="50">
        <v>2</v>
      </c>
      <c r="AM120" s="50">
        <v>3</v>
      </c>
      <c r="AN120" s="50">
        <v>1</v>
      </c>
      <c r="AO120" s="50">
        <v>1</v>
      </c>
      <c r="AP120" s="50">
        <v>1</v>
      </c>
      <c r="AQ120" s="50">
        <v>2</v>
      </c>
      <c r="AR120" s="50">
        <v>3</v>
      </c>
      <c r="AU120" s="39"/>
      <c r="AW120" s="39"/>
    </row>
    <row r="121" spans="1:49" x14ac:dyDescent="0.25">
      <c r="A121" s="40"/>
      <c r="B121" s="41">
        <v>6302</v>
      </c>
      <c r="C121" s="40" t="s">
        <v>157</v>
      </c>
      <c r="D121" s="42">
        <v>13673685</v>
      </c>
      <c r="E121" s="42">
        <v>15439423</v>
      </c>
      <c r="F121" s="42">
        <v>14483151</v>
      </c>
      <c r="G121" s="42">
        <v>16005097</v>
      </c>
      <c r="H121" s="42">
        <f t="shared" si="22"/>
        <v>14900339</v>
      </c>
      <c r="I121" s="42">
        <v>4406554.0200000005</v>
      </c>
      <c r="J121" s="43">
        <f t="shared" si="14"/>
        <v>0.29573515206600337</v>
      </c>
      <c r="K121" s="44">
        <v>9333645.1300000008</v>
      </c>
      <c r="L121" s="45">
        <f t="shared" si="15"/>
        <v>0.62640488447947396</v>
      </c>
      <c r="M121" s="42">
        <v>2574491</v>
      </c>
      <c r="N121" s="45">
        <f t="shared" si="23"/>
        <v>0.16085444530576729</v>
      </c>
      <c r="O121" s="44">
        <v>323110</v>
      </c>
      <c r="P121" s="44">
        <v>1392145</v>
      </c>
      <c r="Q121" s="44">
        <v>542515</v>
      </c>
      <c r="R121" s="46">
        <v>0.64847999999999995</v>
      </c>
      <c r="S121" s="46">
        <v>0.75973000000000002</v>
      </c>
      <c r="T121" s="47">
        <f t="shared" si="24"/>
        <v>0.70409999999999995</v>
      </c>
      <c r="U121" s="48">
        <v>0</v>
      </c>
      <c r="V121" s="45">
        <f t="shared" si="16"/>
        <v>0</v>
      </c>
      <c r="W121" s="49"/>
      <c r="X121" s="50"/>
      <c r="Y121" s="51">
        <v>0.27300000000000002</v>
      </c>
      <c r="Z121" s="52"/>
      <c r="AA121" s="45">
        <f t="shared" si="17"/>
        <v>0.29573515206600337</v>
      </c>
      <c r="AB121" s="45">
        <f t="shared" si="18"/>
        <v>0.62640488447947396</v>
      </c>
      <c r="AC121" s="45">
        <f t="shared" si="19"/>
        <v>0.16085444530576729</v>
      </c>
      <c r="AD121" s="53" t="str">
        <f t="shared" si="25"/>
        <v/>
      </c>
      <c r="AE121" s="45">
        <f t="shared" si="20"/>
        <v>0.70409999999999995</v>
      </c>
      <c r="AF121" s="36">
        <f t="shared" si="26"/>
        <v>5</v>
      </c>
      <c r="AG121" s="54">
        <f t="shared" si="21"/>
        <v>0</v>
      </c>
      <c r="AH121" s="32">
        <f t="shared" si="27"/>
        <v>1</v>
      </c>
      <c r="AI121" s="50"/>
      <c r="AJ121" s="50">
        <v>5</v>
      </c>
      <c r="AK121" s="50">
        <v>4</v>
      </c>
      <c r="AL121" s="50">
        <v>4</v>
      </c>
      <c r="AM121" s="50">
        <v>3</v>
      </c>
      <c r="AN121" s="50">
        <v>2</v>
      </c>
      <c r="AO121" s="50">
        <v>2</v>
      </c>
      <c r="AP121" s="50">
        <v>2</v>
      </c>
      <c r="AQ121" s="50">
        <v>3</v>
      </c>
      <c r="AR121" s="50">
        <v>3</v>
      </c>
      <c r="AU121" s="39"/>
      <c r="AW121" s="39"/>
    </row>
    <row r="122" spans="1:49" x14ac:dyDescent="0.25">
      <c r="A122" s="40"/>
      <c r="B122" s="41">
        <v>6303</v>
      </c>
      <c r="C122" s="40" t="s">
        <v>158</v>
      </c>
      <c r="D122" s="42">
        <v>9346582</v>
      </c>
      <c r="E122" s="42">
        <v>11574349</v>
      </c>
      <c r="F122" s="42">
        <v>12761328</v>
      </c>
      <c r="G122" s="42">
        <v>14345159</v>
      </c>
      <c r="H122" s="42">
        <f t="shared" si="22"/>
        <v>12006855</v>
      </c>
      <c r="I122" s="42">
        <v>831576.25000000012</v>
      </c>
      <c r="J122" s="43">
        <f t="shared" si="14"/>
        <v>6.9258456939806479E-2</v>
      </c>
      <c r="K122" s="44">
        <v>5145128.57</v>
      </c>
      <c r="L122" s="45">
        <f t="shared" si="15"/>
        <v>0.42851592444482756</v>
      </c>
      <c r="M122" s="42">
        <v>276946</v>
      </c>
      <c r="N122" s="45">
        <f t="shared" si="23"/>
        <v>1.9305885699837835E-2</v>
      </c>
      <c r="O122" s="44">
        <v>530508</v>
      </c>
      <c r="P122" s="44">
        <v>-107800</v>
      </c>
      <c r="Q122" s="44">
        <v>292710</v>
      </c>
      <c r="R122" s="46">
        <v>0.75353999999999999</v>
      </c>
      <c r="S122" s="46">
        <v>0.74373999999999996</v>
      </c>
      <c r="T122" s="47">
        <f t="shared" si="24"/>
        <v>0.74860000000000004</v>
      </c>
      <c r="U122" s="48">
        <v>0</v>
      </c>
      <c r="V122" s="45">
        <f t="shared" si="16"/>
        <v>0</v>
      </c>
      <c r="W122" s="49"/>
      <c r="X122" s="50"/>
      <c r="Y122" s="51"/>
      <c r="Z122" s="52"/>
      <c r="AA122" s="45" t="str">
        <f t="shared" si="17"/>
        <v/>
      </c>
      <c r="AB122" s="45" t="str">
        <f t="shared" si="18"/>
        <v/>
      </c>
      <c r="AC122" s="45" t="str">
        <f t="shared" si="19"/>
        <v/>
      </c>
      <c r="AD122" s="53" t="str">
        <f t="shared" si="25"/>
        <v/>
      </c>
      <c r="AE122" s="45">
        <f t="shared" si="20"/>
        <v>0.74860000000000004</v>
      </c>
      <c r="AF122" s="36">
        <f t="shared" si="26"/>
        <v>1</v>
      </c>
      <c r="AG122" s="54">
        <f t="shared" si="21"/>
        <v>0</v>
      </c>
      <c r="AH122" s="32" t="str">
        <f t="shared" si="27"/>
        <v/>
      </c>
      <c r="AI122" s="50"/>
      <c r="AJ122" s="50">
        <v>1</v>
      </c>
      <c r="AK122" s="50">
        <v>1</v>
      </c>
      <c r="AL122" s="50">
        <v>2</v>
      </c>
      <c r="AM122" s="50">
        <v>2</v>
      </c>
      <c r="AN122" s="50">
        <v>1</v>
      </c>
      <c r="AO122" s="50">
        <v>1</v>
      </c>
      <c r="AP122" s="50">
        <v>1</v>
      </c>
      <c r="AQ122" s="50">
        <v>1</v>
      </c>
      <c r="AR122" s="50">
        <v>1</v>
      </c>
      <c r="AU122" s="39"/>
      <c r="AW122" s="39"/>
    </row>
    <row r="123" spans="1:49" x14ac:dyDescent="0.25">
      <c r="A123" s="40"/>
      <c r="B123" s="41">
        <v>6304</v>
      </c>
      <c r="C123" s="40" t="s">
        <v>159</v>
      </c>
      <c r="D123" s="42">
        <v>46587176</v>
      </c>
      <c r="E123" s="42">
        <v>56775201</v>
      </c>
      <c r="F123" s="42">
        <v>56274469</v>
      </c>
      <c r="G123" s="42">
        <v>73843054</v>
      </c>
      <c r="H123" s="42">
        <f t="shared" si="22"/>
        <v>58369975</v>
      </c>
      <c r="I123" s="42">
        <v>24598373.84</v>
      </c>
      <c r="J123" s="43">
        <f t="shared" si="14"/>
        <v>0.42142169565774185</v>
      </c>
      <c r="K123" s="44">
        <v>62079074.039999999</v>
      </c>
      <c r="L123" s="45">
        <f t="shared" si="15"/>
        <v>1.063544639859791</v>
      </c>
      <c r="M123" s="42">
        <v>20237811</v>
      </c>
      <c r="N123" s="45">
        <f t="shared" si="23"/>
        <v>0.27406519508253274</v>
      </c>
      <c r="O123" s="44">
        <v>-8797611</v>
      </c>
      <c r="P123" s="44">
        <v>6066422</v>
      </c>
      <c r="Q123" s="44">
        <v>-4882940</v>
      </c>
      <c r="R123" s="46">
        <v>0.79632999999999998</v>
      </c>
      <c r="S123" s="46">
        <v>0.71333999999999997</v>
      </c>
      <c r="T123" s="47">
        <f t="shared" si="24"/>
        <v>0.75480000000000003</v>
      </c>
      <c r="U123" s="48">
        <v>0</v>
      </c>
      <c r="V123" s="45">
        <f t="shared" si="16"/>
        <v>0</v>
      </c>
      <c r="W123" s="49"/>
      <c r="X123" s="50"/>
      <c r="Y123" s="51"/>
      <c r="Z123" s="52"/>
      <c r="AA123" s="45">
        <f t="shared" si="17"/>
        <v>0.42142169565774185</v>
      </c>
      <c r="AB123" s="45">
        <f t="shared" si="18"/>
        <v>1.063544639859791</v>
      </c>
      <c r="AC123" s="45">
        <f t="shared" si="19"/>
        <v>0.27406519508253274</v>
      </c>
      <c r="AD123" s="53" t="str">
        <f t="shared" si="25"/>
        <v/>
      </c>
      <c r="AE123" s="45">
        <f t="shared" si="20"/>
        <v>0.75480000000000003</v>
      </c>
      <c r="AF123" s="36">
        <f t="shared" si="26"/>
        <v>4</v>
      </c>
      <c r="AG123" s="54">
        <f t="shared" si="21"/>
        <v>0</v>
      </c>
      <c r="AH123" s="32">
        <f t="shared" si="27"/>
        <v>1</v>
      </c>
      <c r="AI123" s="50"/>
      <c r="AJ123" s="50">
        <v>3</v>
      </c>
      <c r="AK123" s="50">
        <v>3</v>
      </c>
      <c r="AL123" s="50">
        <v>4</v>
      </c>
      <c r="AM123" s="50">
        <v>3</v>
      </c>
      <c r="AN123" s="50">
        <v>3</v>
      </c>
      <c r="AO123" s="50">
        <v>2</v>
      </c>
      <c r="AP123" s="50">
        <v>2</v>
      </c>
      <c r="AQ123" s="50">
        <v>4</v>
      </c>
      <c r="AR123" s="50">
        <v>3</v>
      </c>
      <c r="AU123" s="39"/>
      <c r="AW123" s="39"/>
    </row>
    <row r="124" spans="1:49" x14ac:dyDescent="0.25">
      <c r="A124" s="40"/>
      <c r="B124" s="41">
        <v>6305</v>
      </c>
      <c r="C124" s="40" t="s">
        <v>160</v>
      </c>
      <c r="D124" s="42">
        <v>8161362</v>
      </c>
      <c r="E124" s="42">
        <v>9031689</v>
      </c>
      <c r="F124" s="42">
        <v>11764388</v>
      </c>
      <c r="G124" s="42">
        <v>16294612</v>
      </c>
      <c r="H124" s="42">
        <f t="shared" si="22"/>
        <v>11313013</v>
      </c>
      <c r="I124" s="42">
        <v>61258.559999997837</v>
      </c>
      <c r="J124" s="43">
        <f t="shared" si="14"/>
        <v>5.4148757718211621E-3</v>
      </c>
      <c r="K124" s="44">
        <v>17290680.68</v>
      </c>
      <c r="L124" s="45">
        <f t="shared" si="15"/>
        <v>1.5283886511930995</v>
      </c>
      <c r="M124" s="42">
        <v>2002</v>
      </c>
      <c r="N124" s="45">
        <f t="shared" si="23"/>
        <v>1.2286269841834836E-4</v>
      </c>
      <c r="O124" s="44">
        <v>394436</v>
      </c>
      <c r="P124" s="44">
        <v>83104</v>
      </c>
      <c r="Q124" s="44">
        <v>687760</v>
      </c>
      <c r="R124" s="46">
        <v>0.72316999999999998</v>
      </c>
      <c r="S124" s="46">
        <v>0.60216000000000003</v>
      </c>
      <c r="T124" s="47">
        <f t="shared" si="24"/>
        <v>0.66269999999999996</v>
      </c>
      <c r="U124" s="48">
        <v>0</v>
      </c>
      <c r="V124" s="45">
        <f t="shared" si="16"/>
        <v>0</v>
      </c>
      <c r="W124" s="49"/>
      <c r="X124" s="50"/>
      <c r="Y124" s="51"/>
      <c r="Z124" s="52"/>
      <c r="AA124" s="45" t="str">
        <f t="shared" si="17"/>
        <v/>
      </c>
      <c r="AB124" s="45">
        <f t="shared" si="18"/>
        <v>1.5283886511930995</v>
      </c>
      <c r="AC124" s="45" t="str">
        <f t="shared" si="19"/>
        <v/>
      </c>
      <c r="AD124" s="53" t="str">
        <f t="shared" si="25"/>
        <v/>
      </c>
      <c r="AE124" s="45">
        <f t="shared" si="20"/>
        <v>0.66269999999999996</v>
      </c>
      <c r="AF124" s="36">
        <f t="shared" si="26"/>
        <v>2</v>
      </c>
      <c r="AG124" s="54">
        <f t="shared" si="21"/>
        <v>0</v>
      </c>
      <c r="AH124" s="32" t="str">
        <f t="shared" si="27"/>
        <v/>
      </c>
      <c r="AI124" s="50"/>
      <c r="AJ124" s="50">
        <v>1</v>
      </c>
      <c r="AK124" s="50">
        <v>2</v>
      </c>
      <c r="AL124" s="50">
        <v>1</v>
      </c>
      <c r="AM124" s="50">
        <v>1</v>
      </c>
      <c r="AN124" s="50">
        <v>2</v>
      </c>
      <c r="AO124" s="50">
        <v>1</v>
      </c>
      <c r="AP124" s="50">
        <v>2</v>
      </c>
      <c r="AQ124" s="50">
        <v>3</v>
      </c>
      <c r="AR124" s="50">
        <v>1</v>
      </c>
      <c r="AU124" s="39"/>
      <c r="AW124" s="39"/>
    </row>
    <row r="125" spans="1:49" x14ac:dyDescent="0.25">
      <c r="A125" s="40"/>
      <c r="B125" s="41">
        <v>6306</v>
      </c>
      <c r="C125" s="40" t="s">
        <v>155</v>
      </c>
      <c r="D125" s="42">
        <v>121810906</v>
      </c>
      <c r="E125" s="42">
        <v>141414543</v>
      </c>
      <c r="F125" s="42">
        <v>147845295</v>
      </c>
      <c r="G125" s="42">
        <v>183628758</v>
      </c>
      <c r="H125" s="42">
        <f t="shared" si="22"/>
        <v>148674876</v>
      </c>
      <c r="I125" s="42">
        <v>30777399.709999993</v>
      </c>
      <c r="J125" s="43">
        <f t="shared" si="14"/>
        <v>0.20701143688863741</v>
      </c>
      <c r="K125" s="44">
        <v>72075169.489999995</v>
      </c>
      <c r="L125" s="45">
        <f t="shared" si="15"/>
        <v>0.48478378747731388</v>
      </c>
      <c r="M125" s="42">
        <v>21588063</v>
      </c>
      <c r="N125" s="45">
        <f t="shared" si="23"/>
        <v>0.11756362802388502</v>
      </c>
      <c r="O125" s="44">
        <v>-1973889</v>
      </c>
      <c r="P125" s="44">
        <v>5467414</v>
      </c>
      <c r="Q125" s="44">
        <v>3722625</v>
      </c>
      <c r="R125" s="46">
        <v>0.82621999999999995</v>
      </c>
      <c r="S125" s="46">
        <v>0.73106000000000004</v>
      </c>
      <c r="T125" s="47">
        <f t="shared" si="24"/>
        <v>0.77859999999999996</v>
      </c>
      <c r="U125" s="48">
        <v>0</v>
      </c>
      <c r="V125" s="45">
        <f t="shared" si="16"/>
        <v>0</v>
      </c>
      <c r="W125" s="49"/>
      <c r="X125" s="50"/>
      <c r="Y125" s="51"/>
      <c r="Z125" s="52"/>
      <c r="AA125" s="45">
        <f t="shared" si="17"/>
        <v>0.20701143688863741</v>
      </c>
      <c r="AB125" s="45" t="str">
        <f t="shared" si="18"/>
        <v/>
      </c>
      <c r="AC125" s="45">
        <f t="shared" si="19"/>
        <v>0.11756362802388502</v>
      </c>
      <c r="AD125" s="53" t="str">
        <f t="shared" si="25"/>
        <v/>
      </c>
      <c r="AE125" s="45" t="str">
        <f t="shared" si="20"/>
        <v/>
      </c>
      <c r="AF125" s="36">
        <f t="shared" si="26"/>
        <v>2</v>
      </c>
      <c r="AG125" s="54">
        <f t="shared" si="21"/>
        <v>0</v>
      </c>
      <c r="AH125" s="32" t="str">
        <f t="shared" si="27"/>
        <v/>
      </c>
      <c r="AI125" s="50"/>
      <c r="AJ125" s="50">
        <v>2</v>
      </c>
      <c r="AK125" s="50">
        <v>2</v>
      </c>
      <c r="AL125" s="50">
        <v>2</v>
      </c>
      <c r="AM125" s="50">
        <v>1</v>
      </c>
      <c r="AN125" s="50">
        <v>1</v>
      </c>
      <c r="AO125" s="50">
        <v>1</v>
      </c>
      <c r="AP125" s="50">
        <v>0</v>
      </c>
      <c r="AQ125" s="50">
        <v>0</v>
      </c>
      <c r="AR125" s="50">
        <v>1</v>
      </c>
      <c r="AU125" s="39"/>
      <c r="AW125" s="39"/>
    </row>
    <row r="126" spans="1:49" x14ac:dyDescent="0.25">
      <c r="A126" s="40"/>
      <c r="B126" s="41">
        <v>6307</v>
      </c>
      <c r="C126" s="40" t="s">
        <v>161</v>
      </c>
      <c r="D126" s="42">
        <v>23114005</v>
      </c>
      <c r="E126" s="42">
        <v>29303271</v>
      </c>
      <c r="F126" s="42">
        <v>32797799</v>
      </c>
      <c r="G126" s="42">
        <v>41223047</v>
      </c>
      <c r="H126" s="42">
        <f t="shared" si="22"/>
        <v>31609531</v>
      </c>
      <c r="I126" s="42">
        <v>4167023.6500000013</v>
      </c>
      <c r="J126" s="43">
        <f t="shared" si="14"/>
        <v>0.13182807584206171</v>
      </c>
      <c r="K126" s="44">
        <v>34205903</v>
      </c>
      <c r="L126" s="45">
        <f t="shared" si="15"/>
        <v>1.0821388966511398</v>
      </c>
      <c r="M126" s="42">
        <v>0</v>
      </c>
      <c r="N126" s="45">
        <f t="shared" si="23"/>
        <v>0</v>
      </c>
      <c r="O126" s="44">
        <v>1391742</v>
      </c>
      <c r="P126" s="44">
        <v>3635798</v>
      </c>
      <c r="Q126" s="44">
        <v>1986562</v>
      </c>
      <c r="R126" s="46">
        <v>0.89276999999999995</v>
      </c>
      <c r="S126" s="46">
        <v>0.80637000000000003</v>
      </c>
      <c r="T126" s="47">
        <f t="shared" si="24"/>
        <v>0.84960000000000002</v>
      </c>
      <c r="U126" s="48">
        <v>0</v>
      </c>
      <c r="V126" s="45">
        <f t="shared" si="16"/>
        <v>0</v>
      </c>
      <c r="W126" s="49"/>
      <c r="X126" s="50"/>
      <c r="Y126" s="51"/>
      <c r="Z126" s="52"/>
      <c r="AA126" s="45" t="str">
        <f t="shared" si="17"/>
        <v/>
      </c>
      <c r="AB126" s="45">
        <f t="shared" si="18"/>
        <v>1.0821388966511398</v>
      </c>
      <c r="AC126" s="45" t="str">
        <f t="shared" si="19"/>
        <v/>
      </c>
      <c r="AD126" s="53" t="str">
        <f t="shared" si="25"/>
        <v/>
      </c>
      <c r="AE126" s="45" t="str">
        <f t="shared" si="20"/>
        <v/>
      </c>
      <c r="AF126" s="36">
        <f t="shared" si="26"/>
        <v>1</v>
      </c>
      <c r="AG126" s="54">
        <f t="shared" si="21"/>
        <v>0</v>
      </c>
      <c r="AH126" s="32" t="str">
        <f t="shared" si="27"/>
        <v/>
      </c>
      <c r="AI126" s="50"/>
      <c r="AJ126" s="50">
        <v>0</v>
      </c>
      <c r="AK126" s="50">
        <v>0</v>
      </c>
      <c r="AL126" s="50">
        <v>0</v>
      </c>
      <c r="AM126" s="50">
        <v>0</v>
      </c>
      <c r="AN126" s="50">
        <v>0</v>
      </c>
      <c r="AO126" s="50">
        <v>0</v>
      </c>
      <c r="AP126" s="50">
        <v>0</v>
      </c>
      <c r="AQ126" s="50">
        <v>0</v>
      </c>
      <c r="AR126" s="50">
        <v>0</v>
      </c>
      <c r="AU126" s="39"/>
      <c r="AW126" s="39"/>
    </row>
    <row r="127" spans="1:49" x14ac:dyDescent="0.25">
      <c r="A127" s="40"/>
      <c r="B127" s="41">
        <v>6308</v>
      </c>
      <c r="C127" s="40" t="s">
        <v>162</v>
      </c>
      <c r="D127" s="42">
        <v>20107779</v>
      </c>
      <c r="E127" s="42">
        <v>25508744</v>
      </c>
      <c r="F127" s="42">
        <v>35409598</v>
      </c>
      <c r="G127" s="42">
        <v>36201911</v>
      </c>
      <c r="H127" s="42">
        <f t="shared" si="22"/>
        <v>29307008</v>
      </c>
      <c r="I127" s="42">
        <v>3545710.6500000018</v>
      </c>
      <c r="J127" s="43">
        <f t="shared" si="14"/>
        <v>0.12098507804003744</v>
      </c>
      <c r="K127" s="44">
        <v>13575826.430000002</v>
      </c>
      <c r="L127" s="45">
        <f t="shared" si="15"/>
        <v>0.46322799072494886</v>
      </c>
      <c r="M127" s="42">
        <v>10186</v>
      </c>
      <c r="N127" s="45">
        <f t="shared" si="23"/>
        <v>2.8136636212381164E-4</v>
      </c>
      <c r="O127" s="44">
        <v>2681367</v>
      </c>
      <c r="P127" s="44">
        <v>-2495018</v>
      </c>
      <c r="Q127" s="44">
        <v>-1914542</v>
      </c>
      <c r="R127" s="46">
        <v>0.87336999999999998</v>
      </c>
      <c r="S127" s="46">
        <v>0.72680999999999996</v>
      </c>
      <c r="T127" s="47">
        <f t="shared" si="24"/>
        <v>0.80010000000000003</v>
      </c>
      <c r="U127" s="48">
        <v>0</v>
      </c>
      <c r="V127" s="45">
        <f t="shared" si="16"/>
        <v>0</v>
      </c>
      <c r="W127" s="49"/>
      <c r="X127" s="50"/>
      <c r="Y127" s="51"/>
      <c r="Z127" s="52"/>
      <c r="AA127" s="45" t="str">
        <f t="shared" si="17"/>
        <v/>
      </c>
      <c r="AB127" s="45" t="str">
        <f t="shared" si="18"/>
        <v/>
      </c>
      <c r="AC127" s="45" t="str">
        <f t="shared" si="19"/>
        <v/>
      </c>
      <c r="AD127" s="53" t="str">
        <f t="shared" si="25"/>
        <v/>
      </c>
      <c r="AE127" s="45" t="str">
        <f t="shared" si="20"/>
        <v/>
      </c>
      <c r="AF127" s="36">
        <f t="shared" si="26"/>
        <v>0</v>
      </c>
      <c r="AG127" s="54">
        <f t="shared" si="21"/>
        <v>0</v>
      </c>
      <c r="AH127" s="32" t="str">
        <f t="shared" si="27"/>
        <v/>
      </c>
      <c r="AI127" s="50"/>
      <c r="AJ127" s="50">
        <v>0</v>
      </c>
      <c r="AK127" s="50">
        <v>1</v>
      </c>
      <c r="AL127" s="50">
        <v>0</v>
      </c>
      <c r="AM127" s="50">
        <v>0</v>
      </c>
      <c r="AN127" s="50">
        <v>0</v>
      </c>
      <c r="AO127" s="50">
        <v>1</v>
      </c>
      <c r="AP127" s="50">
        <v>1</v>
      </c>
      <c r="AQ127" s="50">
        <v>2</v>
      </c>
      <c r="AR127" s="50">
        <v>0</v>
      </c>
      <c r="AU127" s="39"/>
      <c r="AW127" s="39"/>
    </row>
    <row r="128" spans="1:49" x14ac:dyDescent="0.25">
      <c r="A128" s="40"/>
      <c r="B128" s="41">
        <v>6309</v>
      </c>
      <c r="C128" s="40" t="s">
        <v>163</v>
      </c>
      <c r="D128" s="42">
        <v>15406838</v>
      </c>
      <c r="E128" s="42">
        <v>18547796</v>
      </c>
      <c r="F128" s="42">
        <v>26136031</v>
      </c>
      <c r="G128" s="42">
        <v>31319440</v>
      </c>
      <c r="H128" s="42">
        <f t="shared" si="22"/>
        <v>22852526</v>
      </c>
      <c r="I128" s="42">
        <v>1517061.6200000003</v>
      </c>
      <c r="J128" s="43">
        <f t="shared" si="14"/>
        <v>6.6384854785856068E-2</v>
      </c>
      <c r="K128" s="44">
        <v>8053537.7199999988</v>
      </c>
      <c r="L128" s="45">
        <f t="shared" si="15"/>
        <v>0.35241345836342114</v>
      </c>
      <c r="M128" s="42">
        <v>5160</v>
      </c>
      <c r="N128" s="45">
        <f t="shared" si="23"/>
        <v>1.6475390364578677E-4</v>
      </c>
      <c r="O128" s="44">
        <v>2487991</v>
      </c>
      <c r="P128" s="44">
        <v>-611198</v>
      </c>
      <c r="Q128" s="44">
        <v>-119223</v>
      </c>
      <c r="R128" s="46">
        <v>0.83391999999999999</v>
      </c>
      <c r="S128" s="46">
        <v>0.72553999999999996</v>
      </c>
      <c r="T128" s="47">
        <f t="shared" si="24"/>
        <v>0.77969999999999995</v>
      </c>
      <c r="U128" s="48">
        <v>0</v>
      </c>
      <c r="V128" s="45">
        <f t="shared" si="16"/>
        <v>0</v>
      </c>
      <c r="W128" s="49"/>
      <c r="X128" s="50"/>
      <c r="Y128" s="51"/>
      <c r="Z128" s="52"/>
      <c r="AA128" s="45" t="str">
        <f t="shared" si="17"/>
        <v/>
      </c>
      <c r="AB128" s="45" t="str">
        <f t="shared" si="18"/>
        <v/>
      </c>
      <c r="AC128" s="45" t="str">
        <f t="shared" si="19"/>
        <v/>
      </c>
      <c r="AD128" s="53" t="str">
        <f t="shared" si="25"/>
        <v/>
      </c>
      <c r="AE128" s="45" t="str">
        <f t="shared" si="20"/>
        <v/>
      </c>
      <c r="AF128" s="36">
        <f t="shared" si="26"/>
        <v>0</v>
      </c>
      <c r="AG128" s="54">
        <f t="shared" si="21"/>
        <v>0</v>
      </c>
      <c r="AH128" s="32" t="str">
        <f t="shared" si="27"/>
        <v/>
      </c>
      <c r="AI128" s="50"/>
      <c r="AJ128" s="50">
        <v>1</v>
      </c>
      <c r="AK128" s="50">
        <v>1</v>
      </c>
      <c r="AL128" s="50">
        <v>1</v>
      </c>
      <c r="AM128" s="50">
        <v>1</v>
      </c>
      <c r="AN128" s="50">
        <v>1</v>
      </c>
      <c r="AO128" s="50">
        <v>1</v>
      </c>
      <c r="AP128" s="50">
        <v>2</v>
      </c>
      <c r="AQ128" s="50">
        <v>2</v>
      </c>
      <c r="AR128" s="50">
        <v>2</v>
      </c>
      <c r="AU128" s="39"/>
      <c r="AW128" s="39"/>
    </row>
    <row r="129" spans="1:49" x14ac:dyDescent="0.25">
      <c r="A129" s="40"/>
      <c r="B129" s="41">
        <v>6310</v>
      </c>
      <c r="C129" s="40" t="s">
        <v>164</v>
      </c>
      <c r="D129" s="42">
        <v>25204679</v>
      </c>
      <c r="E129" s="42">
        <v>30469167</v>
      </c>
      <c r="F129" s="42">
        <v>34053583</v>
      </c>
      <c r="G129" s="42">
        <v>44555770</v>
      </c>
      <c r="H129" s="42">
        <f t="shared" si="22"/>
        <v>33570800</v>
      </c>
      <c r="I129" s="42">
        <v>18743921.159999996</v>
      </c>
      <c r="J129" s="43">
        <f t="shared" si="14"/>
        <v>0.55834002049400067</v>
      </c>
      <c r="K129" s="44">
        <v>57863508.329999998</v>
      </c>
      <c r="L129" s="45">
        <f t="shared" si="15"/>
        <v>1.7236261372978898</v>
      </c>
      <c r="M129" s="42">
        <v>3150473</v>
      </c>
      <c r="N129" s="45">
        <f t="shared" si="23"/>
        <v>7.0708530006326903E-2</v>
      </c>
      <c r="O129" s="44">
        <v>497155</v>
      </c>
      <c r="P129" s="44">
        <v>1162666</v>
      </c>
      <c r="Q129" s="44">
        <v>483839</v>
      </c>
      <c r="R129" s="46">
        <v>0.82945999999999998</v>
      </c>
      <c r="S129" s="46">
        <v>0.68672</v>
      </c>
      <c r="T129" s="47">
        <f t="shared" si="24"/>
        <v>0.7581</v>
      </c>
      <c r="U129" s="48">
        <v>0</v>
      </c>
      <c r="V129" s="45">
        <f t="shared" si="16"/>
        <v>0</v>
      </c>
      <c r="W129" s="49"/>
      <c r="X129" s="50"/>
      <c r="Y129" s="51"/>
      <c r="Z129" s="52"/>
      <c r="AA129" s="45">
        <f t="shared" si="17"/>
        <v>0.55834002049400067</v>
      </c>
      <c r="AB129" s="45">
        <f t="shared" si="18"/>
        <v>1.7236261372978898</v>
      </c>
      <c r="AC129" s="45">
        <f t="shared" si="19"/>
        <v>7.0708530006326903E-2</v>
      </c>
      <c r="AD129" s="53" t="str">
        <f t="shared" si="25"/>
        <v/>
      </c>
      <c r="AE129" s="45">
        <f t="shared" si="20"/>
        <v>0.7581</v>
      </c>
      <c r="AF129" s="36">
        <f t="shared" si="26"/>
        <v>4</v>
      </c>
      <c r="AG129" s="54">
        <f t="shared" si="21"/>
        <v>0</v>
      </c>
      <c r="AH129" s="32">
        <f t="shared" si="27"/>
        <v>1</v>
      </c>
      <c r="AI129" s="50"/>
      <c r="AJ129" s="50">
        <v>3</v>
      </c>
      <c r="AK129" s="50">
        <v>4</v>
      </c>
      <c r="AL129" s="50">
        <v>3</v>
      </c>
      <c r="AM129" s="50">
        <v>3</v>
      </c>
      <c r="AN129" s="50">
        <v>4</v>
      </c>
      <c r="AO129" s="50">
        <v>4</v>
      </c>
      <c r="AP129" s="50">
        <v>3</v>
      </c>
      <c r="AQ129" s="50">
        <v>4</v>
      </c>
      <c r="AR129" s="50">
        <v>3</v>
      </c>
      <c r="AU129" s="39"/>
      <c r="AW129" s="39"/>
    </row>
    <row r="130" spans="1:49" x14ac:dyDescent="0.25">
      <c r="A130" s="40"/>
      <c r="B130" s="41">
        <v>6311</v>
      </c>
      <c r="C130" s="40" t="s">
        <v>165</v>
      </c>
      <c r="D130" s="42">
        <v>8558398</v>
      </c>
      <c r="E130" s="42">
        <v>8474391</v>
      </c>
      <c r="F130" s="42">
        <v>12601683</v>
      </c>
      <c r="G130" s="42">
        <v>16781019</v>
      </c>
      <c r="H130" s="42">
        <f t="shared" si="22"/>
        <v>11603873</v>
      </c>
      <c r="I130" s="42">
        <v>1725898.530000001</v>
      </c>
      <c r="J130" s="43">
        <f t="shared" si="14"/>
        <v>0.14873469659655883</v>
      </c>
      <c r="K130" s="44">
        <v>9378786.4100000001</v>
      </c>
      <c r="L130" s="45">
        <f t="shared" si="15"/>
        <v>0.80824621313935441</v>
      </c>
      <c r="M130" s="42">
        <v>179170</v>
      </c>
      <c r="N130" s="45">
        <f t="shared" si="23"/>
        <v>1.067694399249533E-2</v>
      </c>
      <c r="O130" s="44">
        <v>1059300</v>
      </c>
      <c r="P130" s="44">
        <v>-2100844</v>
      </c>
      <c r="Q130" s="44">
        <v>687384</v>
      </c>
      <c r="R130" s="46">
        <v>0.86089000000000004</v>
      </c>
      <c r="S130" s="46">
        <v>0.76053000000000004</v>
      </c>
      <c r="T130" s="47">
        <f t="shared" si="24"/>
        <v>0.81069999999999998</v>
      </c>
      <c r="U130" s="48">
        <v>447234</v>
      </c>
      <c r="V130" s="45">
        <f t="shared" si="16"/>
        <v>2.6651182505663094E-2</v>
      </c>
      <c r="W130" s="49"/>
      <c r="X130" s="50"/>
      <c r="Y130" s="51"/>
      <c r="Z130" s="52"/>
      <c r="AA130" s="45" t="str">
        <f t="shared" si="17"/>
        <v/>
      </c>
      <c r="AB130" s="45">
        <f t="shared" si="18"/>
        <v>0.80824621313935441</v>
      </c>
      <c r="AC130" s="45" t="str">
        <f t="shared" si="19"/>
        <v/>
      </c>
      <c r="AD130" s="53" t="str">
        <f t="shared" si="25"/>
        <v/>
      </c>
      <c r="AE130" s="45" t="str">
        <f t="shared" si="20"/>
        <v/>
      </c>
      <c r="AF130" s="36">
        <f t="shared" si="26"/>
        <v>1</v>
      </c>
      <c r="AG130" s="54">
        <f t="shared" si="21"/>
        <v>0</v>
      </c>
      <c r="AH130" s="32" t="str">
        <f t="shared" si="27"/>
        <v/>
      </c>
      <c r="AI130" s="50"/>
      <c r="AJ130" s="50">
        <v>3</v>
      </c>
      <c r="AK130" s="50">
        <v>3</v>
      </c>
      <c r="AL130" s="50">
        <v>0</v>
      </c>
      <c r="AM130" s="50">
        <v>0</v>
      </c>
      <c r="AN130" s="50">
        <v>0</v>
      </c>
      <c r="AO130" s="50">
        <v>1</v>
      </c>
      <c r="AP130" s="50">
        <v>0</v>
      </c>
      <c r="AQ130" s="50">
        <v>1</v>
      </c>
      <c r="AR130" s="50">
        <v>2</v>
      </c>
      <c r="AU130" s="39"/>
      <c r="AW130" s="39"/>
    </row>
    <row r="131" spans="1:49" x14ac:dyDescent="0.25">
      <c r="A131" s="40"/>
      <c r="B131" s="41">
        <v>6312</v>
      </c>
      <c r="C131" s="40" t="s">
        <v>166</v>
      </c>
      <c r="D131" s="42">
        <v>6892767</v>
      </c>
      <c r="E131" s="42">
        <v>7114546</v>
      </c>
      <c r="F131" s="42">
        <v>11240222</v>
      </c>
      <c r="G131" s="42">
        <v>12999003</v>
      </c>
      <c r="H131" s="42">
        <f t="shared" si="22"/>
        <v>9561635</v>
      </c>
      <c r="I131" s="42">
        <v>69289.760000000257</v>
      </c>
      <c r="J131" s="43">
        <f t="shared" ref="J131:J194" si="28">+I131/$H131</f>
        <v>7.2466434872278914E-3</v>
      </c>
      <c r="K131" s="44">
        <v>7199130.1999999993</v>
      </c>
      <c r="L131" s="45">
        <f t="shared" ref="L131:L194" si="29">+K131/$H131</f>
        <v>0.7529183241150702</v>
      </c>
      <c r="M131" s="42">
        <v>0</v>
      </c>
      <c r="N131" s="45">
        <f t="shared" si="23"/>
        <v>0</v>
      </c>
      <c r="O131" s="44">
        <v>2892710</v>
      </c>
      <c r="P131" s="44">
        <v>297843</v>
      </c>
      <c r="Q131" s="44">
        <v>-687867</v>
      </c>
      <c r="R131" s="46">
        <v>0.92888000000000004</v>
      </c>
      <c r="S131" s="46">
        <v>0.84923999999999999</v>
      </c>
      <c r="T131" s="47">
        <f t="shared" si="24"/>
        <v>0.8891</v>
      </c>
      <c r="U131" s="48">
        <v>0</v>
      </c>
      <c r="V131" s="45">
        <f t="shared" ref="V131:V194" si="30">+U131/G131</f>
        <v>0</v>
      </c>
      <c r="W131" s="49"/>
      <c r="X131" s="50"/>
      <c r="Y131" s="51"/>
      <c r="Z131" s="52"/>
      <c r="AA131" s="45" t="str">
        <f t="shared" ref="AA131:AA194" si="31">IF(J131&gt;15%,J131,"")</f>
        <v/>
      </c>
      <c r="AB131" s="45">
        <f t="shared" ref="AB131:AB194" si="32">IF(L131&gt;50%,L131,"")</f>
        <v>0.7529183241150702</v>
      </c>
      <c r="AC131" s="45" t="str">
        <f t="shared" ref="AC131:AC194" si="33">IF(N131&gt;5%,N131,"")</f>
        <v/>
      </c>
      <c r="AD131" s="53" t="str">
        <f t="shared" si="25"/>
        <v/>
      </c>
      <c r="AE131" s="45" t="str">
        <f t="shared" ref="AE131:AE194" si="34">IF(T131&lt;T$268,T131,"")</f>
        <v/>
      </c>
      <c r="AF131" s="36">
        <f t="shared" si="26"/>
        <v>1</v>
      </c>
      <c r="AG131" s="54">
        <f t="shared" ref="AG131:AG194" si="35">IF(V131&gt;50%,V131,0)</f>
        <v>0</v>
      </c>
      <c r="AH131" s="32" t="str">
        <f t="shared" si="27"/>
        <v/>
      </c>
      <c r="AI131" s="50"/>
      <c r="AJ131" s="50">
        <v>0</v>
      </c>
      <c r="AK131" s="50">
        <v>0</v>
      </c>
      <c r="AL131" s="50">
        <v>1</v>
      </c>
      <c r="AM131" s="50">
        <v>1</v>
      </c>
      <c r="AN131" s="50">
        <v>0</v>
      </c>
      <c r="AO131" s="50">
        <v>0</v>
      </c>
      <c r="AP131" s="50">
        <v>0</v>
      </c>
      <c r="AQ131" s="50">
        <v>0</v>
      </c>
      <c r="AR131" s="50">
        <v>1</v>
      </c>
      <c r="AU131" s="39"/>
      <c r="AW131" s="39"/>
    </row>
    <row r="132" spans="1:49" x14ac:dyDescent="0.25">
      <c r="A132" s="40" t="s">
        <v>167</v>
      </c>
      <c r="B132" s="41">
        <v>6401</v>
      </c>
      <c r="C132" s="40" t="s">
        <v>168</v>
      </c>
      <c r="D132" s="42">
        <v>11322263</v>
      </c>
      <c r="E132" s="42">
        <v>12475194</v>
      </c>
      <c r="F132" s="42">
        <v>13668986</v>
      </c>
      <c r="G132" s="42">
        <v>18032524</v>
      </c>
      <c r="H132" s="42">
        <f t="shared" ref="H132:H195" si="36">ROUND((+F132+E132+D132+G132)/4,0)</f>
        <v>13874742</v>
      </c>
      <c r="I132" s="42">
        <v>288412.90000000008</v>
      </c>
      <c r="J132" s="43">
        <f t="shared" si="28"/>
        <v>2.0786901839327902E-2</v>
      </c>
      <c r="K132" s="44">
        <v>5852161.6800000016</v>
      </c>
      <c r="L132" s="45">
        <f t="shared" si="29"/>
        <v>0.42178526130431843</v>
      </c>
      <c r="M132" s="42">
        <v>0</v>
      </c>
      <c r="N132" s="45">
        <f t="shared" ref="N132:N195" si="37">+M132/G132</f>
        <v>0</v>
      </c>
      <c r="O132" s="44">
        <v>-21205</v>
      </c>
      <c r="P132" s="44">
        <v>147694</v>
      </c>
      <c r="Q132" s="44">
        <v>-1304937</v>
      </c>
      <c r="R132" s="46">
        <v>0.74836000000000003</v>
      </c>
      <c r="S132" s="46">
        <v>0.76749000000000001</v>
      </c>
      <c r="T132" s="47">
        <f t="shared" ref="T132:T195" si="38">+ROUND(AVERAGE(R132:S132),4)</f>
        <v>0.75790000000000002</v>
      </c>
      <c r="U132" s="48">
        <v>0</v>
      </c>
      <c r="V132" s="45">
        <f t="shared" si="30"/>
        <v>0</v>
      </c>
      <c r="W132" s="49"/>
      <c r="X132" s="50"/>
      <c r="Y132" s="51"/>
      <c r="Z132" s="52"/>
      <c r="AA132" s="45" t="str">
        <f t="shared" si="31"/>
        <v/>
      </c>
      <c r="AB132" s="45" t="str">
        <f t="shared" si="32"/>
        <v/>
      </c>
      <c r="AC132" s="45" t="str">
        <f t="shared" si="33"/>
        <v/>
      </c>
      <c r="AD132" s="53" t="str">
        <f t="shared" ref="AD132:AD195" si="39">IF(AND(Q132&lt;0,O132&lt;0,P132&lt;0),"да","")</f>
        <v/>
      </c>
      <c r="AE132" s="45">
        <f t="shared" si="34"/>
        <v>0.75790000000000002</v>
      </c>
      <c r="AF132" s="36">
        <f t="shared" ref="AF132:AF195" si="40">COUNTIF(Y132:AC132,"&gt;0")+COUNTIF(AD132,"да")+COUNTIF(AE132,"&gt;0")</f>
        <v>1</v>
      </c>
      <c r="AG132" s="54">
        <f t="shared" si="35"/>
        <v>0</v>
      </c>
      <c r="AH132" s="32" t="str">
        <f t="shared" ref="AH132:AH195" si="41">+IF(OR(AF132&gt;2,AG132&gt;50%),1,"")</f>
        <v/>
      </c>
      <c r="AI132" s="50"/>
      <c r="AJ132" s="50">
        <v>1</v>
      </c>
      <c r="AK132" s="50">
        <v>1</v>
      </c>
      <c r="AL132" s="50">
        <v>1</v>
      </c>
      <c r="AM132" s="50">
        <v>1</v>
      </c>
      <c r="AN132" s="50">
        <v>0</v>
      </c>
      <c r="AO132" s="50">
        <v>1</v>
      </c>
      <c r="AP132" s="50">
        <v>1</v>
      </c>
      <c r="AQ132" s="50">
        <v>1</v>
      </c>
      <c r="AR132" s="50">
        <v>1</v>
      </c>
      <c r="AU132" s="39"/>
      <c r="AW132" s="39"/>
    </row>
    <row r="133" spans="1:49" x14ac:dyDescent="0.25">
      <c r="A133" s="40"/>
      <c r="B133" s="41">
        <v>6402</v>
      </c>
      <c r="C133" s="40" t="s">
        <v>169</v>
      </c>
      <c r="D133" s="42">
        <v>4905325</v>
      </c>
      <c r="E133" s="42">
        <v>6555414</v>
      </c>
      <c r="F133" s="42">
        <v>7563748</v>
      </c>
      <c r="G133" s="42">
        <v>9015565</v>
      </c>
      <c r="H133" s="42">
        <f t="shared" si="36"/>
        <v>7010013</v>
      </c>
      <c r="I133" s="42">
        <v>287835.82000000012</v>
      </c>
      <c r="J133" s="43">
        <f t="shared" si="28"/>
        <v>4.1060668503753152E-2</v>
      </c>
      <c r="K133" s="44">
        <v>290475.52000000048</v>
      </c>
      <c r="L133" s="45">
        <f t="shared" si="29"/>
        <v>4.1437229859630859E-2</v>
      </c>
      <c r="M133" s="42">
        <v>0</v>
      </c>
      <c r="N133" s="45">
        <f t="shared" si="37"/>
        <v>0</v>
      </c>
      <c r="O133" s="44">
        <v>1311291</v>
      </c>
      <c r="P133" s="44">
        <v>978047</v>
      </c>
      <c r="Q133" s="44">
        <v>-1092283</v>
      </c>
      <c r="R133" s="46">
        <v>0.59367999999999999</v>
      </c>
      <c r="S133" s="46">
        <v>0.65325999999999995</v>
      </c>
      <c r="T133" s="47">
        <f t="shared" si="38"/>
        <v>0.62350000000000005</v>
      </c>
      <c r="U133" s="48">
        <v>0</v>
      </c>
      <c r="V133" s="45">
        <f t="shared" si="30"/>
        <v>0</v>
      </c>
      <c r="W133" s="49"/>
      <c r="X133" s="50"/>
      <c r="Y133" s="51"/>
      <c r="Z133" s="52"/>
      <c r="AA133" s="45" t="str">
        <f t="shared" si="31"/>
        <v/>
      </c>
      <c r="AB133" s="45" t="str">
        <f t="shared" si="32"/>
        <v/>
      </c>
      <c r="AC133" s="45" t="str">
        <f t="shared" si="33"/>
        <v/>
      </c>
      <c r="AD133" s="53" t="str">
        <f t="shared" si="39"/>
        <v/>
      </c>
      <c r="AE133" s="45">
        <f t="shared" si="34"/>
        <v>0.62350000000000005</v>
      </c>
      <c r="AF133" s="36">
        <f t="shared" si="40"/>
        <v>1</v>
      </c>
      <c r="AG133" s="54">
        <f t="shared" si="35"/>
        <v>0</v>
      </c>
      <c r="AH133" s="32" t="str">
        <f t="shared" si="41"/>
        <v/>
      </c>
      <c r="AI133" s="50"/>
      <c r="AJ133" s="50">
        <v>1</v>
      </c>
      <c r="AK133" s="50">
        <v>1</v>
      </c>
      <c r="AL133" s="50">
        <v>1</v>
      </c>
      <c r="AM133" s="50">
        <v>1</v>
      </c>
      <c r="AN133" s="50">
        <v>1</v>
      </c>
      <c r="AO133" s="50">
        <v>1</v>
      </c>
      <c r="AP133" s="50">
        <v>1</v>
      </c>
      <c r="AQ133" s="50">
        <v>1</v>
      </c>
      <c r="AR133" s="50">
        <v>1</v>
      </c>
      <c r="AU133" s="39"/>
      <c r="AW133" s="39"/>
    </row>
    <row r="134" spans="1:49" x14ac:dyDescent="0.25">
      <c r="A134" s="40"/>
      <c r="B134" s="41">
        <v>6403</v>
      </c>
      <c r="C134" s="40" t="s">
        <v>170</v>
      </c>
      <c r="D134" s="42">
        <v>3592094</v>
      </c>
      <c r="E134" s="42">
        <v>4872598</v>
      </c>
      <c r="F134" s="42">
        <v>4699949</v>
      </c>
      <c r="G134" s="42">
        <v>6625382</v>
      </c>
      <c r="H134" s="42">
        <f t="shared" si="36"/>
        <v>4947506</v>
      </c>
      <c r="I134" s="42">
        <v>4803.2299999999814</v>
      </c>
      <c r="J134" s="43">
        <f t="shared" si="28"/>
        <v>9.7083864072119996E-4</v>
      </c>
      <c r="K134" s="44">
        <v>1526393.39</v>
      </c>
      <c r="L134" s="45">
        <f t="shared" si="29"/>
        <v>0.3085177440916696</v>
      </c>
      <c r="M134" s="42">
        <v>0</v>
      </c>
      <c r="N134" s="45">
        <f t="shared" si="37"/>
        <v>0</v>
      </c>
      <c r="O134" s="44">
        <v>361616</v>
      </c>
      <c r="P134" s="44">
        <v>1000735</v>
      </c>
      <c r="Q134" s="44">
        <v>-580481</v>
      </c>
      <c r="R134" s="46">
        <v>0.59040999999999999</v>
      </c>
      <c r="S134" s="46">
        <v>0.65156999999999998</v>
      </c>
      <c r="T134" s="47">
        <f t="shared" si="38"/>
        <v>0.621</v>
      </c>
      <c r="U134" s="48">
        <v>0</v>
      </c>
      <c r="V134" s="45">
        <f t="shared" si="30"/>
        <v>0</v>
      </c>
      <c r="W134" s="49"/>
      <c r="X134" s="50"/>
      <c r="Y134" s="51"/>
      <c r="Z134" s="52"/>
      <c r="AA134" s="45" t="str">
        <f t="shared" si="31"/>
        <v/>
      </c>
      <c r="AB134" s="45" t="str">
        <f t="shared" si="32"/>
        <v/>
      </c>
      <c r="AC134" s="45" t="str">
        <f t="shared" si="33"/>
        <v/>
      </c>
      <c r="AD134" s="53" t="str">
        <f t="shared" si="39"/>
        <v/>
      </c>
      <c r="AE134" s="45">
        <f t="shared" si="34"/>
        <v>0.621</v>
      </c>
      <c r="AF134" s="36">
        <f t="shared" si="40"/>
        <v>1</v>
      </c>
      <c r="AG134" s="54">
        <f t="shared" si="35"/>
        <v>0</v>
      </c>
      <c r="AH134" s="32" t="str">
        <f t="shared" si="41"/>
        <v/>
      </c>
      <c r="AI134" s="50"/>
      <c r="AJ134" s="50">
        <v>1</v>
      </c>
      <c r="AK134" s="50">
        <v>1</v>
      </c>
      <c r="AL134" s="50">
        <v>1</v>
      </c>
      <c r="AM134" s="50">
        <v>1</v>
      </c>
      <c r="AN134" s="50">
        <v>1</v>
      </c>
      <c r="AO134" s="50">
        <v>1</v>
      </c>
      <c r="AP134" s="50">
        <v>1</v>
      </c>
      <c r="AQ134" s="50">
        <v>1</v>
      </c>
      <c r="AR134" s="50">
        <v>2</v>
      </c>
      <c r="AU134" s="39"/>
      <c r="AW134" s="39"/>
    </row>
    <row r="135" spans="1:49" x14ac:dyDescent="0.25">
      <c r="A135" s="40"/>
      <c r="B135" s="41">
        <v>6404</v>
      </c>
      <c r="C135" s="40" t="s">
        <v>167</v>
      </c>
      <c r="D135" s="42">
        <v>101389760</v>
      </c>
      <c r="E135" s="42">
        <v>115817218</v>
      </c>
      <c r="F135" s="42">
        <v>145385191</v>
      </c>
      <c r="G135" s="42">
        <v>168443586</v>
      </c>
      <c r="H135" s="42">
        <f t="shared" si="36"/>
        <v>132758939</v>
      </c>
      <c r="I135" s="42">
        <v>5864647.1100000013</v>
      </c>
      <c r="J135" s="43">
        <f t="shared" si="28"/>
        <v>4.417515802834189E-2</v>
      </c>
      <c r="K135" s="44">
        <v>49880752.490000002</v>
      </c>
      <c r="L135" s="45">
        <f t="shared" si="29"/>
        <v>0.37572424776609581</v>
      </c>
      <c r="M135" s="42">
        <v>4421937</v>
      </c>
      <c r="N135" s="45">
        <f t="shared" si="37"/>
        <v>2.6251738668161578E-2</v>
      </c>
      <c r="O135" s="44">
        <v>1925747</v>
      </c>
      <c r="P135" s="44">
        <v>-22412642</v>
      </c>
      <c r="Q135" s="44">
        <v>-4729605</v>
      </c>
      <c r="R135" s="46">
        <v>0.85089999999999999</v>
      </c>
      <c r="S135" s="46">
        <v>0.77373000000000003</v>
      </c>
      <c r="T135" s="47">
        <f t="shared" si="38"/>
        <v>0.81230000000000002</v>
      </c>
      <c r="U135" s="48">
        <v>0</v>
      </c>
      <c r="V135" s="45">
        <f t="shared" si="30"/>
        <v>0</v>
      </c>
      <c r="W135" s="49"/>
      <c r="X135" s="50"/>
      <c r="Y135" s="51"/>
      <c r="Z135" s="52"/>
      <c r="AA135" s="45" t="str">
        <f t="shared" si="31"/>
        <v/>
      </c>
      <c r="AB135" s="45" t="str">
        <f t="shared" si="32"/>
        <v/>
      </c>
      <c r="AC135" s="45" t="str">
        <f t="shared" si="33"/>
        <v/>
      </c>
      <c r="AD135" s="53" t="str">
        <f t="shared" si="39"/>
        <v/>
      </c>
      <c r="AE135" s="45" t="str">
        <f t="shared" si="34"/>
        <v/>
      </c>
      <c r="AF135" s="36">
        <f t="shared" si="40"/>
        <v>0</v>
      </c>
      <c r="AG135" s="54">
        <f t="shared" si="35"/>
        <v>0</v>
      </c>
      <c r="AH135" s="32" t="str">
        <f t="shared" si="41"/>
        <v/>
      </c>
      <c r="AI135" s="50"/>
      <c r="AJ135" s="50">
        <v>0</v>
      </c>
      <c r="AK135" s="50">
        <v>1</v>
      </c>
      <c r="AL135" s="50">
        <v>1</v>
      </c>
      <c r="AM135" s="50">
        <v>0</v>
      </c>
      <c r="AN135" s="50">
        <v>2</v>
      </c>
      <c r="AO135" s="50">
        <v>3</v>
      </c>
      <c r="AP135" s="50">
        <v>4</v>
      </c>
      <c r="AQ135" s="50">
        <v>3</v>
      </c>
      <c r="AR135" s="50">
        <v>5</v>
      </c>
      <c r="AU135" s="39"/>
      <c r="AW135" s="39"/>
    </row>
    <row r="136" spans="1:49" x14ac:dyDescent="0.25">
      <c r="A136" s="40"/>
      <c r="B136" s="41">
        <v>6405</v>
      </c>
      <c r="C136" s="40" t="s">
        <v>171</v>
      </c>
      <c r="D136" s="42">
        <v>29485178</v>
      </c>
      <c r="E136" s="42">
        <v>28359917</v>
      </c>
      <c r="F136" s="42">
        <v>33327719</v>
      </c>
      <c r="G136" s="42">
        <v>42066794</v>
      </c>
      <c r="H136" s="42">
        <f t="shared" si="36"/>
        <v>33309902</v>
      </c>
      <c r="I136" s="42">
        <v>505425.12000000145</v>
      </c>
      <c r="J136" s="43">
        <f t="shared" si="28"/>
        <v>1.5173419603576181E-2</v>
      </c>
      <c r="K136" s="44">
        <v>13013683.880000001</v>
      </c>
      <c r="L136" s="45">
        <f t="shared" si="29"/>
        <v>0.39068514461555609</v>
      </c>
      <c r="M136" s="42">
        <v>176580</v>
      </c>
      <c r="N136" s="45">
        <f t="shared" si="37"/>
        <v>4.1976101149994935E-3</v>
      </c>
      <c r="O136" s="44">
        <v>616149</v>
      </c>
      <c r="P136" s="44">
        <v>1295962</v>
      </c>
      <c r="Q136" s="44">
        <v>-4400534</v>
      </c>
      <c r="R136" s="46">
        <v>0.73231000000000002</v>
      </c>
      <c r="S136" s="46">
        <v>0.70718000000000003</v>
      </c>
      <c r="T136" s="47">
        <f t="shared" si="38"/>
        <v>0.71970000000000001</v>
      </c>
      <c r="U136" s="48">
        <v>0</v>
      </c>
      <c r="V136" s="45">
        <f t="shared" si="30"/>
        <v>0</v>
      </c>
      <c r="W136" s="49"/>
      <c r="X136" s="50"/>
      <c r="Y136" s="51"/>
      <c r="Z136" s="52"/>
      <c r="AA136" s="45" t="str">
        <f t="shared" si="31"/>
        <v/>
      </c>
      <c r="AB136" s="45" t="str">
        <f t="shared" si="32"/>
        <v/>
      </c>
      <c r="AC136" s="45" t="str">
        <f t="shared" si="33"/>
        <v/>
      </c>
      <c r="AD136" s="53" t="str">
        <f t="shared" si="39"/>
        <v/>
      </c>
      <c r="AE136" s="45">
        <f t="shared" si="34"/>
        <v>0.71970000000000001</v>
      </c>
      <c r="AF136" s="36">
        <f t="shared" si="40"/>
        <v>1</v>
      </c>
      <c r="AG136" s="54">
        <f t="shared" si="35"/>
        <v>0</v>
      </c>
      <c r="AH136" s="32" t="str">
        <f t="shared" si="41"/>
        <v/>
      </c>
      <c r="AI136" s="50"/>
      <c r="AJ136" s="50">
        <v>1</v>
      </c>
      <c r="AK136" s="50">
        <v>1</v>
      </c>
      <c r="AL136" s="50">
        <v>1</v>
      </c>
      <c r="AM136" s="50">
        <v>1</v>
      </c>
      <c r="AN136" s="50">
        <v>1</v>
      </c>
      <c r="AO136" s="50">
        <v>1</v>
      </c>
      <c r="AP136" s="50">
        <v>1</v>
      </c>
      <c r="AQ136" s="50">
        <v>1</v>
      </c>
      <c r="AR136" s="50">
        <v>1</v>
      </c>
      <c r="AU136" s="39"/>
      <c r="AW136" s="39"/>
    </row>
    <row r="137" spans="1:49" x14ac:dyDescent="0.25">
      <c r="A137" s="40"/>
      <c r="B137" s="41">
        <v>6406</v>
      </c>
      <c r="C137" s="40" t="s">
        <v>172</v>
      </c>
      <c r="D137" s="42">
        <v>11377677</v>
      </c>
      <c r="E137" s="42">
        <v>11832789</v>
      </c>
      <c r="F137" s="42">
        <v>12655083</v>
      </c>
      <c r="G137" s="42">
        <v>14870268</v>
      </c>
      <c r="H137" s="42">
        <f t="shared" si="36"/>
        <v>12683954</v>
      </c>
      <c r="I137" s="42">
        <v>2339893.37</v>
      </c>
      <c r="J137" s="43">
        <f t="shared" si="28"/>
        <v>0.18447665215436765</v>
      </c>
      <c r="K137" s="44">
        <v>9898229.1899999995</v>
      </c>
      <c r="L137" s="45">
        <f t="shared" si="29"/>
        <v>0.78037410022142928</v>
      </c>
      <c r="M137" s="42">
        <v>0</v>
      </c>
      <c r="N137" s="45">
        <f t="shared" si="37"/>
        <v>0</v>
      </c>
      <c r="O137" s="44">
        <v>-490576</v>
      </c>
      <c r="P137" s="44">
        <v>39288</v>
      </c>
      <c r="Q137" s="44">
        <v>-399331</v>
      </c>
      <c r="R137" s="46">
        <v>0.47954000000000002</v>
      </c>
      <c r="S137" s="46">
        <v>0.46084000000000003</v>
      </c>
      <c r="T137" s="47">
        <f t="shared" si="38"/>
        <v>0.47020000000000001</v>
      </c>
      <c r="U137" s="48">
        <v>0</v>
      </c>
      <c r="V137" s="45">
        <f t="shared" si="30"/>
        <v>0</v>
      </c>
      <c r="W137" s="49"/>
      <c r="X137" s="50"/>
      <c r="Y137" s="51"/>
      <c r="Z137" s="52"/>
      <c r="AA137" s="45">
        <f t="shared" si="31"/>
        <v>0.18447665215436765</v>
      </c>
      <c r="AB137" s="45">
        <f t="shared" si="32"/>
        <v>0.78037410022142928</v>
      </c>
      <c r="AC137" s="45" t="str">
        <f t="shared" si="33"/>
        <v/>
      </c>
      <c r="AD137" s="53" t="str">
        <f t="shared" si="39"/>
        <v/>
      </c>
      <c r="AE137" s="45">
        <f t="shared" si="34"/>
        <v>0.47020000000000001</v>
      </c>
      <c r="AF137" s="36">
        <f t="shared" si="40"/>
        <v>3</v>
      </c>
      <c r="AG137" s="54">
        <f t="shared" si="35"/>
        <v>0</v>
      </c>
      <c r="AH137" s="32">
        <f t="shared" si="41"/>
        <v>1</v>
      </c>
      <c r="AI137" s="50"/>
      <c r="AJ137" s="50">
        <v>1</v>
      </c>
      <c r="AK137" s="50">
        <v>1</v>
      </c>
      <c r="AL137" s="50">
        <v>1</v>
      </c>
      <c r="AM137" s="50">
        <v>1</v>
      </c>
      <c r="AN137" s="50">
        <v>1</v>
      </c>
      <c r="AO137" s="50">
        <v>1</v>
      </c>
      <c r="AP137" s="50">
        <v>1</v>
      </c>
      <c r="AQ137" s="50">
        <v>1</v>
      </c>
      <c r="AR137" s="50">
        <v>1</v>
      </c>
      <c r="AU137" s="39"/>
      <c r="AW137" s="39"/>
    </row>
    <row r="138" spans="1:49" x14ac:dyDescent="0.25">
      <c r="A138" s="40" t="s">
        <v>173</v>
      </c>
      <c r="B138" s="41">
        <v>6501</v>
      </c>
      <c r="C138" s="40" t="s">
        <v>174</v>
      </c>
      <c r="D138" s="42">
        <v>9192743</v>
      </c>
      <c r="E138" s="42">
        <v>10646954</v>
      </c>
      <c r="F138" s="42">
        <v>14281931</v>
      </c>
      <c r="G138" s="42">
        <v>16308711</v>
      </c>
      <c r="H138" s="42">
        <f t="shared" si="36"/>
        <v>12607585</v>
      </c>
      <c r="I138" s="42">
        <v>508495.26999999938</v>
      </c>
      <c r="J138" s="43">
        <f t="shared" si="28"/>
        <v>4.0332487942774081E-2</v>
      </c>
      <c r="K138" s="44">
        <v>7054571.8700000001</v>
      </c>
      <c r="L138" s="45">
        <f t="shared" si="29"/>
        <v>0.55954981624157207</v>
      </c>
      <c r="M138" s="42">
        <v>213128</v>
      </c>
      <c r="N138" s="45">
        <f t="shared" si="37"/>
        <v>1.3068353470731072E-2</v>
      </c>
      <c r="O138" s="44">
        <v>2760588</v>
      </c>
      <c r="P138" s="44">
        <v>-366954</v>
      </c>
      <c r="Q138" s="44">
        <v>-1690243</v>
      </c>
      <c r="R138" s="46">
        <v>0.75073000000000001</v>
      </c>
      <c r="S138" s="46">
        <v>0.81452000000000002</v>
      </c>
      <c r="T138" s="47">
        <f t="shared" si="38"/>
        <v>0.78259999999999996</v>
      </c>
      <c r="U138" s="48">
        <v>0</v>
      </c>
      <c r="V138" s="45">
        <f t="shared" si="30"/>
        <v>0</v>
      </c>
      <c r="W138" s="49"/>
      <c r="X138" s="50"/>
      <c r="Y138" s="51"/>
      <c r="Z138" s="52"/>
      <c r="AA138" s="45" t="str">
        <f t="shared" si="31"/>
        <v/>
      </c>
      <c r="AB138" s="45">
        <f t="shared" si="32"/>
        <v>0.55954981624157207</v>
      </c>
      <c r="AC138" s="45" t="str">
        <f t="shared" si="33"/>
        <v/>
      </c>
      <c r="AD138" s="53" t="str">
        <f t="shared" si="39"/>
        <v/>
      </c>
      <c r="AE138" s="45" t="str">
        <f t="shared" si="34"/>
        <v/>
      </c>
      <c r="AF138" s="36">
        <f t="shared" si="40"/>
        <v>1</v>
      </c>
      <c r="AG138" s="54">
        <f t="shared" si="35"/>
        <v>0</v>
      </c>
      <c r="AH138" s="32" t="str">
        <f t="shared" si="41"/>
        <v/>
      </c>
      <c r="AI138" s="50"/>
      <c r="AJ138" s="50">
        <v>1</v>
      </c>
      <c r="AK138" s="50">
        <v>1</v>
      </c>
      <c r="AL138" s="50">
        <v>0</v>
      </c>
      <c r="AM138" s="50">
        <v>0</v>
      </c>
      <c r="AN138" s="50">
        <v>1</v>
      </c>
      <c r="AO138" s="50">
        <v>2</v>
      </c>
      <c r="AP138" s="50">
        <v>1</v>
      </c>
      <c r="AQ138" s="50">
        <v>3</v>
      </c>
      <c r="AR138" s="50">
        <v>2</v>
      </c>
      <c r="AU138" s="39"/>
      <c r="AW138" s="39"/>
    </row>
    <row r="139" spans="1:49" x14ac:dyDescent="0.25">
      <c r="A139" s="40"/>
      <c r="B139" s="41">
        <v>6502</v>
      </c>
      <c r="C139" s="40" t="s">
        <v>175</v>
      </c>
      <c r="D139" s="42">
        <v>13580757</v>
      </c>
      <c r="E139" s="42">
        <v>17405314</v>
      </c>
      <c r="F139" s="42">
        <v>21700302</v>
      </c>
      <c r="G139" s="42">
        <v>32564751</v>
      </c>
      <c r="H139" s="42">
        <f t="shared" si="36"/>
        <v>21312781</v>
      </c>
      <c r="I139" s="42">
        <v>995969.28000000119</v>
      </c>
      <c r="J139" s="43">
        <f t="shared" si="28"/>
        <v>4.6731080284642401E-2</v>
      </c>
      <c r="K139" s="44">
        <v>13417297.33</v>
      </c>
      <c r="L139" s="45">
        <f t="shared" si="29"/>
        <v>0.62954230750083717</v>
      </c>
      <c r="M139" s="42">
        <v>0</v>
      </c>
      <c r="N139" s="45">
        <f t="shared" si="37"/>
        <v>0</v>
      </c>
      <c r="O139" s="44">
        <v>266140</v>
      </c>
      <c r="P139" s="44">
        <v>257998</v>
      </c>
      <c r="Q139" s="44">
        <v>-35588</v>
      </c>
      <c r="R139" s="46">
        <v>0.72326000000000001</v>
      </c>
      <c r="S139" s="46">
        <v>0.66137000000000001</v>
      </c>
      <c r="T139" s="47">
        <f t="shared" si="38"/>
        <v>0.69230000000000003</v>
      </c>
      <c r="U139" s="48">
        <v>0</v>
      </c>
      <c r="V139" s="45">
        <f t="shared" si="30"/>
        <v>0</v>
      </c>
      <c r="W139" s="49"/>
      <c r="X139" s="50"/>
      <c r="Y139" s="51"/>
      <c r="Z139" s="52"/>
      <c r="AA139" s="45" t="str">
        <f t="shared" si="31"/>
        <v/>
      </c>
      <c r="AB139" s="45">
        <f t="shared" si="32"/>
        <v>0.62954230750083717</v>
      </c>
      <c r="AC139" s="45" t="str">
        <f t="shared" si="33"/>
        <v/>
      </c>
      <c r="AD139" s="53" t="str">
        <f t="shared" si="39"/>
        <v/>
      </c>
      <c r="AE139" s="45">
        <f t="shared" si="34"/>
        <v>0.69230000000000003</v>
      </c>
      <c r="AF139" s="36">
        <f t="shared" si="40"/>
        <v>2</v>
      </c>
      <c r="AG139" s="54">
        <f t="shared" si="35"/>
        <v>0</v>
      </c>
      <c r="AH139" s="32" t="str">
        <f t="shared" si="41"/>
        <v/>
      </c>
      <c r="AI139" s="50"/>
      <c r="AJ139" s="50">
        <v>2</v>
      </c>
      <c r="AK139" s="50">
        <v>1</v>
      </c>
      <c r="AL139" s="50">
        <v>1</v>
      </c>
      <c r="AM139" s="50">
        <v>1</v>
      </c>
      <c r="AN139" s="50">
        <v>1</v>
      </c>
      <c r="AO139" s="50">
        <v>1</v>
      </c>
      <c r="AP139" s="50">
        <v>1</v>
      </c>
      <c r="AQ139" s="50">
        <v>1</v>
      </c>
      <c r="AR139" s="50">
        <v>1</v>
      </c>
      <c r="AU139" s="39"/>
      <c r="AW139" s="39"/>
    </row>
    <row r="140" spans="1:49" x14ac:dyDescent="0.25">
      <c r="A140" s="40"/>
      <c r="B140" s="41">
        <v>6503</v>
      </c>
      <c r="C140" s="40" t="s">
        <v>176</v>
      </c>
      <c r="D140" s="42">
        <v>18979251</v>
      </c>
      <c r="E140" s="42">
        <v>22190821</v>
      </c>
      <c r="F140" s="42">
        <v>25950330</v>
      </c>
      <c r="G140" s="42">
        <v>34503892</v>
      </c>
      <c r="H140" s="42">
        <f t="shared" si="36"/>
        <v>25406074</v>
      </c>
      <c r="I140" s="42">
        <v>228410.39999999973</v>
      </c>
      <c r="J140" s="43">
        <f t="shared" si="28"/>
        <v>8.9903855274923519E-3</v>
      </c>
      <c r="K140" s="44">
        <v>11995121.699999999</v>
      </c>
      <c r="L140" s="45">
        <f t="shared" si="29"/>
        <v>0.47213598212773839</v>
      </c>
      <c r="M140" s="42">
        <v>0</v>
      </c>
      <c r="N140" s="45">
        <f t="shared" si="37"/>
        <v>0</v>
      </c>
      <c r="O140" s="44">
        <v>1254812</v>
      </c>
      <c r="P140" s="44">
        <v>1362849</v>
      </c>
      <c r="Q140" s="44">
        <v>-2531240</v>
      </c>
      <c r="R140" s="46">
        <v>0.86351</v>
      </c>
      <c r="S140" s="46">
        <v>0.67464000000000002</v>
      </c>
      <c r="T140" s="47">
        <f t="shared" si="38"/>
        <v>0.76910000000000001</v>
      </c>
      <c r="U140" s="48">
        <v>0</v>
      </c>
      <c r="V140" s="45">
        <f t="shared" si="30"/>
        <v>0</v>
      </c>
      <c r="W140" s="49"/>
      <c r="X140" s="50"/>
      <c r="Y140" s="51"/>
      <c r="Z140" s="52"/>
      <c r="AA140" s="45" t="str">
        <f t="shared" si="31"/>
        <v/>
      </c>
      <c r="AB140" s="45" t="str">
        <f t="shared" si="32"/>
        <v/>
      </c>
      <c r="AC140" s="45" t="str">
        <f t="shared" si="33"/>
        <v/>
      </c>
      <c r="AD140" s="53" t="str">
        <f t="shared" si="39"/>
        <v/>
      </c>
      <c r="AE140" s="45" t="str">
        <f t="shared" si="34"/>
        <v/>
      </c>
      <c r="AF140" s="36">
        <f t="shared" si="40"/>
        <v>0</v>
      </c>
      <c r="AG140" s="54">
        <f t="shared" si="35"/>
        <v>0</v>
      </c>
      <c r="AH140" s="32" t="str">
        <f t="shared" si="41"/>
        <v/>
      </c>
      <c r="AI140" s="50"/>
      <c r="AJ140" s="50">
        <v>1</v>
      </c>
      <c r="AK140" s="50">
        <v>1</v>
      </c>
      <c r="AL140" s="50">
        <v>1</v>
      </c>
      <c r="AM140" s="50">
        <v>1</v>
      </c>
      <c r="AN140" s="50">
        <v>1</v>
      </c>
      <c r="AO140" s="50">
        <v>1</v>
      </c>
      <c r="AP140" s="50">
        <v>1</v>
      </c>
      <c r="AQ140" s="50">
        <v>1</v>
      </c>
      <c r="AR140" s="50">
        <v>1</v>
      </c>
      <c r="AU140" s="39"/>
      <c r="AW140" s="39"/>
    </row>
    <row r="141" spans="1:49" x14ac:dyDescent="0.25">
      <c r="A141" s="40"/>
      <c r="B141" s="41">
        <v>6504</v>
      </c>
      <c r="C141" s="40" t="s">
        <v>177</v>
      </c>
      <c r="D141" s="42">
        <v>14287995</v>
      </c>
      <c r="E141" s="42">
        <v>16433541</v>
      </c>
      <c r="F141" s="42">
        <v>19952288</v>
      </c>
      <c r="G141" s="42">
        <v>23817585</v>
      </c>
      <c r="H141" s="42">
        <f t="shared" si="36"/>
        <v>18622852</v>
      </c>
      <c r="I141" s="42">
        <v>1412955.1500000001</v>
      </c>
      <c r="J141" s="43">
        <f t="shared" si="28"/>
        <v>7.5872114002731708E-2</v>
      </c>
      <c r="K141" s="44">
        <v>2300645.9699999997</v>
      </c>
      <c r="L141" s="45">
        <f t="shared" si="29"/>
        <v>0.12353886343509575</v>
      </c>
      <c r="M141" s="42">
        <v>0</v>
      </c>
      <c r="N141" s="45">
        <f t="shared" si="37"/>
        <v>0</v>
      </c>
      <c r="O141" s="44">
        <v>1545708</v>
      </c>
      <c r="P141" s="44">
        <v>649586</v>
      </c>
      <c r="Q141" s="44">
        <v>-1670410</v>
      </c>
      <c r="R141" s="46">
        <v>0.70455999999999996</v>
      </c>
      <c r="S141" s="46">
        <v>0.63236999999999999</v>
      </c>
      <c r="T141" s="47">
        <f t="shared" si="38"/>
        <v>0.66849999999999998</v>
      </c>
      <c r="U141" s="48">
        <v>0</v>
      </c>
      <c r="V141" s="45">
        <f t="shared" si="30"/>
        <v>0</v>
      </c>
      <c r="W141" s="49"/>
      <c r="X141" s="50"/>
      <c r="Y141" s="51"/>
      <c r="Z141" s="52"/>
      <c r="AA141" s="45" t="str">
        <f t="shared" si="31"/>
        <v/>
      </c>
      <c r="AB141" s="45" t="str">
        <f t="shared" si="32"/>
        <v/>
      </c>
      <c r="AC141" s="45" t="str">
        <f t="shared" si="33"/>
        <v/>
      </c>
      <c r="AD141" s="53" t="str">
        <f t="shared" si="39"/>
        <v/>
      </c>
      <c r="AE141" s="45">
        <f t="shared" si="34"/>
        <v>0.66849999999999998</v>
      </c>
      <c r="AF141" s="36">
        <f t="shared" si="40"/>
        <v>1</v>
      </c>
      <c r="AG141" s="54">
        <f t="shared" si="35"/>
        <v>0</v>
      </c>
      <c r="AH141" s="32" t="str">
        <f t="shared" si="41"/>
        <v/>
      </c>
      <c r="AI141" s="50"/>
      <c r="AJ141" s="50">
        <v>1</v>
      </c>
      <c r="AK141" s="50">
        <v>1</v>
      </c>
      <c r="AL141" s="50">
        <v>1</v>
      </c>
      <c r="AM141" s="50">
        <v>1</v>
      </c>
      <c r="AN141" s="50">
        <v>1</v>
      </c>
      <c r="AO141" s="50">
        <v>1</v>
      </c>
      <c r="AP141" s="50">
        <v>1</v>
      </c>
      <c r="AQ141" s="50">
        <v>1</v>
      </c>
      <c r="AR141" s="50">
        <v>1</v>
      </c>
      <c r="AU141" s="39"/>
      <c r="AW141" s="39"/>
    </row>
    <row r="142" spans="1:49" x14ac:dyDescent="0.25">
      <c r="A142" s="40"/>
      <c r="B142" s="41">
        <v>6505</v>
      </c>
      <c r="C142" s="40" t="s">
        <v>178</v>
      </c>
      <c r="D142" s="42">
        <v>7285247</v>
      </c>
      <c r="E142" s="42">
        <v>9838452</v>
      </c>
      <c r="F142" s="42">
        <v>13165811</v>
      </c>
      <c r="G142" s="42">
        <v>11773475</v>
      </c>
      <c r="H142" s="42">
        <f t="shared" si="36"/>
        <v>10515746</v>
      </c>
      <c r="I142" s="42">
        <v>281064.63000000006</v>
      </c>
      <c r="J142" s="43">
        <f t="shared" si="28"/>
        <v>2.6727978214764799E-2</v>
      </c>
      <c r="K142" s="44">
        <v>7363615.3399999999</v>
      </c>
      <c r="L142" s="45">
        <f t="shared" si="29"/>
        <v>0.70024659591435545</v>
      </c>
      <c r="M142" s="42">
        <v>0</v>
      </c>
      <c r="N142" s="45">
        <f t="shared" si="37"/>
        <v>0</v>
      </c>
      <c r="O142" s="44">
        <v>1250902</v>
      </c>
      <c r="P142" s="44">
        <v>-699612</v>
      </c>
      <c r="Q142" s="44">
        <v>2274621</v>
      </c>
      <c r="R142" s="46">
        <v>0.70889999999999997</v>
      </c>
      <c r="S142" s="46">
        <v>0.62990999999999997</v>
      </c>
      <c r="T142" s="47">
        <f t="shared" si="38"/>
        <v>0.6694</v>
      </c>
      <c r="U142" s="48">
        <v>0</v>
      </c>
      <c r="V142" s="45">
        <f t="shared" si="30"/>
        <v>0</v>
      </c>
      <c r="W142" s="49"/>
      <c r="X142" s="50"/>
      <c r="Y142" s="51"/>
      <c r="Z142" s="52"/>
      <c r="AA142" s="45" t="str">
        <f t="shared" si="31"/>
        <v/>
      </c>
      <c r="AB142" s="45">
        <f t="shared" si="32"/>
        <v>0.70024659591435545</v>
      </c>
      <c r="AC142" s="45" t="str">
        <f t="shared" si="33"/>
        <v/>
      </c>
      <c r="AD142" s="53" t="str">
        <f t="shared" si="39"/>
        <v/>
      </c>
      <c r="AE142" s="45">
        <f t="shared" si="34"/>
        <v>0.6694</v>
      </c>
      <c r="AF142" s="36">
        <f t="shared" si="40"/>
        <v>2</v>
      </c>
      <c r="AG142" s="54">
        <f t="shared" si="35"/>
        <v>0</v>
      </c>
      <c r="AH142" s="32" t="str">
        <f t="shared" si="41"/>
        <v/>
      </c>
      <c r="AI142" s="50"/>
      <c r="AJ142" s="50">
        <v>1</v>
      </c>
      <c r="AK142" s="50">
        <v>1</v>
      </c>
      <c r="AL142" s="50">
        <v>1</v>
      </c>
      <c r="AM142" s="50">
        <v>1</v>
      </c>
      <c r="AN142" s="50">
        <v>1</v>
      </c>
      <c r="AO142" s="50">
        <v>1</v>
      </c>
      <c r="AP142" s="50">
        <v>2</v>
      </c>
      <c r="AQ142" s="50">
        <v>1</v>
      </c>
      <c r="AR142" s="50">
        <v>1</v>
      </c>
      <c r="AU142" s="39"/>
      <c r="AW142" s="39"/>
    </row>
    <row r="143" spans="1:49" x14ac:dyDescent="0.25">
      <c r="A143" s="40"/>
      <c r="B143" s="41">
        <v>6506</v>
      </c>
      <c r="C143" s="40" t="s">
        <v>179</v>
      </c>
      <c r="D143" s="42">
        <v>19984278</v>
      </c>
      <c r="E143" s="42">
        <v>29867284</v>
      </c>
      <c r="F143" s="42">
        <v>31309511</v>
      </c>
      <c r="G143" s="42">
        <v>35561338</v>
      </c>
      <c r="H143" s="42">
        <f t="shared" si="36"/>
        <v>29180603</v>
      </c>
      <c r="I143" s="42">
        <v>101509.28999999978</v>
      </c>
      <c r="J143" s="43">
        <f t="shared" si="28"/>
        <v>3.4786563526463033E-3</v>
      </c>
      <c r="K143" s="44">
        <v>17912821.449999999</v>
      </c>
      <c r="L143" s="45">
        <f t="shared" si="29"/>
        <v>0.61386056518434517</v>
      </c>
      <c r="M143" s="42">
        <v>0</v>
      </c>
      <c r="N143" s="45">
        <f t="shared" si="37"/>
        <v>0</v>
      </c>
      <c r="O143" s="44">
        <v>-2019213</v>
      </c>
      <c r="P143" s="44">
        <v>1920547</v>
      </c>
      <c r="Q143" s="44">
        <v>-2781448</v>
      </c>
      <c r="R143" s="46">
        <v>0.72214</v>
      </c>
      <c r="S143" s="46">
        <v>0.69721</v>
      </c>
      <c r="T143" s="47">
        <f t="shared" si="38"/>
        <v>0.7097</v>
      </c>
      <c r="U143" s="48">
        <v>0</v>
      </c>
      <c r="V143" s="45">
        <f t="shared" si="30"/>
        <v>0</v>
      </c>
      <c r="W143" s="49"/>
      <c r="X143" s="50"/>
      <c r="Y143" s="51"/>
      <c r="Z143" s="52"/>
      <c r="AA143" s="45" t="str">
        <f t="shared" si="31"/>
        <v/>
      </c>
      <c r="AB143" s="45">
        <f t="shared" si="32"/>
        <v>0.61386056518434517</v>
      </c>
      <c r="AC143" s="45" t="str">
        <f t="shared" si="33"/>
        <v/>
      </c>
      <c r="AD143" s="53" t="str">
        <f t="shared" si="39"/>
        <v/>
      </c>
      <c r="AE143" s="45">
        <f t="shared" si="34"/>
        <v>0.7097</v>
      </c>
      <c r="AF143" s="36">
        <f t="shared" si="40"/>
        <v>2</v>
      </c>
      <c r="AG143" s="54">
        <f t="shared" si="35"/>
        <v>0</v>
      </c>
      <c r="AH143" s="32" t="str">
        <f t="shared" si="41"/>
        <v/>
      </c>
      <c r="AI143" s="50"/>
      <c r="AJ143" s="50">
        <v>1</v>
      </c>
      <c r="AK143" s="50">
        <v>1</v>
      </c>
      <c r="AL143" s="50">
        <v>1</v>
      </c>
      <c r="AM143" s="50">
        <v>1</v>
      </c>
      <c r="AN143" s="50">
        <v>1</v>
      </c>
      <c r="AO143" s="50">
        <v>1</v>
      </c>
      <c r="AP143" s="50">
        <v>1</v>
      </c>
      <c r="AQ143" s="50">
        <v>0</v>
      </c>
      <c r="AR143" s="50">
        <v>1</v>
      </c>
      <c r="AU143" s="39"/>
      <c r="AW143" s="39"/>
    </row>
    <row r="144" spans="1:49" x14ac:dyDescent="0.25">
      <c r="A144" s="40"/>
      <c r="B144" s="41">
        <v>6507</v>
      </c>
      <c r="C144" s="40" t="s">
        <v>180</v>
      </c>
      <c r="D144" s="42">
        <v>11554412</v>
      </c>
      <c r="E144" s="42">
        <v>13711217</v>
      </c>
      <c r="F144" s="42">
        <v>15518426</v>
      </c>
      <c r="G144" s="42">
        <v>21221967</v>
      </c>
      <c r="H144" s="42">
        <f t="shared" si="36"/>
        <v>15501506</v>
      </c>
      <c r="I144" s="42">
        <v>1021399.0699999997</v>
      </c>
      <c r="J144" s="43">
        <f t="shared" si="28"/>
        <v>6.5890312205794693E-2</v>
      </c>
      <c r="K144" s="44">
        <v>8238120.0599999996</v>
      </c>
      <c r="L144" s="45">
        <f t="shared" si="29"/>
        <v>0.53143998137987369</v>
      </c>
      <c r="M144" s="42">
        <v>796445</v>
      </c>
      <c r="N144" s="45">
        <f t="shared" si="37"/>
        <v>3.7529273323250387E-2</v>
      </c>
      <c r="O144" s="44">
        <v>-481994</v>
      </c>
      <c r="P144" s="44">
        <v>-10222</v>
      </c>
      <c r="Q144" s="44">
        <v>1112838</v>
      </c>
      <c r="R144" s="46">
        <v>0.80120000000000002</v>
      </c>
      <c r="S144" s="46">
        <v>0.71928999999999998</v>
      </c>
      <c r="T144" s="47">
        <f t="shared" si="38"/>
        <v>0.76019999999999999</v>
      </c>
      <c r="U144" s="48">
        <v>0</v>
      </c>
      <c r="V144" s="45">
        <f t="shared" si="30"/>
        <v>0</v>
      </c>
      <c r="W144" s="49"/>
      <c r="X144" s="50"/>
      <c r="Y144" s="51"/>
      <c r="Z144" s="52"/>
      <c r="AA144" s="45" t="str">
        <f t="shared" si="31"/>
        <v/>
      </c>
      <c r="AB144" s="45">
        <f t="shared" si="32"/>
        <v>0.53143998137987369</v>
      </c>
      <c r="AC144" s="45" t="str">
        <f t="shared" si="33"/>
        <v/>
      </c>
      <c r="AD144" s="53" t="str">
        <f t="shared" si="39"/>
        <v/>
      </c>
      <c r="AE144" s="45">
        <f t="shared" si="34"/>
        <v>0.76019999999999999</v>
      </c>
      <c r="AF144" s="36">
        <f t="shared" si="40"/>
        <v>2</v>
      </c>
      <c r="AG144" s="54">
        <f t="shared" si="35"/>
        <v>0</v>
      </c>
      <c r="AH144" s="32" t="str">
        <f t="shared" si="41"/>
        <v/>
      </c>
      <c r="AI144" s="50"/>
      <c r="AJ144" s="50">
        <v>1</v>
      </c>
      <c r="AK144" s="50">
        <v>0</v>
      </c>
      <c r="AL144" s="50">
        <v>0</v>
      </c>
      <c r="AM144" s="50">
        <v>0</v>
      </c>
      <c r="AN144" s="50">
        <v>1</v>
      </c>
      <c r="AO144" s="50">
        <v>2</v>
      </c>
      <c r="AP144" s="50">
        <v>0</v>
      </c>
      <c r="AQ144" s="50">
        <v>1</v>
      </c>
      <c r="AR144" s="50">
        <v>1</v>
      </c>
      <c r="AU144" s="39"/>
      <c r="AW144" s="39"/>
    </row>
    <row r="145" spans="1:49" x14ac:dyDescent="0.25">
      <c r="A145" s="40"/>
      <c r="B145" s="41">
        <v>6508</v>
      </c>
      <c r="C145" s="40" t="s">
        <v>173</v>
      </c>
      <c r="D145" s="42">
        <v>130680100</v>
      </c>
      <c r="E145" s="42">
        <v>157902257</v>
      </c>
      <c r="F145" s="42">
        <v>182978925</v>
      </c>
      <c r="G145" s="42">
        <v>212560550</v>
      </c>
      <c r="H145" s="42">
        <f t="shared" si="36"/>
        <v>171030458</v>
      </c>
      <c r="I145" s="42">
        <v>12376505.090000005</v>
      </c>
      <c r="J145" s="43">
        <f t="shared" si="28"/>
        <v>7.2364333433522152E-2</v>
      </c>
      <c r="K145" s="44">
        <v>74545989.350000009</v>
      </c>
      <c r="L145" s="45">
        <f t="shared" si="29"/>
        <v>0.4358638234483358</v>
      </c>
      <c r="M145" s="42">
        <v>366313</v>
      </c>
      <c r="N145" s="45">
        <f t="shared" si="37"/>
        <v>1.7233348332980885E-3</v>
      </c>
      <c r="O145" s="44">
        <v>6258272</v>
      </c>
      <c r="P145" s="44">
        <v>4576518</v>
      </c>
      <c r="Q145" s="44">
        <v>2526362</v>
      </c>
      <c r="R145" s="46">
        <v>0.83108000000000004</v>
      </c>
      <c r="S145" s="46">
        <v>0.70982000000000001</v>
      </c>
      <c r="T145" s="47">
        <f t="shared" si="38"/>
        <v>0.77049999999999996</v>
      </c>
      <c r="U145" s="48">
        <v>0</v>
      </c>
      <c r="V145" s="45">
        <f t="shared" si="30"/>
        <v>0</v>
      </c>
      <c r="W145" s="49"/>
      <c r="X145" s="50"/>
      <c r="Y145" s="51"/>
      <c r="Z145" s="52"/>
      <c r="AA145" s="45" t="str">
        <f t="shared" si="31"/>
        <v/>
      </c>
      <c r="AB145" s="45" t="str">
        <f t="shared" si="32"/>
        <v/>
      </c>
      <c r="AC145" s="45" t="str">
        <f t="shared" si="33"/>
        <v/>
      </c>
      <c r="AD145" s="53" t="str">
        <f t="shared" si="39"/>
        <v/>
      </c>
      <c r="AE145" s="45" t="str">
        <f t="shared" si="34"/>
        <v/>
      </c>
      <c r="AF145" s="36">
        <f t="shared" si="40"/>
        <v>0</v>
      </c>
      <c r="AG145" s="54">
        <f t="shared" si="35"/>
        <v>0</v>
      </c>
      <c r="AH145" s="32" t="str">
        <f t="shared" si="41"/>
        <v/>
      </c>
      <c r="AI145" s="50"/>
      <c r="AJ145" s="50">
        <v>1</v>
      </c>
      <c r="AK145" s="50">
        <v>1</v>
      </c>
      <c r="AL145" s="50">
        <v>2</v>
      </c>
      <c r="AM145" s="50">
        <v>0</v>
      </c>
      <c r="AN145" s="50">
        <v>1</v>
      </c>
      <c r="AO145" s="50">
        <v>0</v>
      </c>
      <c r="AP145" s="50">
        <v>0</v>
      </c>
      <c r="AQ145" s="50">
        <v>0</v>
      </c>
      <c r="AR145" s="50">
        <v>0</v>
      </c>
      <c r="AU145" s="39"/>
      <c r="AW145" s="39"/>
    </row>
    <row r="146" spans="1:49" x14ac:dyDescent="0.25">
      <c r="A146" s="40"/>
      <c r="B146" s="41">
        <v>6509</v>
      </c>
      <c r="C146" s="40" t="s">
        <v>181</v>
      </c>
      <c r="D146" s="42">
        <v>10026035</v>
      </c>
      <c r="E146" s="42">
        <v>12275579</v>
      </c>
      <c r="F146" s="42">
        <v>13957958</v>
      </c>
      <c r="G146" s="42">
        <v>17266225</v>
      </c>
      <c r="H146" s="42">
        <f t="shared" si="36"/>
        <v>13381449</v>
      </c>
      <c r="I146" s="42">
        <v>159557.36000000016</v>
      </c>
      <c r="J146" s="43">
        <f t="shared" si="28"/>
        <v>1.1923772978546656E-2</v>
      </c>
      <c r="K146" s="44">
        <v>5519242</v>
      </c>
      <c r="L146" s="45">
        <f t="shared" si="29"/>
        <v>0.41245473490950046</v>
      </c>
      <c r="M146" s="42">
        <v>0</v>
      </c>
      <c r="N146" s="45">
        <f t="shared" si="37"/>
        <v>0</v>
      </c>
      <c r="O146" s="44">
        <v>334338</v>
      </c>
      <c r="P146" s="44">
        <v>684755</v>
      </c>
      <c r="Q146" s="44">
        <v>-1068969</v>
      </c>
      <c r="R146" s="46">
        <v>0.81101999999999996</v>
      </c>
      <c r="S146" s="46">
        <v>0.69111</v>
      </c>
      <c r="T146" s="47">
        <f t="shared" si="38"/>
        <v>0.75109999999999999</v>
      </c>
      <c r="U146" s="48">
        <v>0</v>
      </c>
      <c r="V146" s="45">
        <f t="shared" si="30"/>
        <v>0</v>
      </c>
      <c r="W146" s="49"/>
      <c r="X146" s="50"/>
      <c r="Y146" s="51"/>
      <c r="Z146" s="52"/>
      <c r="AA146" s="45" t="str">
        <f t="shared" si="31"/>
        <v/>
      </c>
      <c r="AB146" s="45" t="str">
        <f t="shared" si="32"/>
        <v/>
      </c>
      <c r="AC146" s="45" t="str">
        <f t="shared" si="33"/>
        <v/>
      </c>
      <c r="AD146" s="53" t="str">
        <f t="shared" si="39"/>
        <v/>
      </c>
      <c r="AE146" s="45">
        <f t="shared" si="34"/>
        <v>0.75109999999999999</v>
      </c>
      <c r="AF146" s="36">
        <f t="shared" si="40"/>
        <v>1</v>
      </c>
      <c r="AG146" s="54">
        <f t="shared" si="35"/>
        <v>0</v>
      </c>
      <c r="AH146" s="32" t="str">
        <f t="shared" si="41"/>
        <v/>
      </c>
      <c r="AI146" s="50"/>
      <c r="AJ146" s="50">
        <v>1</v>
      </c>
      <c r="AK146" s="50">
        <v>1</v>
      </c>
      <c r="AL146" s="50">
        <v>1</v>
      </c>
      <c r="AM146" s="50">
        <v>1</v>
      </c>
      <c r="AN146" s="50">
        <v>1</v>
      </c>
      <c r="AO146" s="50">
        <v>0</v>
      </c>
      <c r="AP146" s="50">
        <v>0</v>
      </c>
      <c r="AQ146" s="50">
        <v>0</v>
      </c>
      <c r="AR146" s="50">
        <v>1</v>
      </c>
      <c r="AU146" s="39"/>
      <c r="AW146" s="39"/>
    </row>
    <row r="147" spans="1:49" x14ac:dyDescent="0.25">
      <c r="A147" s="40"/>
      <c r="B147" s="41">
        <v>6510</v>
      </c>
      <c r="C147" s="40" t="s">
        <v>182</v>
      </c>
      <c r="D147" s="42">
        <v>29464073</v>
      </c>
      <c r="E147" s="42">
        <v>35226817</v>
      </c>
      <c r="F147" s="42">
        <v>44738769</v>
      </c>
      <c r="G147" s="42">
        <v>44561531</v>
      </c>
      <c r="H147" s="42">
        <f t="shared" si="36"/>
        <v>38497798</v>
      </c>
      <c r="I147" s="42">
        <v>3107584.2399999988</v>
      </c>
      <c r="J147" s="43">
        <f t="shared" si="28"/>
        <v>8.0721090593285333E-2</v>
      </c>
      <c r="K147" s="44">
        <v>31799105.289999999</v>
      </c>
      <c r="L147" s="45">
        <f t="shared" si="29"/>
        <v>0.82599802954963808</v>
      </c>
      <c r="M147" s="42">
        <v>0</v>
      </c>
      <c r="N147" s="45">
        <f t="shared" si="37"/>
        <v>0</v>
      </c>
      <c r="O147" s="44">
        <v>-517767</v>
      </c>
      <c r="P147" s="44">
        <v>-6120689</v>
      </c>
      <c r="Q147" s="44">
        <v>4917710</v>
      </c>
      <c r="R147" s="46">
        <v>0.74902999999999997</v>
      </c>
      <c r="S147" s="46">
        <v>0.66315999999999997</v>
      </c>
      <c r="T147" s="47">
        <f t="shared" si="38"/>
        <v>0.70609999999999995</v>
      </c>
      <c r="U147" s="48">
        <v>0</v>
      </c>
      <c r="V147" s="45">
        <f t="shared" si="30"/>
        <v>0</v>
      </c>
      <c r="W147" s="49"/>
      <c r="X147" s="50"/>
      <c r="Y147" s="51"/>
      <c r="Z147" s="52"/>
      <c r="AA147" s="45" t="str">
        <f t="shared" si="31"/>
        <v/>
      </c>
      <c r="AB147" s="45">
        <f t="shared" si="32"/>
        <v>0.82599802954963808</v>
      </c>
      <c r="AC147" s="45" t="str">
        <f t="shared" si="33"/>
        <v/>
      </c>
      <c r="AD147" s="53" t="str">
        <f t="shared" si="39"/>
        <v/>
      </c>
      <c r="AE147" s="45">
        <f t="shared" si="34"/>
        <v>0.70609999999999995</v>
      </c>
      <c r="AF147" s="36">
        <f t="shared" si="40"/>
        <v>2</v>
      </c>
      <c r="AG147" s="54">
        <f t="shared" si="35"/>
        <v>0</v>
      </c>
      <c r="AH147" s="32" t="str">
        <f t="shared" si="41"/>
        <v/>
      </c>
      <c r="AI147" s="50"/>
      <c r="AJ147" s="50">
        <v>2</v>
      </c>
      <c r="AK147" s="50">
        <v>1</v>
      </c>
      <c r="AL147" s="50">
        <v>1</v>
      </c>
      <c r="AM147" s="50">
        <v>1</v>
      </c>
      <c r="AN147" s="50">
        <v>2</v>
      </c>
      <c r="AO147" s="50">
        <v>1</v>
      </c>
      <c r="AP147" s="50">
        <v>1</v>
      </c>
      <c r="AQ147" s="50">
        <v>1</v>
      </c>
      <c r="AR147" s="50">
        <v>1</v>
      </c>
      <c r="AU147" s="39"/>
      <c r="AW147" s="39"/>
    </row>
    <row r="148" spans="1:49" x14ac:dyDescent="0.25">
      <c r="A148" s="40"/>
      <c r="B148" s="41">
        <v>6511</v>
      </c>
      <c r="C148" s="40" t="s">
        <v>183</v>
      </c>
      <c r="D148" s="42">
        <v>19585760</v>
      </c>
      <c r="E148" s="42">
        <v>21825810</v>
      </c>
      <c r="F148" s="42">
        <v>26017054</v>
      </c>
      <c r="G148" s="42">
        <v>36997397</v>
      </c>
      <c r="H148" s="42">
        <f t="shared" si="36"/>
        <v>26106505</v>
      </c>
      <c r="I148" s="42">
        <v>885883.8699999993</v>
      </c>
      <c r="J148" s="43">
        <f t="shared" si="28"/>
        <v>3.3933453367273762E-2</v>
      </c>
      <c r="K148" s="44">
        <v>8540021.6699999999</v>
      </c>
      <c r="L148" s="45">
        <f t="shared" si="29"/>
        <v>0.32712236547940832</v>
      </c>
      <c r="M148" s="42">
        <v>0</v>
      </c>
      <c r="N148" s="45">
        <f t="shared" si="37"/>
        <v>0</v>
      </c>
      <c r="O148" s="44">
        <v>243544</v>
      </c>
      <c r="P148" s="44">
        <v>2330101</v>
      </c>
      <c r="Q148" s="44">
        <v>-3474105</v>
      </c>
      <c r="R148" s="46">
        <v>0.80313999999999997</v>
      </c>
      <c r="S148" s="46">
        <v>0.7006</v>
      </c>
      <c r="T148" s="47">
        <f t="shared" si="38"/>
        <v>0.75190000000000001</v>
      </c>
      <c r="U148" s="48">
        <v>0</v>
      </c>
      <c r="V148" s="45">
        <f t="shared" si="30"/>
        <v>0</v>
      </c>
      <c r="W148" s="49"/>
      <c r="X148" s="50"/>
      <c r="Y148" s="51"/>
      <c r="Z148" s="52"/>
      <c r="AA148" s="45" t="str">
        <f t="shared" si="31"/>
        <v/>
      </c>
      <c r="AB148" s="45" t="str">
        <f t="shared" si="32"/>
        <v/>
      </c>
      <c r="AC148" s="45" t="str">
        <f t="shared" si="33"/>
        <v/>
      </c>
      <c r="AD148" s="53" t="str">
        <f t="shared" si="39"/>
        <v/>
      </c>
      <c r="AE148" s="45">
        <f t="shared" si="34"/>
        <v>0.75190000000000001</v>
      </c>
      <c r="AF148" s="36">
        <f t="shared" si="40"/>
        <v>1</v>
      </c>
      <c r="AG148" s="54">
        <f t="shared" si="35"/>
        <v>0</v>
      </c>
      <c r="AH148" s="32" t="str">
        <f t="shared" si="41"/>
        <v/>
      </c>
      <c r="AI148" s="50"/>
      <c r="AJ148" s="50">
        <v>1</v>
      </c>
      <c r="AK148" s="50">
        <v>1</v>
      </c>
      <c r="AL148" s="50">
        <v>2</v>
      </c>
      <c r="AM148" s="50">
        <v>1</v>
      </c>
      <c r="AN148" s="50">
        <v>1</v>
      </c>
      <c r="AO148" s="50">
        <v>0</v>
      </c>
      <c r="AP148" s="50">
        <v>0</v>
      </c>
      <c r="AQ148" s="50">
        <v>1</v>
      </c>
      <c r="AR148" s="50">
        <v>0</v>
      </c>
      <c r="AU148" s="39"/>
      <c r="AW148" s="39"/>
    </row>
    <row r="149" spans="1:49" x14ac:dyDescent="0.25">
      <c r="A149" s="40" t="s">
        <v>184</v>
      </c>
      <c r="B149" s="41">
        <v>6601</v>
      </c>
      <c r="C149" s="40" t="s">
        <v>185</v>
      </c>
      <c r="D149" s="42">
        <v>56185557</v>
      </c>
      <c r="E149" s="42">
        <v>66161003</v>
      </c>
      <c r="F149" s="42">
        <v>81240943</v>
      </c>
      <c r="G149" s="42">
        <v>95107593</v>
      </c>
      <c r="H149" s="42">
        <f t="shared" si="36"/>
        <v>74673774</v>
      </c>
      <c r="I149" s="42">
        <v>3902163.3600000008</v>
      </c>
      <c r="J149" s="43">
        <f t="shared" si="28"/>
        <v>5.2256142297026541E-2</v>
      </c>
      <c r="K149" s="44">
        <v>60745007.890000001</v>
      </c>
      <c r="L149" s="45">
        <f t="shared" si="29"/>
        <v>0.81347178046739677</v>
      </c>
      <c r="M149" s="42">
        <v>0</v>
      </c>
      <c r="N149" s="45">
        <f t="shared" si="37"/>
        <v>0</v>
      </c>
      <c r="O149" s="44">
        <v>2064214</v>
      </c>
      <c r="P149" s="44">
        <v>732885</v>
      </c>
      <c r="Q149" s="44">
        <v>3083023</v>
      </c>
      <c r="R149" s="46">
        <v>0.87124000000000001</v>
      </c>
      <c r="S149" s="46">
        <v>0.78127000000000002</v>
      </c>
      <c r="T149" s="47">
        <f t="shared" si="38"/>
        <v>0.82630000000000003</v>
      </c>
      <c r="U149" s="48">
        <v>0</v>
      </c>
      <c r="V149" s="45">
        <f t="shared" si="30"/>
        <v>0</v>
      </c>
      <c r="W149" s="49"/>
      <c r="X149" s="50"/>
      <c r="Y149" s="51"/>
      <c r="Z149" s="52"/>
      <c r="AA149" s="45" t="str">
        <f t="shared" si="31"/>
        <v/>
      </c>
      <c r="AB149" s="45">
        <f t="shared" si="32"/>
        <v>0.81347178046739677</v>
      </c>
      <c r="AC149" s="45" t="str">
        <f t="shared" si="33"/>
        <v/>
      </c>
      <c r="AD149" s="53" t="str">
        <f t="shared" si="39"/>
        <v/>
      </c>
      <c r="AE149" s="45" t="str">
        <f t="shared" si="34"/>
        <v/>
      </c>
      <c r="AF149" s="36">
        <f t="shared" si="40"/>
        <v>1</v>
      </c>
      <c r="AG149" s="54">
        <f t="shared" si="35"/>
        <v>0</v>
      </c>
      <c r="AH149" s="32" t="str">
        <f t="shared" si="41"/>
        <v/>
      </c>
      <c r="AI149" s="50"/>
      <c r="AJ149" s="50">
        <v>0</v>
      </c>
      <c r="AK149" s="50">
        <v>1</v>
      </c>
      <c r="AL149" s="50">
        <v>0</v>
      </c>
      <c r="AM149" s="50">
        <v>0</v>
      </c>
      <c r="AN149" s="50">
        <v>0</v>
      </c>
      <c r="AO149" s="50">
        <v>1</v>
      </c>
      <c r="AP149" s="50">
        <v>1</v>
      </c>
      <c r="AQ149" s="50">
        <v>0</v>
      </c>
      <c r="AR149" s="50">
        <v>1</v>
      </c>
      <c r="AU149" s="39"/>
      <c r="AW149" s="39"/>
    </row>
    <row r="150" spans="1:49" x14ac:dyDescent="0.25">
      <c r="A150" s="40"/>
      <c r="B150" s="41">
        <v>6602</v>
      </c>
      <c r="C150" s="40" t="s">
        <v>186</v>
      </c>
      <c r="D150" s="42">
        <v>11298555</v>
      </c>
      <c r="E150" s="42">
        <v>11154169</v>
      </c>
      <c r="F150" s="42">
        <v>13757834</v>
      </c>
      <c r="G150" s="42">
        <v>17927634</v>
      </c>
      <c r="H150" s="42">
        <f t="shared" si="36"/>
        <v>13534548</v>
      </c>
      <c r="I150" s="42">
        <v>222272.72999999943</v>
      </c>
      <c r="J150" s="43">
        <f t="shared" si="28"/>
        <v>1.6422619358991482E-2</v>
      </c>
      <c r="K150" s="44">
        <v>8444153.4100000001</v>
      </c>
      <c r="L150" s="45">
        <f t="shared" si="29"/>
        <v>0.6238962254225261</v>
      </c>
      <c r="M150" s="42">
        <v>0</v>
      </c>
      <c r="N150" s="45">
        <f t="shared" si="37"/>
        <v>0</v>
      </c>
      <c r="O150" s="44">
        <v>1482486</v>
      </c>
      <c r="P150" s="44">
        <v>1029473</v>
      </c>
      <c r="Q150" s="44">
        <v>88690</v>
      </c>
      <c r="R150" s="46">
        <v>0.74663999999999997</v>
      </c>
      <c r="S150" s="46">
        <v>0.72560999999999998</v>
      </c>
      <c r="T150" s="47">
        <f t="shared" si="38"/>
        <v>0.73609999999999998</v>
      </c>
      <c r="U150" s="48">
        <v>0</v>
      </c>
      <c r="V150" s="45">
        <f t="shared" si="30"/>
        <v>0</v>
      </c>
      <c r="W150" s="49"/>
      <c r="X150" s="50"/>
      <c r="Y150" s="51"/>
      <c r="Z150" s="52"/>
      <c r="AA150" s="45" t="str">
        <f t="shared" si="31"/>
        <v/>
      </c>
      <c r="AB150" s="45">
        <f t="shared" si="32"/>
        <v>0.6238962254225261</v>
      </c>
      <c r="AC150" s="45" t="str">
        <f t="shared" si="33"/>
        <v/>
      </c>
      <c r="AD150" s="53" t="str">
        <f t="shared" si="39"/>
        <v/>
      </c>
      <c r="AE150" s="45">
        <f t="shared" si="34"/>
        <v>0.73609999999999998</v>
      </c>
      <c r="AF150" s="36">
        <f t="shared" si="40"/>
        <v>2</v>
      </c>
      <c r="AG150" s="54">
        <f t="shared" si="35"/>
        <v>0</v>
      </c>
      <c r="AH150" s="32" t="str">
        <f t="shared" si="41"/>
        <v/>
      </c>
      <c r="AI150" s="50"/>
      <c r="AJ150" s="50">
        <v>2</v>
      </c>
      <c r="AK150" s="50">
        <v>0</v>
      </c>
      <c r="AL150" s="50">
        <v>1</v>
      </c>
      <c r="AM150" s="50">
        <v>0</v>
      </c>
      <c r="AN150" s="50">
        <v>0</v>
      </c>
      <c r="AO150" s="50">
        <v>1</v>
      </c>
      <c r="AP150" s="50">
        <v>0</v>
      </c>
      <c r="AQ150" s="50">
        <v>0</v>
      </c>
      <c r="AR150" s="50">
        <v>0</v>
      </c>
      <c r="AU150" s="39"/>
      <c r="AW150" s="39"/>
    </row>
    <row r="151" spans="1:49" x14ac:dyDescent="0.25">
      <c r="A151" s="40"/>
      <c r="B151" s="41">
        <v>6603</v>
      </c>
      <c r="C151" s="40" t="s">
        <v>187</v>
      </c>
      <c r="D151" s="42">
        <v>12147898</v>
      </c>
      <c r="E151" s="42">
        <v>13766697</v>
      </c>
      <c r="F151" s="42">
        <v>16607072</v>
      </c>
      <c r="G151" s="42">
        <v>21560796</v>
      </c>
      <c r="H151" s="42">
        <f t="shared" si="36"/>
        <v>16020616</v>
      </c>
      <c r="I151" s="42">
        <v>305543.63000000105</v>
      </c>
      <c r="J151" s="43">
        <f t="shared" si="28"/>
        <v>1.9071902728334606E-2</v>
      </c>
      <c r="K151" s="44">
        <v>5104140.8699999992</v>
      </c>
      <c r="L151" s="45">
        <f t="shared" si="29"/>
        <v>0.31859829047771943</v>
      </c>
      <c r="M151" s="42">
        <v>0</v>
      </c>
      <c r="N151" s="45">
        <f t="shared" si="37"/>
        <v>0</v>
      </c>
      <c r="O151" s="44">
        <v>850171</v>
      </c>
      <c r="P151" s="44">
        <v>523429</v>
      </c>
      <c r="Q151" s="44">
        <v>1103713</v>
      </c>
      <c r="R151" s="46">
        <v>0.79420999999999997</v>
      </c>
      <c r="S151" s="46">
        <v>0.74507999999999996</v>
      </c>
      <c r="T151" s="47">
        <f t="shared" si="38"/>
        <v>0.76959999999999995</v>
      </c>
      <c r="U151" s="48">
        <v>0</v>
      </c>
      <c r="V151" s="45">
        <f t="shared" si="30"/>
        <v>0</v>
      </c>
      <c r="W151" s="49"/>
      <c r="X151" s="50"/>
      <c r="Y151" s="51"/>
      <c r="Z151" s="52"/>
      <c r="AA151" s="45" t="str">
        <f t="shared" si="31"/>
        <v/>
      </c>
      <c r="AB151" s="45" t="str">
        <f t="shared" si="32"/>
        <v/>
      </c>
      <c r="AC151" s="45" t="str">
        <f t="shared" si="33"/>
        <v/>
      </c>
      <c r="AD151" s="53" t="str">
        <f t="shared" si="39"/>
        <v/>
      </c>
      <c r="AE151" s="45" t="str">
        <f t="shared" si="34"/>
        <v/>
      </c>
      <c r="AF151" s="36">
        <f t="shared" si="40"/>
        <v>0</v>
      </c>
      <c r="AG151" s="54">
        <f t="shared" si="35"/>
        <v>0</v>
      </c>
      <c r="AH151" s="32" t="str">
        <f t="shared" si="41"/>
        <v/>
      </c>
      <c r="AI151" s="50"/>
      <c r="AJ151" s="50">
        <v>0</v>
      </c>
      <c r="AK151" s="50">
        <v>0</v>
      </c>
      <c r="AL151" s="50">
        <v>0</v>
      </c>
      <c r="AM151" s="50">
        <v>0</v>
      </c>
      <c r="AN151" s="50">
        <v>0</v>
      </c>
      <c r="AO151" s="50">
        <v>0</v>
      </c>
      <c r="AP151" s="50">
        <v>0</v>
      </c>
      <c r="AQ151" s="50">
        <v>1</v>
      </c>
      <c r="AR151" s="50">
        <v>1</v>
      </c>
      <c r="AU151" s="39"/>
      <c r="AW151" s="39"/>
    </row>
    <row r="152" spans="1:49" x14ac:dyDescent="0.25">
      <c r="A152" s="40"/>
      <c r="B152" s="41">
        <v>6604</v>
      </c>
      <c r="C152" s="40" t="s">
        <v>188</v>
      </c>
      <c r="D152" s="42">
        <v>50841641</v>
      </c>
      <c r="E152" s="42">
        <v>67797940</v>
      </c>
      <c r="F152" s="42">
        <v>101345655</v>
      </c>
      <c r="G152" s="42">
        <v>97639702</v>
      </c>
      <c r="H152" s="42">
        <f t="shared" si="36"/>
        <v>79406235</v>
      </c>
      <c r="I152" s="42">
        <v>9169807.3400000073</v>
      </c>
      <c r="J152" s="43">
        <f t="shared" si="28"/>
        <v>0.11547968922087802</v>
      </c>
      <c r="K152" s="44">
        <v>116599056.17</v>
      </c>
      <c r="L152" s="45">
        <f t="shared" si="29"/>
        <v>1.4683866596873658</v>
      </c>
      <c r="M152" s="42">
        <v>7529</v>
      </c>
      <c r="N152" s="45">
        <f t="shared" si="37"/>
        <v>7.711002641118262E-5</v>
      </c>
      <c r="O152" s="44">
        <v>18241525</v>
      </c>
      <c r="P152" s="44">
        <v>-11355339</v>
      </c>
      <c r="Q152" s="44">
        <v>10058502</v>
      </c>
      <c r="R152" s="46">
        <v>0.89075000000000004</v>
      </c>
      <c r="S152" s="46">
        <v>0.73826000000000003</v>
      </c>
      <c r="T152" s="47">
        <f t="shared" si="38"/>
        <v>0.8145</v>
      </c>
      <c r="U152" s="48">
        <v>0</v>
      </c>
      <c r="V152" s="45">
        <f t="shared" si="30"/>
        <v>0</v>
      </c>
      <c r="W152" s="49"/>
      <c r="X152" s="50"/>
      <c r="Y152" s="51"/>
      <c r="Z152" s="52"/>
      <c r="AA152" s="45" t="str">
        <f t="shared" si="31"/>
        <v/>
      </c>
      <c r="AB152" s="45">
        <f t="shared" si="32"/>
        <v>1.4683866596873658</v>
      </c>
      <c r="AC152" s="45" t="str">
        <f t="shared" si="33"/>
        <v/>
      </c>
      <c r="AD152" s="53" t="str">
        <f t="shared" si="39"/>
        <v/>
      </c>
      <c r="AE152" s="45" t="str">
        <f t="shared" si="34"/>
        <v/>
      </c>
      <c r="AF152" s="36">
        <f t="shared" si="40"/>
        <v>1</v>
      </c>
      <c r="AG152" s="54">
        <f t="shared" si="35"/>
        <v>0</v>
      </c>
      <c r="AH152" s="32" t="str">
        <f t="shared" si="41"/>
        <v/>
      </c>
      <c r="AI152" s="50"/>
      <c r="AJ152" s="50">
        <v>1</v>
      </c>
      <c r="AK152" s="50">
        <v>1</v>
      </c>
      <c r="AL152" s="50">
        <v>1</v>
      </c>
      <c r="AM152" s="50">
        <v>1</v>
      </c>
      <c r="AN152" s="50">
        <v>2</v>
      </c>
      <c r="AO152" s="50">
        <v>1</v>
      </c>
      <c r="AP152" s="50">
        <v>2</v>
      </c>
      <c r="AQ152" s="50">
        <v>2</v>
      </c>
      <c r="AR152" s="50">
        <v>3</v>
      </c>
      <c r="AU152" s="39"/>
      <c r="AW152" s="39"/>
    </row>
    <row r="153" spans="1:49" x14ac:dyDescent="0.25">
      <c r="A153" s="40"/>
      <c r="B153" s="41">
        <v>6605</v>
      </c>
      <c r="C153" s="40" t="s">
        <v>189</v>
      </c>
      <c r="D153" s="42">
        <v>8133001</v>
      </c>
      <c r="E153" s="42">
        <v>9919515</v>
      </c>
      <c r="F153" s="42">
        <v>11572552</v>
      </c>
      <c r="G153" s="42">
        <v>11689567</v>
      </c>
      <c r="H153" s="42">
        <f t="shared" si="36"/>
        <v>10328659</v>
      </c>
      <c r="I153" s="42">
        <v>554045.32000000076</v>
      </c>
      <c r="J153" s="43">
        <f t="shared" si="28"/>
        <v>5.3641554048788016E-2</v>
      </c>
      <c r="K153" s="44">
        <v>10834050.530000001</v>
      </c>
      <c r="L153" s="45">
        <f t="shared" si="29"/>
        <v>1.0489309919128902</v>
      </c>
      <c r="M153" s="42">
        <v>0</v>
      </c>
      <c r="N153" s="45">
        <f t="shared" si="37"/>
        <v>0</v>
      </c>
      <c r="O153" s="44">
        <v>-626466</v>
      </c>
      <c r="P153" s="44">
        <v>1199442</v>
      </c>
      <c r="Q153" s="44">
        <v>858946</v>
      </c>
      <c r="R153" s="46">
        <v>0.89737</v>
      </c>
      <c r="S153" s="46">
        <v>0.77790999999999999</v>
      </c>
      <c r="T153" s="47">
        <f t="shared" si="38"/>
        <v>0.83760000000000001</v>
      </c>
      <c r="U153" s="48">
        <v>0</v>
      </c>
      <c r="V153" s="45">
        <f t="shared" si="30"/>
        <v>0</v>
      </c>
      <c r="W153" s="49"/>
      <c r="X153" s="50"/>
      <c r="Y153" s="51">
        <v>0.2888</v>
      </c>
      <c r="Z153" s="52"/>
      <c r="AA153" s="45" t="str">
        <f t="shared" si="31"/>
        <v/>
      </c>
      <c r="AB153" s="45">
        <f t="shared" si="32"/>
        <v>1.0489309919128902</v>
      </c>
      <c r="AC153" s="45" t="str">
        <f t="shared" si="33"/>
        <v/>
      </c>
      <c r="AD153" s="53" t="str">
        <f t="shared" si="39"/>
        <v/>
      </c>
      <c r="AE153" s="45" t="str">
        <f t="shared" si="34"/>
        <v/>
      </c>
      <c r="AF153" s="36">
        <f t="shared" si="40"/>
        <v>2</v>
      </c>
      <c r="AG153" s="54">
        <f t="shared" si="35"/>
        <v>0</v>
      </c>
      <c r="AH153" s="32" t="str">
        <f t="shared" si="41"/>
        <v/>
      </c>
      <c r="AI153" s="50"/>
      <c r="AJ153" s="50">
        <v>0</v>
      </c>
      <c r="AK153" s="50">
        <v>0</v>
      </c>
      <c r="AL153" s="50">
        <v>0</v>
      </c>
      <c r="AM153" s="50">
        <v>0</v>
      </c>
      <c r="AN153" s="50">
        <v>1</v>
      </c>
      <c r="AO153" s="50">
        <v>1</v>
      </c>
      <c r="AP153" s="50">
        <v>1</v>
      </c>
      <c r="AQ153" s="50">
        <v>0</v>
      </c>
      <c r="AR153" s="50">
        <v>0</v>
      </c>
      <c r="AU153" s="39"/>
      <c r="AW153" s="39"/>
    </row>
    <row r="154" spans="1:49" x14ac:dyDescent="0.25">
      <c r="A154" s="40"/>
      <c r="B154" s="41">
        <v>6606</v>
      </c>
      <c r="C154" s="40" t="s">
        <v>190</v>
      </c>
      <c r="D154" s="42">
        <v>6261045</v>
      </c>
      <c r="E154" s="42">
        <v>5582239</v>
      </c>
      <c r="F154" s="42">
        <v>9247164</v>
      </c>
      <c r="G154" s="42">
        <v>13397727</v>
      </c>
      <c r="H154" s="42">
        <f t="shared" si="36"/>
        <v>8622044</v>
      </c>
      <c r="I154" s="42">
        <v>421407.21000000101</v>
      </c>
      <c r="J154" s="43">
        <f t="shared" si="28"/>
        <v>4.8875557814365249E-2</v>
      </c>
      <c r="K154" s="44">
        <v>9335820.3099999987</v>
      </c>
      <c r="L154" s="45">
        <f t="shared" si="29"/>
        <v>1.0827850460981177</v>
      </c>
      <c r="M154" s="42">
        <v>0</v>
      </c>
      <c r="N154" s="45">
        <f t="shared" si="37"/>
        <v>0</v>
      </c>
      <c r="O154" s="44">
        <v>3773938</v>
      </c>
      <c r="P154" s="44">
        <v>1029459</v>
      </c>
      <c r="Q154" s="44">
        <v>-4099896</v>
      </c>
      <c r="R154" s="46">
        <v>0.97636000000000001</v>
      </c>
      <c r="S154" s="46">
        <v>0.87763000000000002</v>
      </c>
      <c r="T154" s="47">
        <f t="shared" si="38"/>
        <v>0.92700000000000005</v>
      </c>
      <c r="U154" s="48">
        <v>0</v>
      </c>
      <c r="V154" s="45">
        <f t="shared" si="30"/>
        <v>0</v>
      </c>
      <c r="W154" s="49"/>
      <c r="X154" s="50"/>
      <c r="Y154" s="51"/>
      <c r="Z154" s="52"/>
      <c r="AA154" s="45" t="str">
        <f t="shared" si="31"/>
        <v/>
      </c>
      <c r="AB154" s="45">
        <f t="shared" si="32"/>
        <v>1.0827850460981177</v>
      </c>
      <c r="AC154" s="45" t="str">
        <f t="shared" si="33"/>
        <v/>
      </c>
      <c r="AD154" s="53" t="str">
        <f t="shared" si="39"/>
        <v/>
      </c>
      <c r="AE154" s="45" t="str">
        <f t="shared" si="34"/>
        <v/>
      </c>
      <c r="AF154" s="36">
        <f t="shared" si="40"/>
        <v>1</v>
      </c>
      <c r="AG154" s="54">
        <f t="shared" si="35"/>
        <v>0</v>
      </c>
      <c r="AH154" s="32" t="str">
        <f t="shared" si="41"/>
        <v/>
      </c>
      <c r="AI154" s="50"/>
      <c r="AJ154" s="50">
        <v>1</v>
      </c>
      <c r="AK154" s="50">
        <v>0</v>
      </c>
      <c r="AL154" s="50">
        <v>0</v>
      </c>
      <c r="AM154" s="50">
        <v>0</v>
      </c>
      <c r="AN154" s="50">
        <v>0</v>
      </c>
      <c r="AO154" s="50">
        <v>0</v>
      </c>
      <c r="AP154" s="50">
        <v>0</v>
      </c>
      <c r="AQ154" s="50">
        <v>0</v>
      </c>
      <c r="AR154" s="50">
        <v>0</v>
      </c>
      <c r="AU154" s="39"/>
      <c r="AW154" s="39"/>
    </row>
    <row r="155" spans="1:49" x14ac:dyDescent="0.25">
      <c r="A155" s="40"/>
      <c r="B155" s="41">
        <v>6607</v>
      </c>
      <c r="C155" s="40" t="s">
        <v>191</v>
      </c>
      <c r="D155" s="42">
        <v>35183078</v>
      </c>
      <c r="E155" s="42">
        <v>45424715</v>
      </c>
      <c r="F155" s="42">
        <v>54516746</v>
      </c>
      <c r="G155" s="42">
        <v>60389632</v>
      </c>
      <c r="H155" s="42">
        <f t="shared" si="36"/>
        <v>48878543</v>
      </c>
      <c r="I155" s="42">
        <v>3043364.7400000007</v>
      </c>
      <c r="J155" s="43">
        <f t="shared" si="28"/>
        <v>6.2263818706707372E-2</v>
      </c>
      <c r="K155" s="44">
        <v>44691354.229999997</v>
      </c>
      <c r="L155" s="45">
        <f t="shared" si="29"/>
        <v>0.91433482847473579</v>
      </c>
      <c r="M155" s="42">
        <v>0</v>
      </c>
      <c r="N155" s="45">
        <f t="shared" si="37"/>
        <v>0</v>
      </c>
      <c r="O155" s="44">
        <v>6550650</v>
      </c>
      <c r="P155" s="44">
        <v>4608058</v>
      </c>
      <c r="Q155" s="44">
        <v>6819470</v>
      </c>
      <c r="R155" s="46">
        <v>0.87278999999999995</v>
      </c>
      <c r="S155" s="46">
        <v>0.74792000000000003</v>
      </c>
      <c r="T155" s="47">
        <f t="shared" si="38"/>
        <v>0.81040000000000001</v>
      </c>
      <c r="U155" s="48">
        <v>0</v>
      </c>
      <c r="V155" s="45">
        <f t="shared" si="30"/>
        <v>0</v>
      </c>
      <c r="W155" s="49"/>
      <c r="X155" s="50"/>
      <c r="Y155" s="51"/>
      <c r="Z155" s="52"/>
      <c r="AA155" s="45" t="str">
        <f t="shared" si="31"/>
        <v/>
      </c>
      <c r="AB155" s="45">
        <f t="shared" si="32"/>
        <v>0.91433482847473579</v>
      </c>
      <c r="AC155" s="45" t="str">
        <f t="shared" si="33"/>
        <v/>
      </c>
      <c r="AD155" s="53" t="str">
        <f t="shared" si="39"/>
        <v/>
      </c>
      <c r="AE155" s="45" t="str">
        <f t="shared" si="34"/>
        <v/>
      </c>
      <c r="AF155" s="36">
        <f t="shared" si="40"/>
        <v>1</v>
      </c>
      <c r="AG155" s="54">
        <f t="shared" si="35"/>
        <v>0</v>
      </c>
      <c r="AH155" s="32" t="str">
        <f t="shared" si="41"/>
        <v/>
      </c>
      <c r="AI155" s="50"/>
      <c r="AJ155" s="50">
        <v>1</v>
      </c>
      <c r="AK155" s="50">
        <v>1</v>
      </c>
      <c r="AL155" s="50">
        <v>1</v>
      </c>
      <c r="AM155" s="50">
        <v>1</v>
      </c>
      <c r="AN155" s="50">
        <v>1</v>
      </c>
      <c r="AO155" s="50">
        <v>1</v>
      </c>
      <c r="AP155" s="50">
        <v>1</v>
      </c>
      <c r="AQ155" s="50">
        <v>0</v>
      </c>
      <c r="AR155" s="50">
        <v>1</v>
      </c>
      <c r="AU155" s="39"/>
      <c r="AW155" s="39"/>
    </row>
    <row r="156" spans="1:49" x14ac:dyDescent="0.25">
      <c r="A156" s="40"/>
      <c r="B156" s="41">
        <v>6608</v>
      </c>
      <c r="C156" s="40" t="s">
        <v>192</v>
      </c>
      <c r="D156" s="42">
        <v>6759681</v>
      </c>
      <c r="E156" s="42">
        <v>8541669</v>
      </c>
      <c r="F156" s="42">
        <v>13158957</v>
      </c>
      <c r="G156" s="42">
        <v>13343018</v>
      </c>
      <c r="H156" s="42">
        <f t="shared" si="36"/>
        <v>10450831</v>
      </c>
      <c r="I156" s="42">
        <v>333824.47000000079</v>
      </c>
      <c r="J156" s="43">
        <f t="shared" si="28"/>
        <v>3.194238525146955E-2</v>
      </c>
      <c r="K156" s="44">
        <v>15699009.129999999</v>
      </c>
      <c r="L156" s="45">
        <f t="shared" si="29"/>
        <v>1.5021780689018891</v>
      </c>
      <c r="M156" s="42">
        <v>0</v>
      </c>
      <c r="N156" s="45">
        <f t="shared" si="37"/>
        <v>0</v>
      </c>
      <c r="O156" s="44">
        <v>1507750</v>
      </c>
      <c r="P156" s="44">
        <v>1126168</v>
      </c>
      <c r="Q156" s="44">
        <v>-1519474</v>
      </c>
      <c r="R156" s="46">
        <v>0.78051000000000004</v>
      </c>
      <c r="S156" s="46">
        <v>0.75251999999999997</v>
      </c>
      <c r="T156" s="47">
        <f t="shared" si="38"/>
        <v>0.76649999999999996</v>
      </c>
      <c r="U156" s="48">
        <v>0</v>
      </c>
      <c r="V156" s="45">
        <f t="shared" si="30"/>
        <v>0</v>
      </c>
      <c r="W156" s="49"/>
      <c r="X156" s="50"/>
      <c r="Y156" s="51"/>
      <c r="Z156" s="52"/>
      <c r="AA156" s="45" t="str">
        <f t="shared" si="31"/>
        <v/>
      </c>
      <c r="AB156" s="45">
        <f t="shared" si="32"/>
        <v>1.5021780689018891</v>
      </c>
      <c r="AC156" s="45" t="str">
        <f t="shared" si="33"/>
        <v/>
      </c>
      <c r="AD156" s="53" t="str">
        <f t="shared" si="39"/>
        <v/>
      </c>
      <c r="AE156" s="45" t="str">
        <f t="shared" si="34"/>
        <v/>
      </c>
      <c r="AF156" s="36">
        <f t="shared" si="40"/>
        <v>1</v>
      </c>
      <c r="AG156" s="54">
        <f t="shared" si="35"/>
        <v>0</v>
      </c>
      <c r="AH156" s="32" t="str">
        <f t="shared" si="41"/>
        <v/>
      </c>
      <c r="AI156" s="50"/>
      <c r="AJ156" s="50">
        <v>2</v>
      </c>
      <c r="AK156" s="50">
        <v>1</v>
      </c>
      <c r="AL156" s="50">
        <v>1</v>
      </c>
      <c r="AM156" s="50">
        <v>1</v>
      </c>
      <c r="AN156" s="50">
        <v>1</v>
      </c>
      <c r="AO156" s="50">
        <v>1</v>
      </c>
      <c r="AP156" s="50">
        <v>1</v>
      </c>
      <c r="AQ156" s="50">
        <v>0</v>
      </c>
      <c r="AR156" s="50">
        <v>1</v>
      </c>
      <c r="AU156" s="39"/>
      <c r="AW156" s="39"/>
    </row>
    <row r="157" spans="1:49" x14ac:dyDescent="0.25">
      <c r="A157" s="40"/>
      <c r="B157" s="41">
        <v>6609</v>
      </c>
      <c r="C157" s="40" t="s">
        <v>184</v>
      </c>
      <c r="D157" s="42">
        <v>388147259</v>
      </c>
      <c r="E157" s="42">
        <v>480278256</v>
      </c>
      <c r="F157" s="42">
        <v>590874689</v>
      </c>
      <c r="G157" s="42">
        <v>674653848</v>
      </c>
      <c r="H157" s="42">
        <f t="shared" si="36"/>
        <v>533488513</v>
      </c>
      <c r="I157" s="42">
        <v>50979222.129999995</v>
      </c>
      <c r="J157" s="43">
        <f t="shared" si="28"/>
        <v>9.5558237689740089E-2</v>
      </c>
      <c r="K157" s="44">
        <v>392619071.20000005</v>
      </c>
      <c r="L157" s="45">
        <f t="shared" si="29"/>
        <v>0.73594662608977313</v>
      </c>
      <c r="M157" s="42">
        <v>8159078</v>
      </c>
      <c r="N157" s="45">
        <f t="shared" si="37"/>
        <v>1.2093724840060499E-2</v>
      </c>
      <c r="O157" s="44">
        <v>-826439</v>
      </c>
      <c r="P157" s="44">
        <v>-44057687</v>
      </c>
      <c r="Q157" s="44">
        <v>-11499458</v>
      </c>
      <c r="R157" s="46">
        <v>0.83167999999999997</v>
      </c>
      <c r="S157" s="46">
        <v>0.74550000000000005</v>
      </c>
      <c r="T157" s="47">
        <f t="shared" si="38"/>
        <v>0.78859999999999997</v>
      </c>
      <c r="U157" s="48">
        <v>4320</v>
      </c>
      <c r="V157" s="45">
        <f t="shared" si="30"/>
        <v>6.4032837177266055E-6</v>
      </c>
      <c r="W157" s="49"/>
      <c r="X157" s="50"/>
      <c r="Y157" s="51"/>
      <c r="Z157" s="52"/>
      <c r="AA157" s="45" t="str">
        <f t="shared" si="31"/>
        <v/>
      </c>
      <c r="AB157" s="45">
        <f t="shared" si="32"/>
        <v>0.73594662608977313</v>
      </c>
      <c r="AC157" s="45" t="str">
        <f t="shared" si="33"/>
        <v/>
      </c>
      <c r="AD157" s="53" t="str">
        <f t="shared" si="39"/>
        <v>да</v>
      </c>
      <c r="AE157" s="45" t="str">
        <f t="shared" si="34"/>
        <v/>
      </c>
      <c r="AF157" s="36">
        <f t="shared" si="40"/>
        <v>2</v>
      </c>
      <c r="AG157" s="54">
        <f t="shared" si="35"/>
        <v>0</v>
      </c>
      <c r="AH157" s="32" t="str">
        <f t="shared" si="41"/>
        <v/>
      </c>
      <c r="AI157" s="50"/>
      <c r="AJ157" s="50">
        <v>1</v>
      </c>
      <c r="AK157" s="50">
        <v>1</v>
      </c>
      <c r="AL157" s="50">
        <v>1</v>
      </c>
      <c r="AM157" s="50">
        <v>1</v>
      </c>
      <c r="AN157" s="50">
        <v>1</v>
      </c>
      <c r="AO157" s="50">
        <v>0</v>
      </c>
      <c r="AP157" s="50">
        <v>0</v>
      </c>
      <c r="AQ157" s="50">
        <v>1</v>
      </c>
      <c r="AR157" s="50">
        <v>0</v>
      </c>
      <c r="AU157" s="39"/>
      <c r="AW157" s="39"/>
    </row>
    <row r="158" spans="1:49" x14ac:dyDescent="0.25">
      <c r="A158" s="40"/>
      <c r="B158" s="41">
        <v>6610</v>
      </c>
      <c r="C158" s="40" t="s">
        <v>193</v>
      </c>
      <c r="D158" s="42">
        <v>29971857</v>
      </c>
      <c r="E158" s="42">
        <v>35412530</v>
      </c>
      <c r="F158" s="42">
        <v>42766349</v>
      </c>
      <c r="G158" s="42">
        <v>42907156</v>
      </c>
      <c r="H158" s="42">
        <f t="shared" si="36"/>
        <v>37764473</v>
      </c>
      <c r="I158" s="42">
        <v>672205.54000000039</v>
      </c>
      <c r="J158" s="43">
        <f t="shared" si="28"/>
        <v>1.7799944937666689E-2</v>
      </c>
      <c r="K158" s="44">
        <v>24208269.100000001</v>
      </c>
      <c r="L158" s="45">
        <f t="shared" si="29"/>
        <v>0.64103288559064497</v>
      </c>
      <c r="M158" s="42">
        <v>434393</v>
      </c>
      <c r="N158" s="45">
        <f t="shared" si="37"/>
        <v>1.0124022202730006E-2</v>
      </c>
      <c r="O158" s="44">
        <v>-1231847</v>
      </c>
      <c r="P158" s="44">
        <v>-1647135</v>
      </c>
      <c r="Q158" s="44">
        <v>639896</v>
      </c>
      <c r="R158" s="46">
        <v>0.81233</v>
      </c>
      <c r="S158" s="46">
        <v>0.77241000000000004</v>
      </c>
      <c r="T158" s="47">
        <f t="shared" si="38"/>
        <v>0.79239999999999999</v>
      </c>
      <c r="U158" s="48">
        <v>0</v>
      </c>
      <c r="V158" s="45">
        <f t="shared" si="30"/>
        <v>0</v>
      </c>
      <c r="W158" s="49"/>
      <c r="X158" s="50"/>
      <c r="Y158" s="51"/>
      <c r="Z158" s="52"/>
      <c r="AA158" s="45" t="str">
        <f t="shared" si="31"/>
        <v/>
      </c>
      <c r="AB158" s="45">
        <f t="shared" si="32"/>
        <v>0.64103288559064497</v>
      </c>
      <c r="AC158" s="45" t="str">
        <f t="shared" si="33"/>
        <v/>
      </c>
      <c r="AD158" s="53" t="str">
        <f t="shared" si="39"/>
        <v/>
      </c>
      <c r="AE158" s="45" t="str">
        <f t="shared" si="34"/>
        <v/>
      </c>
      <c r="AF158" s="36">
        <f t="shared" si="40"/>
        <v>1</v>
      </c>
      <c r="AG158" s="54">
        <f t="shared" si="35"/>
        <v>0</v>
      </c>
      <c r="AH158" s="32" t="str">
        <f t="shared" si="41"/>
        <v/>
      </c>
      <c r="AI158" s="50"/>
      <c r="AJ158" s="50">
        <v>0</v>
      </c>
      <c r="AK158" s="50">
        <v>1</v>
      </c>
      <c r="AL158" s="50">
        <v>1</v>
      </c>
      <c r="AM158" s="50">
        <v>1</v>
      </c>
      <c r="AN158" s="50">
        <v>1</v>
      </c>
      <c r="AO158" s="50">
        <v>1</v>
      </c>
      <c r="AP158" s="50">
        <v>0</v>
      </c>
      <c r="AQ158" s="50">
        <v>1</v>
      </c>
      <c r="AR158" s="50">
        <v>0</v>
      </c>
      <c r="AU158" s="39"/>
      <c r="AW158" s="39"/>
    </row>
    <row r="159" spans="1:49" x14ac:dyDescent="0.25">
      <c r="A159" s="40"/>
      <c r="B159" s="41">
        <v>6611</v>
      </c>
      <c r="C159" s="40" t="s">
        <v>194</v>
      </c>
      <c r="D159" s="42">
        <v>30631443</v>
      </c>
      <c r="E159" s="42">
        <v>35669516</v>
      </c>
      <c r="F159" s="42">
        <v>51223674</v>
      </c>
      <c r="G159" s="42">
        <v>57288245</v>
      </c>
      <c r="H159" s="42">
        <f t="shared" si="36"/>
        <v>43703220</v>
      </c>
      <c r="I159" s="42">
        <v>4112707.1599999974</v>
      </c>
      <c r="J159" s="43">
        <f t="shared" si="28"/>
        <v>9.4105357911842588E-2</v>
      </c>
      <c r="K159" s="44">
        <v>27432460.630000003</v>
      </c>
      <c r="L159" s="45">
        <f t="shared" si="29"/>
        <v>0.62769884301431345</v>
      </c>
      <c r="M159" s="42">
        <v>0</v>
      </c>
      <c r="N159" s="45">
        <f t="shared" si="37"/>
        <v>0</v>
      </c>
      <c r="O159" s="44">
        <v>1294988</v>
      </c>
      <c r="P159" s="44">
        <v>-5221831</v>
      </c>
      <c r="Q159" s="44">
        <v>-794406</v>
      </c>
      <c r="R159" s="46">
        <v>0.93059999999999998</v>
      </c>
      <c r="S159" s="46">
        <v>0.77956000000000003</v>
      </c>
      <c r="T159" s="47">
        <f t="shared" si="38"/>
        <v>0.85509999999999997</v>
      </c>
      <c r="U159" s="48">
        <v>0</v>
      </c>
      <c r="V159" s="45">
        <f t="shared" si="30"/>
        <v>0</v>
      </c>
      <c r="W159" s="49"/>
      <c r="X159" s="50"/>
      <c r="Y159" s="51"/>
      <c r="Z159" s="52"/>
      <c r="AA159" s="45" t="str">
        <f t="shared" si="31"/>
        <v/>
      </c>
      <c r="AB159" s="45">
        <f t="shared" si="32"/>
        <v>0.62769884301431345</v>
      </c>
      <c r="AC159" s="45" t="str">
        <f t="shared" si="33"/>
        <v/>
      </c>
      <c r="AD159" s="53" t="str">
        <f t="shared" si="39"/>
        <v/>
      </c>
      <c r="AE159" s="45" t="str">
        <f t="shared" si="34"/>
        <v/>
      </c>
      <c r="AF159" s="36">
        <f t="shared" si="40"/>
        <v>1</v>
      </c>
      <c r="AG159" s="54">
        <f t="shared" si="35"/>
        <v>0</v>
      </c>
      <c r="AH159" s="32" t="str">
        <f t="shared" si="41"/>
        <v/>
      </c>
      <c r="AI159" s="50"/>
      <c r="AJ159" s="50">
        <v>0</v>
      </c>
      <c r="AK159" s="50">
        <v>0</v>
      </c>
      <c r="AL159" s="50">
        <v>1</v>
      </c>
      <c r="AM159" s="50">
        <v>0</v>
      </c>
      <c r="AN159" s="50">
        <v>1</v>
      </c>
      <c r="AO159" s="50">
        <v>0</v>
      </c>
      <c r="AP159" s="50">
        <v>0</v>
      </c>
      <c r="AQ159" s="50">
        <v>0</v>
      </c>
      <c r="AR159" s="50">
        <v>0</v>
      </c>
      <c r="AU159" s="39"/>
      <c r="AW159" s="39"/>
    </row>
    <row r="160" spans="1:49" x14ac:dyDescent="0.25">
      <c r="A160" s="40"/>
      <c r="B160" s="41">
        <v>6612</v>
      </c>
      <c r="C160" s="40" t="s">
        <v>195</v>
      </c>
      <c r="D160" s="42">
        <v>29927255</v>
      </c>
      <c r="E160" s="42">
        <v>41263583</v>
      </c>
      <c r="F160" s="42">
        <v>50955762</v>
      </c>
      <c r="G160" s="42">
        <v>52037435</v>
      </c>
      <c r="H160" s="42">
        <f t="shared" si="36"/>
        <v>43546009</v>
      </c>
      <c r="I160" s="42">
        <v>7555362.7700000014</v>
      </c>
      <c r="J160" s="43">
        <f t="shared" si="28"/>
        <v>0.17350299013624879</v>
      </c>
      <c r="K160" s="44">
        <v>24049874.949999999</v>
      </c>
      <c r="L160" s="45">
        <f t="shared" si="29"/>
        <v>0.5522865470863243</v>
      </c>
      <c r="M160" s="42">
        <v>387341</v>
      </c>
      <c r="N160" s="45">
        <f t="shared" si="37"/>
        <v>7.4435067754588594E-3</v>
      </c>
      <c r="O160" s="44">
        <v>-1973605</v>
      </c>
      <c r="P160" s="44">
        <v>-2057766</v>
      </c>
      <c r="Q160" s="44">
        <v>1910463</v>
      </c>
      <c r="R160" s="46">
        <v>0.80928999999999995</v>
      </c>
      <c r="S160" s="46">
        <v>0.78573000000000004</v>
      </c>
      <c r="T160" s="47">
        <f t="shared" si="38"/>
        <v>0.79749999999999999</v>
      </c>
      <c r="U160" s="48">
        <v>0</v>
      </c>
      <c r="V160" s="45">
        <f t="shared" si="30"/>
        <v>0</v>
      </c>
      <c r="W160" s="49"/>
      <c r="X160" s="50"/>
      <c r="Y160" s="51"/>
      <c r="Z160" s="52"/>
      <c r="AA160" s="45">
        <f t="shared" si="31"/>
        <v>0.17350299013624879</v>
      </c>
      <c r="AB160" s="45">
        <f t="shared" si="32"/>
        <v>0.5522865470863243</v>
      </c>
      <c r="AC160" s="45" t="str">
        <f t="shared" si="33"/>
        <v/>
      </c>
      <c r="AD160" s="53" t="str">
        <f t="shared" si="39"/>
        <v/>
      </c>
      <c r="AE160" s="45" t="str">
        <f t="shared" si="34"/>
        <v/>
      </c>
      <c r="AF160" s="36">
        <f t="shared" si="40"/>
        <v>2</v>
      </c>
      <c r="AG160" s="54">
        <f t="shared" si="35"/>
        <v>0</v>
      </c>
      <c r="AH160" s="32" t="str">
        <f t="shared" si="41"/>
        <v/>
      </c>
      <c r="AI160" s="50"/>
      <c r="AJ160" s="50">
        <v>1</v>
      </c>
      <c r="AK160" s="50">
        <v>1</v>
      </c>
      <c r="AL160" s="50">
        <v>1</v>
      </c>
      <c r="AM160" s="50">
        <v>0</v>
      </c>
      <c r="AN160" s="50">
        <v>0</v>
      </c>
      <c r="AO160" s="50">
        <v>0</v>
      </c>
      <c r="AP160" s="50">
        <v>1</v>
      </c>
      <c r="AQ160" s="50">
        <v>2</v>
      </c>
      <c r="AR160" s="50">
        <v>2</v>
      </c>
      <c r="AU160" s="39"/>
      <c r="AW160" s="39"/>
    </row>
    <row r="161" spans="1:49" x14ac:dyDescent="0.25">
      <c r="A161" s="40"/>
      <c r="B161" s="41">
        <v>6613</v>
      </c>
      <c r="C161" s="40" t="s">
        <v>196</v>
      </c>
      <c r="D161" s="42">
        <v>17072738</v>
      </c>
      <c r="E161" s="42">
        <v>20818161</v>
      </c>
      <c r="F161" s="42">
        <v>26513053</v>
      </c>
      <c r="G161" s="42">
        <v>31230221</v>
      </c>
      <c r="H161" s="42">
        <f t="shared" si="36"/>
        <v>23908543</v>
      </c>
      <c r="I161" s="42">
        <v>232131.36999999982</v>
      </c>
      <c r="J161" s="43">
        <f t="shared" si="28"/>
        <v>9.7091391139978635E-3</v>
      </c>
      <c r="K161" s="44">
        <v>8364975.7699999996</v>
      </c>
      <c r="L161" s="45">
        <f t="shared" si="29"/>
        <v>0.34987392456328265</v>
      </c>
      <c r="M161" s="42">
        <v>0</v>
      </c>
      <c r="N161" s="45">
        <f t="shared" si="37"/>
        <v>0</v>
      </c>
      <c r="O161" s="44">
        <v>2803769</v>
      </c>
      <c r="P161" s="44">
        <v>2121873</v>
      </c>
      <c r="Q161" s="44">
        <v>-4306272</v>
      </c>
      <c r="R161" s="46">
        <v>0.82557999999999998</v>
      </c>
      <c r="S161" s="46">
        <v>0.71828999999999998</v>
      </c>
      <c r="T161" s="47">
        <f t="shared" si="38"/>
        <v>0.77190000000000003</v>
      </c>
      <c r="U161" s="48">
        <v>0</v>
      </c>
      <c r="V161" s="45">
        <f t="shared" si="30"/>
        <v>0</v>
      </c>
      <c r="W161" s="49"/>
      <c r="X161" s="50"/>
      <c r="Y161" s="51"/>
      <c r="Z161" s="52"/>
      <c r="AA161" s="45" t="str">
        <f t="shared" si="31"/>
        <v/>
      </c>
      <c r="AB161" s="45" t="str">
        <f t="shared" si="32"/>
        <v/>
      </c>
      <c r="AC161" s="45" t="str">
        <f t="shared" si="33"/>
        <v/>
      </c>
      <c r="AD161" s="53" t="str">
        <f t="shared" si="39"/>
        <v/>
      </c>
      <c r="AE161" s="45" t="str">
        <f t="shared" si="34"/>
        <v/>
      </c>
      <c r="AF161" s="36">
        <f t="shared" si="40"/>
        <v>0</v>
      </c>
      <c r="AG161" s="54">
        <f t="shared" si="35"/>
        <v>0</v>
      </c>
      <c r="AH161" s="32" t="str">
        <f t="shared" si="41"/>
        <v/>
      </c>
      <c r="AI161" s="50"/>
      <c r="AJ161" s="50">
        <v>0</v>
      </c>
      <c r="AK161" s="50">
        <v>0</v>
      </c>
      <c r="AL161" s="50">
        <v>0</v>
      </c>
      <c r="AM161" s="50">
        <v>0</v>
      </c>
      <c r="AN161" s="50">
        <v>1</v>
      </c>
      <c r="AO161" s="50">
        <v>1</v>
      </c>
      <c r="AP161" s="50">
        <v>0</v>
      </c>
      <c r="AQ161" s="50">
        <v>1</v>
      </c>
      <c r="AR161" s="50">
        <v>1</v>
      </c>
      <c r="AU161" s="39"/>
      <c r="AW161" s="39"/>
    </row>
    <row r="162" spans="1:49" x14ac:dyDescent="0.25">
      <c r="A162" s="40"/>
      <c r="B162" s="41">
        <v>6614</v>
      </c>
      <c r="C162" s="40" t="s">
        <v>197</v>
      </c>
      <c r="D162" s="42">
        <v>21895573</v>
      </c>
      <c r="E162" s="42">
        <v>25516738</v>
      </c>
      <c r="F162" s="42">
        <v>34084399</v>
      </c>
      <c r="G162" s="42">
        <v>30727628</v>
      </c>
      <c r="H162" s="42">
        <f t="shared" si="36"/>
        <v>28056085</v>
      </c>
      <c r="I162" s="42">
        <v>2322935.3199999998</v>
      </c>
      <c r="J162" s="43">
        <f t="shared" si="28"/>
        <v>8.2796132104675332E-2</v>
      </c>
      <c r="K162" s="44">
        <v>9716857.7999999989</v>
      </c>
      <c r="L162" s="45">
        <f t="shared" si="29"/>
        <v>0.34633691051335208</v>
      </c>
      <c r="M162" s="42">
        <v>1295981</v>
      </c>
      <c r="N162" s="45">
        <f t="shared" si="37"/>
        <v>4.2176408800575167E-2</v>
      </c>
      <c r="O162" s="44">
        <v>-2337499</v>
      </c>
      <c r="P162" s="44">
        <v>-3797794</v>
      </c>
      <c r="Q162" s="44">
        <v>183779</v>
      </c>
      <c r="R162" s="46">
        <v>0.88653999999999999</v>
      </c>
      <c r="S162" s="46">
        <v>0.77459999999999996</v>
      </c>
      <c r="T162" s="47">
        <f t="shared" si="38"/>
        <v>0.8306</v>
      </c>
      <c r="U162" s="48">
        <v>0</v>
      </c>
      <c r="V162" s="45">
        <f t="shared" si="30"/>
        <v>0</v>
      </c>
      <c r="W162" s="49"/>
      <c r="X162" s="50"/>
      <c r="Y162" s="51">
        <v>0.15409999999999999</v>
      </c>
      <c r="Z162" s="52"/>
      <c r="AA162" s="45" t="str">
        <f t="shared" si="31"/>
        <v/>
      </c>
      <c r="AB162" s="45" t="str">
        <f t="shared" si="32"/>
        <v/>
      </c>
      <c r="AC162" s="45" t="str">
        <f t="shared" si="33"/>
        <v/>
      </c>
      <c r="AD162" s="53" t="str">
        <f t="shared" si="39"/>
        <v/>
      </c>
      <c r="AE162" s="45" t="str">
        <f t="shared" si="34"/>
        <v/>
      </c>
      <c r="AF162" s="36">
        <f t="shared" si="40"/>
        <v>1</v>
      </c>
      <c r="AG162" s="54">
        <f t="shared" si="35"/>
        <v>0</v>
      </c>
      <c r="AH162" s="32" t="str">
        <f t="shared" si="41"/>
        <v/>
      </c>
      <c r="AI162" s="50"/>
      <c r="AJ162" s="50">
        <v>2</v>
      </c>
      <c r="AK162" s="50">
        <v>1</v>
      </c>
      <c r="AL162" s="50">
        <v>0</v>
      </c>
      <c r="AM162" s="50">
        <v>2</v>
      </c>
      <c r="AN162" s="50">
        <v>2</v>
      </c>
      <c r="AO162" s="50">
        <v>2</v>
      </c>
      <c r="AP162" s="50">
        <v>2</v>
      </c>
      <c r="AQ162" s="50">
        <v>1</v>
      </c>
      <c r="AR162" s="50">
        <v>2</v>
      </c>
      <c r="AU162" s="39"/>
      <c r="AW162" s="39"/>
    </row>
    <row r="163" spans="1:49" x14ac:dyDescent="0.25">
      <c r="A163" s="40"/>
      <c r="B163" s="41">
        <v>6615</v>
      </c>
      <c r="C163" s="40" t="s">
        <v>198</v>
      </c>
      <c r="D163" s="42">
        <v>8861021</v>
      </c>
      <c r="E163" s="42">
        <v>11506031</v>
      </c>
      <c r="F163" s="42">
        <v>16530497</v>
      </c>
      <c r="G163" s="42">
        <v>21498038</v>
      </c>
      <c r="H163" s="42">
        <f t="shared" si="36"/>
        <v>14598897</v>
      </c>
      <c r="I163" s="42">
        <v>3704964.0699999994</v>
      </c>
      <c r="J163" s="43">
        <f t="shared" si="28"/>
        <v>0.25378383517604097</v>
      </c>
      <c r="K163" s="44">
        <v>10847884.34</v>
      </c>
      <c r="L163" s="45">
        <f t="shared" si="29"/>
        <v>0.74306191351305517</v>
      </c>
      <c r="M163" s="42">
        <v>0</v>
      </c>
      <c r="N163" s="45">
        <f t="shared" si="37"/>
        <v>0</v>
      </c>
      <c r="O163" s="44">
        <v>3520987</v>
      </c>
      <c r="P163" s="44">
        <v>-380620</v>
      </c>
      <c r="Q163" s="44">
        <v>-3422908</v>
      </c>
      <c r="R163" s="46">
        <v>0.89585999999999999</v>
      </c>
      <c r="S163" s="46">
        <v>0.74326000000000003</v>
      </c>
      <c r="T163" s="47">
        <f t="shared" si="38"/>
        <v>0.8196</v>
      </c>
      <c r="U163" s="48">
        <v>0</v>
      </c>
      <c r="V163" s="45">
        <f t="shared" si="30"/>
        <v>0</v>
      </c>
      <c r="W163" s="49"/>
      <c r="X163" s="50"/>
      <c r="Y163" s="51"/>
      <c r="Z163" s="52"/>
      <c r="AA163" s="45">
        <f t="shared" si="31"/>
        <v>0.25378383517604097</v>
      </c>
      <c r="AB163" s="45">
        <f t="shared" si="32"/>
        <v>0.74306191351305517</v>
      </c>
      <c r="AC163" s="45" t="str">
        <f t="shared" si="33"/>
        <v/>
      </c>
      <c r="AD163" s="53" t="str">
        <f t="shared" si="39"/>
        <v/>
      </c>
      <c r="AE163" s="45" t="str">
        <f t="shared" si="34"/>
        <v/>
      </c>
      <c r="AF163" s="36">
        <f t="shared" si="40"/>
        <v>2</v>
      </c>
      <c r="AG163" s="54">
        <f t="shared" si="35"/>
        <v>0</v>
      </c>
      <c r="AH163" s="32" t="str">
        <f t="shared" si="41"/>
        <v/>
      </c>
      <c r="AI163" s="50"/>
      <c r="AJ163" s="50">
        <v>1</v>
      </c>
      <c r="AK163" s="50">
        <v>1</v>
      </c>
      <c r="AL163" s="50">
        <v>1</v>
      </c>
      <c r="AM163" s="50">
        <v>0</v>
      </c>
      <c r="AN163" s="50">
        <v>1</v>
      </c>
      <c r="AO163" s="50">
        <v>0</v>
      </c>
      <c r="AP163" s="50">
        <v>0</v>
      </c>
      <c r="AQ163" s="50">
        <v>0</v>
      </c>
      <c r="AR163" s="50">
        <v>0</v>
      </c>
      <c r="AU163" s="39"/>
      <c r="AW163" s="39"/>
    </row>
    <row r="164" spans="1:49" x14ac:dyDescent="0.25">
      <c r="A164" s="40"/>
      <c r="B164" s="41">
        <v>6616</v>
      </c>
      <c r="C164" s="40" t="s">
        <v>199</v>
      </c>
      <c r="D164" s="42">
        <v>13847683</v>
      </c>
      <c r="E164" s="42">
        <v>19781184</v>
      </c>
      <c r="F164" s="42">
        <v>25092555</v>
      </c>
      <c r="G164" s="42">
        <v>26192391</v>
      </c>
      <c r="H164" s="42">
        <f t="shared" si="36"/>
        <v>21228453</v>
      </c>
      <c r="I164" s="42">
        <v>867302.15999999875</v>
      </c>
      <c r="J164" s="43">
        <f t="shared" si="28"/>
        <v>4.0855645957809487E-2</v>
      </c>
      <c r="K164" s="44">
        <v>12392464.940000001</v>
      </c>
      <c r="L164" s="45">
        <f t="shared" si="29"/>
        <v>0.58376674645109572</v>
      </c>
      <c r="M164" s="42">
        <v>0</v>
      </c>
      <c r="N164" s="45">
        <f t="shared" si="37"/>
        <v>0</v>
      </c>
      <c r="O164" s="44">
        <v>2472179</v>
      </c>
      <c r="P164" s="44">
        <v>-1943225</v>
      </c>
      <c r="Q164" s="44">
        <v>-1427043</v>
      </c>
      <c r="R164" s="46">
        <v>0.85289999999999999</v>
      </c>
      <c r="S164" s="46">
        <v>0.79954999999999998</v>
      </c>
      <c r="T164" s="47">
        <f t="shared" si="38"/>
        <v>0.82620000000000005</v>
      </c>
      <c r="U164" s="48">
        <v>0</v>
      </c>
      <c r="V164" s="45">
        <f t="shared" si="30"/>
        <v>0</v>
      </c>
      <c r="W164" s="49"/>
      <c r="X164" s="50"/>
      <c r="Y164" s="51"/>
      <c r="Z164" s="52"/>
      <c r="AA164" s="45" t="str">
        <f t="shared" si="31"/>
        <v/>
      </c>
      <c r="AB164" s="45">
        <f t="shared" si="32"/>
        <v>0.58376674645109572</v>
      </c>
      <c r="AC164" s="45" t="str">
        <f t="shared" si="33"/>
        <v/>
      </c>
      <c r="AD164" s="53" t="str">
        <f t="shared" si="39"/>
        <v/>
      </c>
      <c r="AE164" s="45" t="str">
        <f t="shared" si="34"/>
        <v/>
      </c>
      <c r="AF164" s="36">
        <f t="shared" si="40"/>
        <v>1</v>
      </c>
      <c r="AG164" s="54">
        <f t="shared" si="35"/>
        <v>0</v>
      </c>
      <c r="AH164" s="32" t="str">
        <f t="shared" si="41"/>
        <v/>
      </c>
      <c r="AI164" s="50"/>
      <c r="AJ164" s="50">
        <v>0</v>
      </c>
      <c r="AK164" s="50">
        <v>0</v>
      </c>
      <c r="AL164" s="50">
        <v>0</v>
      </c>
      <c r="AM164" s="50">
        <v>0</v>
      </c>
      <c r="AN164" s="50">
        <v>0</v>
      </c>
      <c r="AO164" s="50">
        <v>0</v>
      </c>
      <c r="AP164" s="50">
        <v>0</v>
      </c>
      <c r="AQ164" s="50">
        <v>0</v>
      </c>
      <c r="AR164" s="50">
        <v>1</v>
      </c>
      <c r="AU164" s="39"/>
      <c r="AW164" s="39"/>
    </row>
    <row r="165" spans="1:49" x14ac:dyDescent="0.25">
      <c r="A165" s="40"/>
      <c r="B165" s="41">
        <v>6617</v>
      </c>
      <c r="C165" s="40" t="s">
        <v>200</v>
      </c>
      <c r="D165" s="42">
        <v>7708785</v>
      </c>
      <c r="E165" s="42">
        <v>9795851</v>
      </c>
      <c r="F165" s="42">
        <v>13076029</v>
      </c>
      <c r="G165" s="42">
        <v>12533051</v>
      </c>
      <c r="H165" s="42">
        <f t="shared" si="36"/>
        <v>10778429</v>
      </c>
      <c r="I165" s="42">
        <v>3066735.5900000017</v>
      </c>
      <c r="J165" s="43">
        <f t="shared" si="28"/>
        <v>0.28452528564227697</v>
      </c>
      <c r="K165" s="44">
        <v>5716450.3200000022</v>
      </c>
      <c r="L165" s="45">
        <f t="shared" si="29"/>
        <v>0.53036025194395231</v>
      </c>
      <c r="M165" s="42">
        <v>0</v>
      </c>
      <c r="N165" s="45">
        <f t="shared" si="37"/>
        <v>0</v>
      </c>
      <c r="O165" s="44">
        <v>3103506</v>
      </c>
      <c r="P165" s="44">
        <v>-1883926</v>
      </c>
      <c r="Q165" s="44">
        <v>443770</v>
      </c>
      <c r="R165" s="46">
        <v>0.92810000000000004</v>
      </c>
      <c r="S165" s="46">
        <v>0.74024000000000001</v>
      </c>
      <c r="T165" s="47">
        <f t="shared" si="38"/>
        <v>0.83420000000000005</v>
      </c>
      <c r="U165" s="48">
        <v>0</v>
      </c>
      <c r="V165" s="45">
        <f t="shared" si="30"/>
        <v>0</v>
      </c>
      <c r="W165" s="49"/>
      <c r="X165" s="50"/>
      <c r="Y165" s="51"/>
      <c r="Z165" s="52"/>
      <c r="AA165" s="45">
        <f t="shared" si="31"/>
        <v>0.28452528564227697</v>
      </c>
      <c r="AB165" s="45">
        <f t="shared" si="32"/>
        <v>0.53036025194395231</v>
      </c>
      <c r="AC165" s="45" t="str">
        <f t="shared" si="33"/>
        <v/>
      </c>
      <c r="AD165" s="53" t="str">
        <f t="shared" si="39"/>
        <v/>
      </c>
      <c r="AE165" s="45" t="str">
        <f t="shared" si="34"/>
        <v/>
      </c>
      <c r="AF165" s="36">
        <f t="shared" si="40"/>
        <v>2</v>
      </c>
      <c r="AG165" s="54">
        <f t="shared" si="35"/>
        <v>0</v>
      </c>
      <c r="AH165" s="32" t="str">
        <f t="shared" si="41"/>
        <v/>
      </c>
      <c r="AI165" s="50"/>
      <c r="AJ165" s="50">
        <v>0</v>
      </c>
      <c r="AK165" s="50">
        <v>0</v>
      </c>
      <c r="AL165" s="50">
        <v>0</v>
      </c>
      <c r="AM165" s="50">
        <v>0</v>
      </c>
      <c r="AN165" s="50">
        <v>0</v>
      </c>
      <c r="AO165" s="50">
        <v>0</v>
      </c>
      <c r="AP165" s="50">
        <v>0</v>
      </c>
      <c r="AQ165" s="50">
        <v>0</v>
      </c>
      <c r="AR165" s="50">
        <v>1</v>
      </c>
      <c r="AU165" s="39"/>
      <c r="AW165" s="39"/>
    </row>
    <row r="166" spans="1:49" x14ac:dyDescent="0.25">
      <c r="A166" s="40"/>
      <c r="B166" s="41">
        <v>6618</v>
      </c>
      <c r="C166" s="40" t="s">
        <v>201</v>
      </c>
      <c r="D166" s="42">
        <v>10575133</v>
      </c>
      <c r="E166" s="42">
        <v>12587603</v>
      </c>
      <c r="F166" s="42">
        <v>15661596</v>
      </c>
      <c r="G166" s="42">
        <v>15132243</v>
      </c>
      <c r="H166" s="42">
        <f t="shared" si="36"/>
        <v>13489144</v>
      </c>
      <c r="I166" s="42">
        <v>575737.51999999932</v>
      </c>
      <c r="J166" s="43">
        <f t="shared" si="28"/>
        <v>4.2681545989871505E-2</v>
      </c>
      <c r="K166" s="44">
        <v>5084246.22</v>
      </c>
      <c r="L166" s="45">
        <f t="shared" si="29"/>
        <v>0.37691392574651139</v>
      </c>
      <c r="M166" s="42">
        <v>386841</v>
      </c>
      <c r="N166" s="45">
        <f t="shared" si="37"/>
        <v>2.5564022465142808E-2</v>
      </c>
      <c r="O166" s="44">
        <v>717494</v>
      </c>
      <c r="P166" s="44">
        <v>111918</v>
      </c>
      <c r="Q166" s="44">
        <v>2032864</v>
      </c>
      <c r="R166" s="46">
        <v>0.88319000000000003</v>
      </c>
      <c r="S166" s="46">
        <v>0.79095000000000004</v>
      </c>
      <c r="T166" s="47">
        <f t="shared" si="38"/>
        <v>0.83709999999999996</v>
      </c>
      <c r="U166" s="48">
        <v>0</v>
      </c>
      <c r="V166" s="45">
        <f t="shared" si="30"/>
        <v>0</v>
      </c>
      <c r="W166" s="49"/>
      <c r="X166" s="50"/>
      <c r="Y166" s="51"/>
      <c r="Z166" s="52"/>
      <c r="AA166" s="45" t="str">
        <f t="shared" si="31"/>
        <v/>
      </c>
      <c r="AB166" s="45" t="str">
        <f t="shared" si="32"/>
        <v/>
      </c>
      <c r="AC166" s="45" t="str">
        <f t="shared" si="33"/>
        <v/>
      </c>
      <c r="AD166" s="53" t="str">
        <f t="shared" si="39"/>
        <v/>
      </c>
      <c r="AE166" s="45" t="str">
        <f t="shared" si="34"/>
        <v/>
      </c>
      <c r="AF166" s="36">
        <f t="shared" si="40"/>
        <v>0</v>
      </c>
      <c r="AG166" s="54">
        <f t="shared" si="35"/>
        <v>0</v>
      </c>
      <c r="AH166" s="32" t="str">
        <f t="shared" si="41"/>
        <v/>
      </c>
      <c r="AI166" s="50"/>
      <c r="AJ166" s="50">
        <v>1</v>
      </c>
      <c r="AK166" s="50">
        <v>0</v>
      </c>
      <c r="AL166" s="50">
        <v>0</v>
      </c>
      <c r="AM166" s="50">
        <v>0</v>
      </c>
      <c r="AN166" s="50">
        <v>1</v>
      </c>
      <c r="AO166" s="50">
        <v>0</v>
      </c>
      <c r="AP166" s="50">
        <v>1</v>
      </c>
      <c r="AQ166" s="50">
        <v>2</v>
      </c>
      <c r="AR166" s="50">
        <v>2</v>
      </c>
      <c r="AU166" s="39"/>
      <c r="AW166" s="39"/>
    </row>
    <row r="167" spans="1:49" x14ac:dyDescent="0.25">
      <c r="A167" s="40" t="s">
        <v>202</v>
      </c>
      <c r="B167" s="41">
        <v>6701</v>
      </c>
      <c r="C167" s="40" t="s">
        <v>203</v>
      </c>
      <c r="D167" s="42">
        <v>8867233</v>
      </c>
      <c r="E167" s="42">
        <v>11178274</v>
      </c>
      <c r="F167" s="42">
        <v>14172900</v>
      </c>
      <c r="G167" s="42">
        <v>15387425</v>
      </c>
      <c r="H167" s="42">
        <f t="shared" si="36"/>
        <v>12401458</v>
      </c>
      <c r="I167" s="42">
        <v>36609.49000000026</v>
      </c>
      <c r="J167" s="43">
        <f t="shared" si="28"/>
        <v>2.9520311240823667E-3</v>
      </c>
      <c r="K167" s="44">
        <v>3959901.53</v>
      </c>
      <c r="L167" s="45">
        <f t="shared" si="29"/>
        <v>0.31930935298091562</v>
      </c>
      <c r="M167" s="42">
        <v>0</v>
      </c>
      <c r="N167" s="45">
        <f t="shared" si="37"/>
        <v>0</v>
      </c>
      <c r="O167" s="44">
        <v>770977</v>
      </c>
      <c r="P167" s="44">
        <v>-853806</v>
      </c>
      <c r="Q167" s="44">
        <v>-251567</v>
      </c>
      <c r="R167" s="46">
        <v>0.80571999999999999</v>
      </c>
      <c r="S167" s="46">
        <v>0.67315000000000003</v>
      </c>
      <c r="T167" s="47">
        <f t="shared" si="38"/>
        <v>0.73939999999999995</v>
      </c>
      <c r="U167" s="48">
        <v>0</v>
      </c>
      <c r="V167" s="45">
        <f t="shared" si="30"/>
        <v>0</v>
      </c>
      <c r="W167" s="49"/>
      <c r="X167" s="50"/>
      <c r="Y167" s="51"/>
      <c r="Z167" s="52"/>
      <c r="AA167" s="45" t="str">
        <f t="shared" si="31"/>
        <v/>
      </c>
      <c r="AB167" s="45" t="str">
        <f t="shared" si="32"/>
        <v/>
      </c>
      <c r="AC167" s="45" t="str">
        <f t="shared" si="33"/>
        <v/>
      </c>
      <c r="AD167" s="53" t="str">
        <f t="shared" si="39"/>
        <v/>
      </c>
      <c r="AE167" s="45">
        <f t="shared" si="34"/>
        <v>0.73939999999999995</v>
      </c>
      <c r="AF167" s="36">
        <f t="shared" si="40"/>
        <v>1</v>
      </c>
      <c r="AG167" s="54">
        <f t="shared" si="35"/>
        <v>0</v>
      </c>
      <c r="AH167" s="32" t="str">
        <f t="shared" si="41"/>
        <v/>
      </c>
      <c r="AI167" s="50"/>
      <c r="AJ167" s="50">
        <v>1</v>
      </c>
      <c r="AK167" s="50">
        <v>1</v>
      </c>
      <c r="AL167" s="50">
        <v>1</v>
      </c>
      <c r="AM167" s="50">
        <v>1</v>
      </c>
      <c r="AN167" s="50">
        <v>1</v>
      </c>
      <c r="AO167" s="50">
        <v>1</v>
      </c>
      <c r="AP167" s="50">
        <v>1</v>
      </c>
      <c r="AQ167" s="50">
        <v>0</v>
      </c>
      <c r="AR167" s="50">
        <v>1</v>
      </c>
      <c r="AU167" s="39"/>
      <c r="AW167" s="39"/>
    </row>
    <row r="168" spans="1:49" x14ac:dyDescent="0.25">
      <c r="A168" s="40"/>
      <c r="B168" s="41">
        <v>6702</v>
      </c>
      <c r="C168" s="40" t="s">
        <v>204</v>
      </c>
      <c r="D168" s="42">
        <v>25818116</v>
      </c>
      <c r="E168" s="42">
        <v>31360835</v>
      </c>
      <c r="F168" s="42">
        <v>38994917</v>
      </c>
      <c r="G168" s="42">
        <v>46906615</v>
      </c>
      <c r="H168" s="42">
        <f t="shared" si="36"/>
        <v>35770121</v>
      </c>
      <c r="I168" s="42">
        <v>1263133.6300000024</v>
      </c>
      <c r="J168" s="43">
        <f t="shared" si="28"/>
        <v>3.5312534447395426E-2</v>
      </c>
      <c r="K168" s="44">
        <v>6945744.6399999987</v>
      </c>
      <c r="L168" s="45">
        <f t="shared" si="29"/>
        <v>0.19417727549761429</v>
      </c>
      <c r="M168" s="42">
        <v>0</v>
      </c>
      <c r="N168" s="45">
        <f t="shared" si="37"/>
        <v>0</v>
      </c>
      <c r="O168" s="44">
        <v>4667556</v>
      </c>
      <c r="P168" s="44">
        <v>1716453</v>
      </c>
      <c r="Q168" s="44">
        <v>-3603407</v>
      </c>
      <c r="R168" s="46">
        <v>0.88134000000000001</v>
      </c>
      <c r="S168" s="46">
        <v>0.73163</v>
      </c>
      <c r="T168" s="47">
        <f t="shared" si="38"/>
        <v>0.80649999999999999</v>
      </c>
      <c r="U168" s="48">
        <v>0</v>
      </c>
      <c r="V168" s="45">
        <f t="shared" si="30"/>
        <v>0</v>
      </c>
      <c r="W168" s="49"/>
      <c r="X168" s="50"/>
      <c r="Y168" s="51"/>
      <c r="Z168" s="52"/>
      <c r="AA168" s="45" t="str">
        <f t="shared" si="31"/>
        <v/>
      </c>
      <c r="AB168" s="45" t="str">
        <f t="shared" si="32"/>
        <v/>
      </c>
      <c r="AC168" s="45" t="str">
        <f t="shared" si="33"/>
        <v/>
      </c>
      <c r="AD168" s="53" t="str">
        <f t="shared" si="39"/>
        <v/>
      </c>
      <c r="AE168" s="45" t="str">
        <f t="shared" si="34"/>
        <v/>
      </c>
      <c r="AF168" s="36">
        <f t="shared" si="40"/>
        <v>0</v>
      </c>
      <c r="AG168" s="54">
        <f t="shared" si="35"/>
        <v>0</v>
      </c>
      <c r="AH168" s="32" t="str">
        <f t="shared" si="41"/>
        <v/>
      </c>
      <c r="AI168" s="50"/>
      <c r="AJ168" s="50">
        <v>0</v>
      </c>
      <c r="AK168" s="50">
        <v>0</v>
      </c>
      <c r="AL168" s="50">
        <v>0</v>
      </c>
      <c r="AM168" s="50">
        <v>0</v>
      </c>
      <c r="AN168" s="50">
        <v>0</v>
      </c>
      <c r="AO168" s="50">
        <v>0</v>
      </c>
      <c r="AP168" s="50">
        <v>0</v>
      </c>
      <c r="AQ168" s="50">
        <v>1</v>
      </c>
      <c r="AR168" s="50">
        <v>0</v>
      </c>
      <c r="AU168" s="39"/>
      <c r="AW168" s="39"/>
    </row>
    <row r="169" spans="1:49" x14ac:dyDescent="0.25">
      <c r="A169" s="40"/>
      <c r="B169" s="41">
        <v>6703</v>
      </c>
      <c r="C169" s="40" t="s">
        <v>205</v>
      </c>
      <c r="D169" s="42">
        <v>20154379</v>
      </c>
      <c r="E169" s="42">
        <v>24196552</v>
      </c>
      <c r="F169" s="42">
        <v>26930609</v>
      </c>
      <c r="G169" s="42">
        <v>29629937</v>
      </c>
      <c r="H169" s="42">
        <f t="shared" si="36"/>
        <v>25227869</v>
      </c>
      <c r="I169" s="42">
        <v>1266294.0099999995</v>
      </c>
      <c r="J169" s="43">
        <f t="shared" si="28"/>
        <v>5.0194251841088895E-2</v>
      </c>
      <c r="K169" s="44">
        <v>7080117.1200000001</v>
      </c>
      <c r="L169" s="45">
        <f t="shared" si="29"/>
        <v>0.28064665786872445</v>
      </c>
      <c r="M169" s="42">
        <v>273859</v>
      </c>
      <c r="N169" s="45">
        <f t="shared" si="37"/>
        <v>9.2426453691076028E-3</v>
      </c>
      <c r="O169" s="44">
        <v>-289562</v>
      </c>
      <c r="P169" s="44">
        <v>1121761</v>
      </c>
      <c r="Q169" s="44">
        <v>813401</v>
      </c>
      <c r="R169" s="46">
        <v>0.81572</v>
      </c>
      <c r="S169" s="46">
        <v>0.77020999999999995</v>
      </c>
      <c r="T169" s="47">
        <f t="shared" si="38"/>
        <v>0.79300000000000004</v>
      </c>
      <c r="U169" s="48">
        <v>0</v>
      </c>
      <c r="V169" s="45">
        <f t="shared" si="30"/>
        <v>0</v>
      </c>
      <c r="W169" s="49"/>
      <c r="X169" s="50"/>
      <c r="Y169" s="51"/>
      <c r="Z169" s="52"/>
      <c r="AA169" s="45" t="str">
        <f t="shared" si="31"/>
        <v/>
      </c>
      <c r="AB169" s="45" t="str">
        <f t="shared" si="32"/>
        <v/>
      </c>
      <c r="AC169" s="45" t="str">
        <f t="shared" si="33"/>
        <v/>
      </c>
      <c r="AD169" s="53" t="str">
        <f t="shared" si="39"/>
        <v/>
      </c>
      <c r="AE169" s="45" t="str">
        <f t="shared" si="34"/>
        <v/>
      </c>
      <c r="AF169" s="36">
        <f t="shared" si="40"/>
        <v>0</v>
      </c>
      <c r="AG169" s="54">
        <f t="shared" si="35"/>
        <v>0</v>
      </c>
      <c r="AH169" s="32" t="str">
        <f t="shared" si="41"/>
        <v/>
      </c>
      <c r="AI169" s="50"/>
      <c r="AJ169" s="50">
        <v>0</v>
      </c>
      <c r="AK169" s="50">
        <v>0</v>
      </c>
      <c r="AL169" s="50">
        <v>1</v>
      </c>
      <c r="AM169" s="50">
        <v>1</v>
      </c>
      <c r="AN169" s="50">
        <v>0</v>
      </c>
      <c r="AO169" s="50">
        <v>0</v>
      </c>
      <c r="AP169" s="50">
        <v>0</v>
      </c>
      <c r="AQ169" s="50">
        <v>0</v>
      </c>
      <c r="AR169" s="50">
        <v>1</v>
      </c>
      <c r="AU169" s="39"/>
      <c r="AW169" s="39"/>
    </row>
    <row r="170" spans="1:49" x14ac:dyDescent="0.25">
      <c r="A170" s="40"/>
      <c r="B170" s="41">
        <v>6704</v>
      </c>
      <c r="C170" s="40" t="s">
        <v>206</v>
      </c>
      <c r="D170" s="42">
        <v>12699964</v>
      </c>
      <c r="E170" s="42">
        <v>13350572</v>
      </c>
      <c r="F170" s="42">
        <v>14408831</v>
      </c>
      <c r="G170" s="42">
        <v>17802124</v>
      </c>
      <c r="H170" s="42">
        <f t="shared" si="36"/>
        <v>14565373</v>
      </c>
      <c r="I170" s="42">
        <v>529473.41999999981</v>
      </c>
      <c r="J170" s="43">
        <f t="shared" si="28"/>
        <v>3.6351518083333659E-2</v>
      </c>
      <c r="K170" s="44">
        <v>1935833.4300000002</v>
      </c>
      <c r="L170" s="45">
        <f t="shared" si="29"/>
        <v>0.13290654691781667</v>
      </c>
      <c r="M170" s="42">
        <v>335543</v>
      </c>
      <c r="N170" s="45">
        <f t="shared" si="37"/>
        <v>1.8848481226172786E-2</v>
      </c>
      <c r="O170" s="44">
        <v>1242528</v>
      </c>
      <c r="P170" s="44">
        <v>512822</v>
      </c>
      <c r="Q170" s="44">
        <v>-1058970</v>
      </c>
      <c r="R170" s="46">
        <v>0.68750999999999995</v>
      </c>
      <c r="S170" s="46">
        <v>0.65747</v>
      </c>
      <c r="T170" s="47">
        <f t="shared" si="38"/>
        <v>0.67249999999999999</v>
      </c>
      <c r="U170" s="48">
        <v>0</v>
      </c>
      <c r="V170" s="45">
        <f t="shared" si="30"/>
        <v>0</v>
      </c>
      <c r="W170" s="49"/>
      <c r="X170" s="50"/>
      <c r="Y170" s="51"/>
      <c r="Z170" s="52"/>
      <c r="AA170" s="45" t="str">
        <f t="shared" si="31"/>
        <v/>
      </c>
      <c r="AB170" s="45" t="str">
        <f t="shared" si="32"/>
        <v/>
      </c>
      <c r="AC170" s="45" t="str">
        <f t="shared" si="33"/>
        <v/>
      </c>
      <c r="AD170" s="53" t="str">
        <f t="shared" si="39"/>
        <v/>
      </c>
      <c r="AE170" s="45">
        <f t="shared" si="34"/>
        <v>0.67249999999999999</v>
      </c>
      <c r="AF170" s="36">
        <f t="shared" si="40"/>
        <v>1</v>
      </c>
      <c r="AG170" s="54">
        <f t="shared" si="35"/>
        <v>0</v>
      </c>
      <c r="AH170" s="32" t="str">
        <f t="shared" si="41"/>
        <v/>
      </c>
      <c r="AI170" s="50"/>
      <c r="AJ170" s="50">
        <v>1</v>
      </c>
      <c r="AK170" s="50">
        <v>1</v>
      </c>
      <c r="AL170" s="50">
        <v>1</v>
      </c>
      <c r="AM170" s="50">
        <v>1</v>
      </c>
      <c r="AN170" s="50">
        <v>1</v>
      </c>
      <c r="AO170" s="50">
        <v>1</v>
      </c>
      <c r="AP170" s="50">
        <v>1</v>
      </c>
      <c r="AQ170" s="50">
        <v>1</v>
      </c>
      <c r="AR170" s="50">
        <v>2</v>
      </c>
      <c r="AU170" s="39"/>
      <c r="AW170" s="39"/>
    </row>
    <row r="171" spans="1:49" x14ac:dyDescent="0.25">
      <c r="A171" s="40"/>
      <c r="B171" s="41">
        <v>6705</v>
      </c>
      <c r="C171" s="40" t="s">
        <v>202</v>
      </c>
      <c r="D171" s="42">
        <v>64065956</v>
      </c>
      <c r="E171" s="42">
        <v>73327767</v>
      </c>
      <c r="F171" s="42">
        <v>89377782</v>
      </c>
      <c r="G171" s="42">
        <v>104013329</v>
      </c>
      <c r="H171" s="42">
        <f t="shared" si="36"/>
        <v>82696209</v>
      </c>
      <c r="I171" s="42">
        <v>3290744.5200000033</v>
      </c>
      <c r="J171" s="43">
        <f t="shared" si="28"/>
        <v>3.9793172622943372E-2</v>
      </c>
      <c r="K171" s="44">
        <v>9338821.4800000004</v>
      </c>
      <c r="L171" s="45">
        <f t="shared" si="29"/>
        <v>0.11292925749474199</v>
      </c>
      <c r="M171" s="42">
        <v>0</v>
      </c>
      <c r="N171" s="45">
        <f t="shared" si="37"/>
        <v>0</v>
      </c>
      <c r="O171" s="44">
        <v>1728476</v>
      </c>
      <c r="P171" s="44">
        <v>-5080930</v>
      </c>
      <c r="Q171" s="44">
        <v>-336706</v>
      </c>
      <c r="R171" s="46">
        <v>0.88485999999999998</v>
      </c>
      <c r="S171" s="46">
        <v>0.69799</v>
      </c>
      <c r="T171" s="47">
        <f t="shared" si="38"/>
        <v>0.79139999999999999</v>
      </c>
      <c r="U171" s="48">
        <v>0</v>
      </c>
      <c r="V171" s="45">
        <f t="shared" si="30"/>
        <v>0</v>
      </c>
      <c r="W171" s="49"/>
      <c r="X171" s="50"/>
      <c r="Y171" s="51"/>
      <c r="Z171" s="52"/>
      <c r="AA171" s="45" t="str">
        <f t="shared" si="31"/>
        <v/>
      </c>
      <c r="AB171" s="45" t="str">
        <f t="shared" si="32"/>
        <v/>
      </c>
      <c r="AC171" s="45" t="str">
        <f t="shared" si="33"/>
        <v/>
      </c>
      <c r="AD171" s="53" t="str">
        <f t="shared" si="39"/>
        <v/>
      </c>
      <c r="AE171" s="45" t="str">
        <f t="shared" si="34"/>
        <v/>
      </c>
      <c r="AF171" s="36">
        <f t="shared" si="40"/>
        <v>0</v>
      </c>
      <c r="AG171" s="54">
        <f t="shared" si="35"/>
        <v>0</v>
      </c>
      <c r="AH171" s="32" t="str">
        <f t="shared" si="41"/>
        <v/>
      </c>
      <c r="AI171" s="50"/>
      <c r="AJ171" s="50">
        <v>0</v>
      </c>
      <c r="AK171" s="50">
        <v>1</v>
      </c>
      <c r="AL171" s="50">
        <v>0</v>
      </c>
      <c r="AM171" s="50">
        <v>0</v>
      </c>
      <c r="AN171" s="50">
        <v>1</v>
      </c>
      <c r="AO171" s="50">
        <v>1</v>
      </c>
      <c r="AP171" s="50">
        <v>1</v>
      </c>
      <c r="AQ171" s="50">
        <v>0</v>
      </c>
      <c r="AR171" s="50">
        <v>1</v>
      </c>
      <c r="AU171" s="39"/>
      <c r="AW171" s="39"/>
    </row>
    <row r="172" spans="1:49" x14ac:dyDescent="0.25">
      <c r="A172" s="40"/>
      <c r="B172" s="41">
        <v>6706</v>
      </c>
      <c r="C172" s="40" t="s">
        <v>207</v>
      </c>
      <c r="D172" s="42">
        <v>11051127</v>
      </c>
      <c r="E172" s="42">
        <v>13290198</v>
      </c>
      <c r="F172" s="42">
        <v>15020980</v>
      </c>
      <c r="G172" s="42">
        <v>17772644</v>
      </c>
      <c r="H172" s="42">
        <f t="shared" si="36"/>
        <v>14283737</v>
      </c>
      <c r="I172" s="42">
        <v>470382.89999999921</v>
      </c>
      <c r="J172" s="43">
        <f t="shared" si="28"/>
        <v>3.2931361029680063E-2</v>
      </c>
      <c r="K172" s="44">
        <v>7307451</v>
      </c>
      <c r="L172" s="45">
        <f t="shared" si="29"/>
        <v>0.51159237950124681</v>
      </c>
      <c r="M172" s="42">
        <v>0</v>
      </c>
      <c r="N172" s="45">
        <f t="shared" si="37"/>
        <v>0</v>
      </c>
      <c r="O172" s="44">
        <v>574824</v>
      </c>
      <c r="P172" s="44">
        <v>563406</v>
      </c>
      <c r="Q172" s="44">
        <v>-588295</v>
      </c>
      <c r="R172" s="46">
        <v>0.79718</v>
      </c>
      <c r="S172" s="46">
        <v>0.69464000000000004</v>
      </c>
      <c r="T172" s="47">
        <f t="shared" si="38"/>
        <v>0.74590000000000001</v>
      </c>
      <c r="U172" s="48">
        <v>0</v>
      </c>
      <c r="V172" s="45">
        <f t="shared" si="30"/>
        <v>0</v>
      </c>
      <c r="W172" s="49"/>
      <c r="X172" s="50"/>
      <c r="Y172" s="51"/>
      <c r="Z172" s="52"/>
      <c r="AA172" s="45" t="str">
        <f t="shared" si="31"/>
        <v/>
      </c>
      <c r="AB172" s="45">
        <f t="shared" si="32"/>
        <v>0.51159237950124681</v>
      </c>
      <c r="AC172" s="45" t="str">
        <f t="shared" si="33"/>
        <v/>
      </c>
      <c r="AD172" s="53" t="str">
        <f t="shared" si="39"/>
        <v/>
      </c>
      <c r="AE172" s="45">
        <f t="shared" si="34"/>
        <v>0.74590000000000001</v>
      </c>
      <c r="AF172" s="36">
        <f t="shared" si="40"/>
        <v>2</v>
      </c>
      <c r="AG172" s="54">
        <f t="shared" si="35"/>
        <v>0</v>
      </c>
      <c r="AH172" s="32" t="str">
        <f t="shared" si="41"/>
        <v/>
      </c>
      <c r="AI172" s="50"/>
      <c r="AJ172" s="50">
        <v>1</v>
      </c>
      <c r="AK172" s="50">
        <v>1</v>
      </c>
      <c r="AL172" s="50">
        <v>1</v>
      </c>
      <c r="AM172" s="50">
        <v>1</v>
      </c>
      <c r="AN172" s="50">
        <v>1</v>
      </c>
      <c r="AO172" s="50">
        <v>1</v>
      </c>
      <c r="AP172" s="50">
        <v>1</v>
      </c>
      <c r="AQ172" s="50">
        <v>2</v>
      </c>
      <c r="AR172" s="50">
        <v>0</v>
      </c>
      <c r="AU172" s="39"/>
      <c r="AW172" s="39"/>
    </row>
    <row r="173" spans="1:49" x14ac:dyDescent="0.25">
      <c r="A173" s="40"/>
      <c r="B173" s="41">
        <v>6707</v>
      </c>
      <c r="C173" s="40" t="s">
        <v>208</v>
      </c>
      <c r="D173" s="42">
        <v>5567174</v>
      </c>
      <c r="E173" s="42">
        <v>7170093</v>
      </c>
      <c r="F173" s="42">
        <v>10451396</v>
      </c>
      <c r="G173" s="42">
        <v>12910180</v>
      </c>
      <c r="H173" s="42">
        <f t="shared" si="36"/>
        <v>9024711</v>
      </c>
      <c r="I173" s="42">
        <v>103911.17000000027</v>
      </c>
      <c r="J173" s="43">
        <f t="shared" si="28"/>
        <v>1.151407175254701E-2</v>
      </c>
      <c r="K173" s="44">
        <v>2016889.9799999995</v>
      </c>
      <c r="L173" s="45">
        <f t="shared" si="29"/>
        <v>0.22348527060866541</v>
      </c>
      <c r="M173" s="42">
        <v>19041</v>
      </c>
      <c r="N173" s="45">
        <f t="shared" si="37"/>
        <v>1.4748826120162539E-3</v>
      </c>
      <c r="O173" s="44">
        <v>2765249</v>
      </c>
      <c r="P173" s="44">
        <v>688539</v>
      </c>
      <c r="Q173" s="44">
        <v>-4033743</v>
      </c>
      <c r="R173" s="46">
        <v>0.70837000000000006</v>
      </c>
      <c r="S173" s="46">
        <v>0.46761999999999998</v>
      </c>
      <c r="T173" s="47">
        <f t="shared" si="38"/>
        <v>0.58799999999999997</v>
      </c>
      <c r="U173" s="48">
        <v>0</v>
      </c>
      <c r="V173" s="45">
        <f t="shared" si="30"/>
        <v>0</v>
      </c>
      <c r="W173" s="49"/>
      <c r="X173" s="50"/>
      <c r="Y173" s="51"/>
      <c r="Z173" s="52"/>
      <c r="AA173" s="45" t="str">
        <f t="shared" si="31"/>
        <v/>
      </c>
      <c r="AB173" s="45" t="str">
        <f t="shared" si="32"/>
        <v/>
      </c>
      <c r="AC173" s="45" t="str">
        <f t="shared" si="33"/>
        <v/>
      </c>
      <c r="AD173" s="53" t="str">
        <f t="shared" si="39"/>
        <v/>
      </c>
      <c r="AE173" s="45">
        <f t="shared" si="34"/>
        <v>0.58799999999999997</v>
      </c>
      <c r="AF173" s="36">
        <f t="shared" si="40"/>
        <v>1</v>
      </c>
      <c r="AG173" s="54">
        <f t="shared" si="35"/>
        <v>0</v>
      </c>
      <c r="AH173" s="32" t="str">
        <f t="shared" si="41"/>
        <v/>
      </c>
      <c r="AI173" s="50"/>
      <c r="AJ173" s="50">
        <v>1</v>
      </c>
      <c r="AK173" s="50">
        <v>1</v>
      </c>
      <c r="AL173" s="50">
        <v>1</v>
      </c>
      <c r="AM173" s="50">
        <v>1</v>
      </c>
      <c r="AN173" s="50">
        <v>1</v>
      </c>
      <c r="AO173" s="50">
        <v>3</v>
      </c>
      <c r="AP173" s="50">
        <v>2</v>
      </c>
      <c r="AQ173" s="50">
        <v>2</v>
      </c>
      <c r="AR173" s="50">
        <v>1</v>
      </c>
      <c r="AU173" s="39"/>
      <c r="AW173" s="39"/>
    </row>
    <row r="174" spans="1:49" x14ac:dyDescent="0.25">
      <c r="A174" s="40" t="s">
        <v>209</v>
      </c>
      <c r="B174" s="41">
        <v>6801</v>
      </c>
      <c r="C174" s="40" t="s">
        <v>210</v>
      </c>
      <c r="D174" s="42">
        <v>6354901</v>
      </c>
      <c r="E174" s="42">
        <v>7042087</v>
      </c>
      <c r="F174" s="42">
        <v>13132172</v>
      </c>
      <c r="G174" s="42">
        <v>10352267</v>
      </c>
      <c r="H174" s="42">
        <f t="shared" si="36"/>
        <v>9220357</v>
      </c>
      <c r="I174" s="42">
        <v>53633.900000000125</v>
      </c>
      <c r="J174" s="43">
        <f t="shared" si="28"/>
        <v>5.8169005820490598E-3</v>
      </c>
      <c r="K174" s="44">
        <v>12098502.32</v>
      </c>
      <c r="L174" s="45">
        <f t="shared" si="29"/>
        <v>1.3121511802634107</v>
      </c>
      <c r="M174" s="42">
        <v>0</v>
      </c>
      <c r="N174" s="45">
        <f t="shared" si="37"/>
        <v>0</v>
      </c>
      <c r="O174" s="44">
        <v>6237362</v>
      </c>
      <c r="P174" s="44">
        <v>-3201928</v>
      </c>
      <c r="Q174" s="44">
        <v>-696031</v>
      </c>
      <c r="R174" s="46">
        <v>0.77278999999999998</v>
      </c>
      <c r="S174" s="46">
        <v>0.65654999999999997</v>
      </c>
      <c r="T174" s="47">
        <f t="shared" si="38"/>
        <v>0.7147</v>
      </c>
      <c r="U174" s="48">
        <v>34096</v>
      </c>
      <c r="V174" s="45">
        <f t="shared" si="30"/>
        <v>3.2935781119246632E-3</v>
      </c>
      <c r="W174" s="49"/>
      <c r="X174" s="50"/>
      <c r="Y174" s="51"/>
      <c r="Z174" s="52"/>
      <c r="AA174" s="45" t="str">
        <f t="shared" si="31"/>
        <v/>
      </c>
      <c r="AB174" s="45">
        <f t="shared" si="32"/>
        <v>1.3121511802634107</v>
      </c>
      <c r="AC174" s="45" t="str">
        <f t="shared" si="33"/>
        <v/>
      </c>
      <c r="AD174" s="53" t="str">
        <f t="shared" si="39"/>
        <v/>
      </c>
      <c r="AE174" s="45">
        <f t="shared" si="34"/>
        <v>0.7147</v>
      </c>
      <c r="AF174" s="36">
        <f t="shared" si="40"/>
        <v>2</v>
      </c>
      <c r="AG174" s="54">
        <f t="shared" si="35"/>
        <v>0</v>
      </c>
      <c r="AH174" s="32" t="str">
        <f t="shared" si="41"/>
        <v/>
      </c>
      <c r="AI174" s="50"/>
      <c r="AJ174" s="50">
        <v>2</v>
      </c>
      <c r="AK174" s="50">
        <v>2</v>
      </c>
      <c r="AL174" s="50">
        <v>1</v>
      </c>
      <c r="AM174" s="50">
        <v>1</v>
      </c>
      <c r="AN174" s="50">
        <v>1</v>
      </c>
      <c r="AO174" s="50">
        <v>1</v>
      </c>
      <c r="AP174" s="50">
        <v>0</v>
      </c>
      <c r="AQ174" s="50">
        <v>1</v>
      </c>
      <c r="AR174" s="50">
        <v>1</v>
      </c>
      <c r="AU174" s="39"/>
      <c r="AW174" s="39"/>
    </row>
    <row r="175" spans="1:49" x14ac:dyDescent="0.25">
      <c r="A175" s="40"/>
      <c r="B175" s="41">
        <v>6802</v>
      </c>
      <c r="C175" s="40" t="s">
        <v>69</v>
      </c>
      <c r="D175" s="42">
        <v>14209491</v>
      </c>
      <c r="E175" s="42">
        <v>17655529</v>
      </c>
      <c r="F175" s="42">
        <v>18142873</v>
      </c>
      <c r="G175" s="42">
        <v>32593869</v>
      </c>
      <c r="H175" s="42">
        <f t="shared" si="36"/>
        <v>20650441</v>
      </c>
      <c r="I175" s="42">
        <v>609137.50999999954</v>
      </c>
      <c r="J175" s="43">
        <f t="shared" si="28"/>
        <v>2.9497554555856679E-2</v>
      </c>
      <c r="K175" s="44">
        <v>14232077.010000002</v>
      </c>
      <c r="L175" s="45">
        <f t="shared" si="29"/>
        <v>0.68918997952634531</v>
      </c>
      <c r="M175" s="42">
        <v>95988</v>
      </c>
      <c r="N175" s="45">
        <f t="shared" si="37"/>
        <v>2.9449710312083538E-3</v>
      </c>
      <c r="O175" s="44">
        <v>4781874</v>
      </c>
      <c r="P175" s="44">
        <v>4224715</v>
      </c>
      <c r="Q175" s="44">
        <v>-10818662</v>
      </c>
      <c r="R175" s="46">
        <v>0.85723000000000005</v>
      </c>
      <c r="S175" s="46">
        <v>0.82750000000000001</v>
      </c>
      <c r="T175" s="47">
        <f t="shared" si="38"/>
        <v>0.84240000000000004</v>
      </c>
      <c r="U175" s="48">
        <v>11597</v>
      </c>
      <c r="V175" s="45">
        <f t="shared" si="30"/>
        <v>3.5580311131519856E-4</v>
      </c>
      <c r="W175" s="49"/>
      <c r="X175" s="50"/>
      <c r="Y175" s="51"/>
      <c r="Z175" s="52"/>
      <c r="AA175" s="45" t="str">
        <f t="shared" si="31"/>
        <v/>
      </c>
      <c r="AB175" s="45">
        <f t="shared" si="32"/>
        <v>0.68918997952634531</v>
      </c>
      <c r="AC175" s="45" t="str">
        <f t="shared" si="33"/>
        <v/>
      </c>
      <c r="AD175" s="53" t="str">
        <f t="shared" si="39"/>
        <v/>
      </c>
      <c r="AE175" s="45" t="str">
        <f t="shared" si="34"/>
        <v/>
      </c>
      <c r="AF175" s="36">
        <f t="shared" si="40"/>
        <v>1</v>
      </c>
      <c r="AG175" s="54">
        <f t="shared" si="35"/>
        <v>0</v>
      </c>
      <c r="AH175" s="32" t="str">
        <f t="shared" si="41"/>
        <v/>
      </c>
      <c r="AI175" s="50"/>
      <c r="AJ175" s="50">
        <v>0</v>
      </c>
      <c r="AK175" s="50">
        <v>0</v>
      </c>
      <c r="AL175" s="50">
        <v>0</v>
      </c>
      <c r="AM175" s="50">
        <v>0</v>
      </c>
      <c r="AN175" s="50">
        <v>0</v>
      </c>
      <c r="AO175" s="50">
        <v>1</v>
      </c>
      <c r="AP175" s="50">
        <v>0</v>
      </c>
      <c r="AQ175" s="50">
        <v>0</v>
      </c>
      <c r="AR175" s="50">
        <v>0</v>
      </c>
      <c r="AU175" s="39"/>
      <c r="AW175" s="39"/>
    </row>
    <row r="176" spans="1:49" x14ac:dyDescent="0.25">
      <c r="A176" s="40"/>
      <c r="B176" s="41">
        <v>6803</v>
      </c>
      <c r="C176" s="40" t="s">
        <v>211</v>
      </c>
      <c r="D176" s="42">
        <v>14474055</v>
      </c>
      <c r="E176" s="42">
        <v>15858790</v>
      </c>
      <c r="F176" s="42">
        <v>25666589</v>
      </c>
      <c r="G176" s="42">
        <v>31617723</v>
      </c>
      <c r="H176" s="42">
        <f t="shared" si="36"/>
        <v>21904289</v>
      </c>
      <c r="I176" s="42">
        <v>340370.27000000293</v>
      </c>
      <c r="J176" s="43">
        <f t="shared" si="28"/>
        <v>1.5538978233897613E-2</v>
      </c>
      <c r="K176" s="44">
        <v>10245179.159999998</v>
      </c>
      <c r="L176" s="45">
        <f t="shared" si="29"/>
        <v>0.46772479855429216</v>
      </c>
      <c r="M176" s="42">
        <v>7598</v>
      </c>
      <c r="N176" s="45">
        <f t="shared" si="37"/>
        <v>2.4030826002239313E-4</v>
      </c>
      <c r="O176" s="44">
        <v>6728621</v>
      </c>
      <c r="P176" s="44">
        <v>-2166541</v>
      </c>
      <c r="Q176" s="44">
        <v>-4379473</v>
      </c>
      <c r="R176" s="46">
        <v>0.86573</v>
      </c>
      <c r="S176" s="46">
        <v>0.54552</v>
      </c>
      <c r="T176" s="47">
        <f t="shared" si="38"/>
        <v>0.7056</v>
      </c>
      <c r="U176" s="48">
        <v>0</v>
      </c>
      <c r="V176" s="45">
        <f t="shared" si="30"/>
        <v>0</v>
      </c>
      <c r="W176" s="49"/>
      <c r="X176" s="50"/>
      <c r="Y176" s="51"/>
      <c r="Z176" s="52"/>
      <c r="AA176" s="45" t="str">
        <f t="shared" si="31"/>
        <v/>
      </c>
      <c r="AB176" s="45" t="str">
        <f t="shared" si="32"/>
        <v/>
      </c>
      <c r="AC176" s="45" t="str">
        <f t="shared" si="33"/>
        <v/>
      </c>
      <c r="AD176" s="53" t="str">
        <f t="shared" si="39"/>
        <v/>
      </c>
      <c r="AE176" s="45">
        <f t="shared" si="34"/>
        <v>0.7056</v>
      </c>
      <c r="AF176" s="36">
        <f t="shared" si="40"/>
        <v>1</v>
      </c>
      <c r="AG176" s="54">
        <f t="shared" si="35"/>
        <v>0</v>
      </c>
      <c r="AH176" s="32" t="str">
        <f t="shared" si="41"/>
        <v/>
      </c>
      <c r="AI176" s="50"/>
      <c r="AJ176" s="50">
        <v>2</v>
      </c>
      <c r="AK176" s="50">
        <v>1</v>
      </c>
      <c r="AL176" s="50">
        <v>1</v>
      </c>
      <c r="AM176" s="50">
        <v>1</v>
      </c>
      <c r="AN176" s="50">
        <v>1</v>
      </c>
      <c r="AO176" s="50">
        <v>1</v>
      </c>
      <c r="AP176" s="50">
        <v>1</v>
      </c>
      <c r="AQ176" s="50">
        <v>3</v>
      </c>
      <c r="AR176" s="50">
        <v>2</v>
      </c>
      <c r="AU176" s="39"/>
      <c r="AW176" s="39"/>
    </row>
    <row r="177" spans="1:49" x14ac:dyDescent="0.25">
      <c r="A177" s="40"/>
      <c r="B177" s="41">
        <v>6804</v>
      </c>
      <c r="C177" s="40" t="s">
        <v>212</v>
      </c>
      <c r="D177" s="42">
        <v>10740814</v>
      </c>
      <c r="E177" s="42">
        <v>12387010</v>
      </c>
      <c r="F177" s="42">
        <v>17374795</v>
      </c>
      <c r="G177" s="42">
        <v>16200412</v>
      </c>
      <c r="H177" s="42">
        <f t="shared" si="36"/>
        <v>14175758</v>
      </c>
      <c r="I177" s="42">
        <v>42761.80000000057</v>
      </c>
      <c r="J177" s="43">
        <f t="shared" si="28"/>
        <v>3.0165441594023098E-3</v>
      </c>
      <c r="K177" s="44">
        <v>8583322.5</v>
      </c>
      <c r="L177" s="45">
        <f t="shared" si="29"/>
        <v>0.60549301843330006</v>
      </c>
      <c r="M177" s="42">
        <v>9597</v>
      </c>
      <c r="N177" s="45">
        <f t="shared" si="37"/>
        <v>5.9239234162686727E-4</v>
      </c>
      <c r="O177" s="44">
        <v>910972</v>
      </c>
      <c r="P177" s="44">
        <v>-1311831</v>
      </c>
      <c r="Q177" s="44">
        <v>-793565</v>
      </c>
      <c r="R177" s="46">
        <v>0.81642000000000003</v>
      </c>
      <c r="S177" s="46">
        <v>0.62594000000000005</v>
      </c>
      <c r="T177" s="47">
        <f t="shared" si="38"/>
        <v>0.72119999999999995</v>
      </c>
      <c r="U177" s="48">
        <v>0</v>
      </c>
      <c r="V177" s="45">
        <f t="shared" si="30"/>
        <v>0</v>
      </c>
      <c r="W177" s="49"/>
      <c r="X177" s="50"/>
      <c r="Y177" s="51"/>
      <c r="Z177" s="52"/>
      <c r="AA177" s="45" t="str">
        <f t="shared" si="31"/>
        <v/>
      </c>
      <c r="AB177" s="45">
        <f t="shared" si="32"/>
        <v>0.60549301843330006</v>
      </c>
      <c r="AC177" s="45" t="str">
        <f t="shared" si="33"/>
        <v/>
      </c>
      <c r="AD177" s="53" t="str">
        <f t="shared" si="39"/>
        <v/>
      </c>
      <c r="AE177" s="45">
        <f t="shared" si="34"/>
        <v>0.72119999999999995</v>
      </c>
      <c r="AF177" s="36">
        <f t="shared" si="40"/>
        <v>2</v>
      </c>
      <c r="AG177" s="54">
        <f t="shared" si="35"/>
        <v>0</v>
      </c>
      <c r="AH177" s="32" t="str">
        <f t="shared" si="41"/>
        <v/>
      </c>
      <c r="AI177" s="50"/>
      <c r="AJ177" s="50">
        <v>0</v>
      </c>
      <c r="AK177" s="50">
        <v>0</v>
      </c>
      <c r="AL177" s="50">
        <v>0</v>
      </c>
      <c r="AM177" s="50">
        <v>0</v>
      </c>
      <c r="AN177" s="50">
        <v>1</v>
      </c>
      <c r="AO177" s="50">
        <v>1</v>
      </c>
      <c r="AP177" s="50">
        <v>1</v>
      </c>
      <c r="AQ177" s="50">
        <v>1</v>
      </c>
      <c r="AR177" s="50">
        <v>1</v>
      </c>
      <c r="AU177" s="39"/>
      <c r="AW177" s="39"/>
    </row>
    <row r="178" spans="1:49" x14ac:dyDescent="0.25">
      <c r="A178" s="40"/>
      <c r="B178" s="41">
        <v>6805</v>
      </c>
      <c r="C178" s="40" t="s">
        <v>213</v>
      </c>
      <c r="D178" s="42">
        <v>9599747</v>
      </c>
      <c r="E178" s="42">
        <v>12184564</v>
      </c>
      <c r="F178" s="42">
        <v>13570261</v>
      </c>
      <c r="G178" s="42">
        <v>24679672</v>
      </c>
      <c r="H178" s="42">
        <f t="shared" si="36"/>
        <v>15008561</v>
      </c>
      <c r="I178" s="42">
        <v>134545.23999999976</v>
      </c>
      <c r="J178" s="43">
        <f t="shared" si="28"/>
        <v>8.9645662898661469E-3</v>
      </c>
      <c r="K178" s="44">
        <v>10026499.210000001</v>
      </c>
      <c r="L178" s="45">
        <f t="shared" si="29"/>
        <v>0.66805200112122676</v>
      </c>
      <c r="M178" s="42">
        <v>0</v>
      </c>
      <c r="N178" s="45">
        <f t="shared" si="37"/>
        <v>0</v>
      </c>
      <c r="O178" s="44">
        <v>5066392</v>
      </c>
      <c r="P178" s="44">
        <v>2012476</v>
      </c>
      <c r="Q178" s="44">
        <v>-3844403</v>
      </c>
      <c r="R178" s="46">
        <v>0.75932999999999995</v>
      </c>
      <c r="S178" s="46">
        <v>0.60004999999999997</v>
      </c>
      <c r="T178" s="47">
        <f t="shared" si="38"/>
        <v>0.67969999999999997</v>
      </c>
      <c r="U178" s="48">
        <v>0</v>
      </c>
      <c r="V178" s="45">
        <f t="shared" si="30"/>
        <v>0</v>
      </c>
      <c r="W178" s="49"/>
      <c r="X178" s="50"/>
      <c r="Y178" s="51"/>
      <c r="Z178" s="52"/>
      <c r="AA178" s="45" t="str">
        <f t="shared" si="31"/>
        <v/>
      </c>
      <c r="AB178" s="45">
        <f t="shared" si="32"/>
        <v>0.66805200112122676</v>
      </c>
      <c r="AC178" s="45" t="str">
        <f t="shared" si="33"/>
        <v/>
      </c>
      <c r="AD178" s="53" t="str">
        <f t="shared" si="39"/>
        <v/>
      </c>
      <c r="AE178" s="45">
        <f t="shared" si="34"/>
        <v>0.67969999999999997</v>
      </c>
      <c r="AF178" s="36">
        <f t="shared" si="40"/>
        <v>2</v>
      </c>
      <c r="AG178" s="54">
        <f t="shared" si="35"/>
        <v>0</v>
      </c>
      <c r="AH178" s="32" t="str">
        <f t="shared" si="41"/>
        <v/>
      </c>
      <c r="AI178" s="50"/>
      <c r="AJ178" s="50">
        <v>3</v>
      </c>
      <c r="AK178" s="50">
        <v>1</v>
      </c>
      <c r="AL178" s="50">
        <v>1</v>
      </c>
      <c r="AM178" s="50">
        <v>1</v>
      </c>
      <c r="AN178" s="50">
        <v>1</v>
      </c>
      <c r="AO178" s="50">
        <v>2</v>
      </c>
      <c r="AP178" s="50">
        <v>1</v>
      </c>
      <c r="AQ178" s="50">
        <v>0</v>
      </c>
      <c r="AR178" s="50">
        <v>1</v>
      </c>
      <c r="AU178" s="39"/>
      <c r="AW178" s="39"/>
    </row>
    <row r="179" spans="1:49" x14ac:dyDescent="0.25">
      <c r="A179" s="40"/>
      <c r="B179" s="41">
        <v>6806</v>
      </c>
      <c r="C179" s="40" t="s">
        <v>209</v>
      </c>
      <c r="D179" s="42">
        <v>145654689</v>
      </c>
      <c r="E179" s="42">
        <v>172345469</v>
      </c>
      <c r="F179" s="42">
        <v>211080186</v>
      </c>
      <c r="G179" s="42">
        <v>256055113</v>
      </c>
      <c r="H179" s="42">
        <f t="shared" si="36"/>
        <v>196283864</v>
      </c>
      <c r="I179" s="42">
        <v>2475942.0200000019</v>
      </c>
      <c r="J179" s="43">
        <f t="shared" si="28"/>
        <v>1.2614088440810406E-2</v>
      </c>
      <c r="K179" s="44">
        <v>99458777.420000002</v>
      </c>
      <c r="L179" s="45">
        <f t="shared" si="29"/>
        <v>0.50670888270265557</v>
      </c>
      <c r="M179" s="42">
        <v>0</v>
      </c>
      <c r="N179" s="45">
        <f t="shared" si="37"/>
        <v>0</v>
      </c>
      <c r="O179" s="44">
        <v>16013118</v>
      </c>
      <c r="P179" s="44">
        <v>-25467892</v>
      </c>
      <c r="Q179" s="44">
        <v>20657956</v>
      </c>
      <c r="R179" s="46">
        <v>0.85458999999999996</v>
      </c>
      <c r="S179" s="46">
        <v>0.57238</v>
      </c>
      <c r="T179" s="47">
        <f t="shared" si="38"/>
        <v>0.71350000000000002</v>
      </c>
      <c r="U179" s="48">
        <v>0</v>
      </c>
      <c r="V179" s="45">
        <f t="shared" si="30"/>
        <v>0</v>
      </c>
      <c r="W179" s="49"/>
      <c r="X179" s="50"/>
      <c r="Y179" s="51"/>
      <c r="Z179" s="52"/>
      <c r="AA179" s="45" t="str">
        <f t="shared" si="31"/>
        <v/>
      </c>
      <c r="AB179" s="45">
        <f t="shared" si="32"/>
        <v>0.50670888270265557</v>
      </c>
      <c r="AC179" s="45" t="str">
        <f t="shared" si="33"/>
        <v/>
      </c>
      <c r="AD179" s="53" t="str">
        <f t="shared" si="39"/>
        <v/>
      </c>
      <c r="AE179" s="45">
        <f t="shared" si="34"/>
        <v>0.71350000000000002</v>
      </c>
      <c r="AF179" s="36">
        <f t="shared" si="40"/>
        <v>2</v>
      </c>
      <c r="AG179" s="54">
        <f t="shared" si="35"/>
        <v>0</v>
      </c>
      <c r="AH179" s="32" t="str">
        <f t="shared" si="41"/>
        <v/>
      </c>
      <c r="AI179" s="50"/>
      <c r="AJ179" s="50">
        <v>1</v>
      </c>
      <c r="AK179" s="50">
        <v>1</v>
      </c>
      <c r="AL179" s="50">
        <v>1</v>
      </c>
      <c r="AM179" s="50">
        <v>1</v>
      </c>
      <c r="AN179" s="50">
        <v>1</v>
      </c>
      <c r="AO179" s="50">
        <v>1</v>
      </c>
      <c r="AP179" s="50">
        <v>0</v>
      </c>
      <c r="AQ179" s="50">
        <v>0</v>
      </c>
      <c r="AR179" s="50">
        <v>0</v>
      </c>
      <c r="AU179" s="39"/>
      <c r="AW179" s="39"/>
    </row>
    <row r="180" spans="1:49" x14ac:dyDescent="0.25">
      <c r="A180" s="40"/>
      <c r="B180" s="41">
        <v>6807</v>
      </c>
      <c r="C180" s="40" t="s">
        <v>214</v>
      </c>
      <c r="D180" s="42">
        <v>11645866</v>
      </c>
      <c r="E180" s="42">
        <v>13585312</v>
      </c>
      <c r="F180" s="42">
        <v>15102897</v>
      </c>
      <c r="G180" s="42">
        <v>18709200</v>
      </c>
      <c r="H180" s="42">
        <f t="shared" si="36"/>
        <v>14760819</v>
      </c>
      <c r="I180" s="42">
        <v>3287341.8600000003</v>
      </c>
      <c r="J180" s="43">
        <f t="shared" si="28"/>
        <v>0.22270728067324722</v>
      </c>
      <c r="K180" s="44">
        <v>10587256.530000001</v>
      </c>
      <c r="L180" s="45">
        <f t="shared" si="29"/>
        <v>0.71725400399530681</v>
      </c>
      <c r="M180" s="42">
        <v>0</v>
      </c>
      <c r="N180" s="45">
        <f t="shared" si="37"/>
        <v>0</v>
      </c>
      <c r="O180" s="44">
        <v>284189</v>
      </c>
      <c r="P180" s="44">
        <v>1877708</v>
      </c>
      <c r="Q180" s="44">
        <v>-378383</v>
      </c>
      <c r="R180" s="46">
        <v>0.89459</v>
      </c>
      <c r="S180" s="46">
        <v>0.69208999999999998</v>
      </c>
      <c r="T180" s="47">
        <f t="shared" si="38"/>
        <v>0.79330000000000001</v>
      </c>
      <c r="U180" s="48">
        <v>0</v>
      </c>
      <c r="V180" s="45">
        <f t="shared" si="30"/>
        <v>0</v>
      </c>
      <c r="W180" s="49"/>
      <c r="X180" s="50"/>
      <c r="Y180" s="51"/>
      <c r="Z180" s="52"/>
      <c r="AA180" s="45">
        <f t="shared" si="31"/>
        <v>0.22270728067324722</v>
      </c>
      <c r="AB180" s="45">
        <f t="shared" si="32"/>
        <v>0.71725400399530681</v>
      </c>
      <c r="AC180" s="45" t="str">
        <f t="shared" si="33"/>
        <v/>
      </c>
      <c r="AD180" s="53" t="str">
        <f t="shared" si="39"/>
        <v/>
      </c>
      <c r="AE180" s="45" t="str">
        <f t="shared" si="34"/>
        <v/>
      </c>
      <c r="AF180" s="36">
        <f t="shared" si="40"/>
        <v>2</v>
      </c>
      <c r="AG180" s="54">
        <f t="shared" si="35"/>
        <v>0</v>
      </c>
      <c r="AH180" s="32" t="str">
        <f t="shared" si="41"/>
        <v/>
      </c>
      <c r="AI180" s="50"/>
      <c r="AJ180" s="50">
        <v>0</v>
      </c>
      <c r="AK180" s="50">
        <v>0</v>
      </c>
      <c r="AL180" s="50">
        <v>0</v>
      </c>
      <c r="AM180" s="50">
        <v>0</v>
      </c>
      <c r="AN180" s="50">
        <v>0</v>
      </c>
      <c r="AO180" s="50">
        <v>0</v>
      </c>
      <c r="AP180" s="50">
        <v>0</v>
      </c>
      <c r="AQ180" s="50">
        <v>0</v>
      </c>
      <c r="AR180" s="50">
        <v>0</v>
      </c>
      <c r="AU180" s="39"/>
      <c r="AW180" s="39"/>
    </row>
    <row r="181" spans="1:49" x14ac:dyDescent="0.25">
      <c r="A181" s="40"/>
      <c r="B181" s="41">
        <v>6808</v>
      </c>
      <c r="C181" s="40" t="s">
        <v>215</v>
      </c>
      <c r="D181" s="42">
        <v>6949325</v>
      </c>
      <c r="E181" s="42">
        <v>8596788</v>
      </c>
      <c r="F181" s="42">
        <v>14552225</v>
      </c>
      <c r="G181" s="42">
        <v>14198074</v>
      </c>
      <c r="H181" s="42">
        <f t="shared" si="36"/>
        <v>11074103</v>
      </c>
      <c r="I181" s="42">
        <v>2755894.4599999995</v>
      </c>
      <c r="J181" s="43">
        <f t="shared" si="28"/>
        <v>0.24885938481879746</v>
      </c>
      <c r="K181" s="44">
        <v>5203001.28</v>
      </c>
      <c r="L181" s="45">
        <f t="shared" si="29"/>
        <v>0.46983500875872297</v>
      </c>
      <c r="M181" s="42">
        <v>0</v>
      </c>
      <c r="N181" s="45">
        <f t="shared" si="37"/>
        <v>0</v>
      </c>
      <c r="O181" s="44">
        <v>5474340</v>
      </c>
      <c r="P181" s="44">
        <v>-1827459</v>
      </c>
      <c r="Q181" s="44">
        <v>-3463214</v>
      </c>
      <c r="R181" s="46">
        <v>0.83701000000000003</v>
      </c>
      <c r="S181" s="46">
        <v>0.77214000000000005</v>
      </c>
      <c r="T181" s="47">
        <f t="shared" si="38"/>
        <v>0.80459999999999998</v>
      </c>
      <c r="U181" s="48">
        <v>0</v>
      </c>
      <c r="V181" s="45">
        <f t="shared" si="30"/>
        <v>0</v>
      </c>
      <c r="W181" s="49"/>
      <c r="X181" s="50"/>
      <c r="Y181" s="51"/>
      <c r="Z181" s="52"/>
      <c r="AA181" s="45">
        <f t="shared" si="31"/>
        <v>0.24885938481879746</v>
      </c>
      <c r="AB181" s="45" t="str">
        <f t="shared" si="32"/>
        <v/>
      </c>
      <c r="AC181" s="45" t="str">
        <f t="shared" si="33"/>
        <v/>
      </c>
      <c r="AD181" s="53" t="str">
        <f t="shared" si="39"/>
        <v/>
      </c>
      <c r="AE181" s="45" t="str">
        <f t="shared" si="34"/>
        <v/>
      </c>
      <c r="AF181" s="36">
        <f t="shared" si="40"/>
        <v>1</v>
      </c>
      <c r="AG181" s="54">
        <f t="shared" si="35"/>
        <v>0</v>
      </c>
      <c r="AH181" s="32" t="str">
        <f t="shared" si="41"/>
        <v/>
      </c>
      <c r="AI181" s="50"/>
      <c r="AJ181" s="50">
        <v>1</v>
      </c>
      <c r="AK181" s="50">
        <v>1</v>
      </c>
      <c r="AL181" s="50">
        <v>0</v>
      </c>
      <c r="AM181" s="50">
        <v>0</v>
      </c>
      <c r="AN181" s="50">
        <v>0</v>
      </c>
      <c r="AO181" s="50">
        <v>0</v>
      </c>
      <c r="AP181" s="50">
        <v>0</v>
      </c>
      <c r="AQ181" s="50">
        <v>0</v>
      </c>
      <c r="AR181" s="50">
        <v>0</v>
      </c>
      <c r="AU181" s="39"/>
      <c r="AW181" s="39"/>
    </row>
    <row r="182" spans="1:49" x14ac:dyDescent="0.25">
      <c r="A182" s="40" t="s">
        <v>216</v>
      </c>
      <c r="B182" s="41">
        <v>6901</v>
      </c>
      <c r="C182" s="40" t="s">
        <v>217</v>
      </c>
      <c r="D182" s="42">
        <v>5081859</v>
      </c>
      <c r="E182" s="42">
        <v>6468606</v>
      </c>
      <c r="F182" s="42">
        <v>9753762</v>
      </c>
      <c r="G182" s="42">
        <v>9935183</v>
      </c>
      <c r="H182" s="42">
        <f t="shared" si="36"/>
        <v>7809853</v>
      </c>
      <c r="I182" s="42">
        <v>26258.590000000244</v>
      </c>
      <c r="J182" s="43">
        <f t="shared" si="28"/>
        <v>3.3622387002675011E-3</v>
      </c>
      <c r="K182" s="44">
        <v>1543791.1</v>
      </c>
      <c r="L182" s="45">
        <f t="shared" si="29"/>
        <v>0.19767223531608086</v>
      </c>
      <c r="M182" s="42">
        <v>0</v>
      </c>
      <c r="N182" s="45">
        <f t="shared" si="37"/>
        <v>0</v>
      </c>
      <c r="O182" s="44">
        <v>2148209</v>
      </c>
      <c r="P182" s="44">
        <v>-193917</v>
      </c>
      <c r="Q182" s="44">
        <v>-1036981</v>
      </c>
      <c r="R182" s="46">
        <v>0.74782999999999999</v>
      </c>
      <c r="S182" s="46">
        <v>0.58645000000000003</v>
      </c>
      <c r="T182" s="47">
        <f t="shared" si="38"/>
        <v>0.66710000000000003</v>
      </c>
      <c r="U182" s="48">
        <v>0</v>
      </c>
      <c r="V182" s="45">
        <f t="shared" si="30"/>
        <v>0</v>
      </c>
      <c r="W182" s="49"/>
      <c r="X182" s="50"/>
      <c r="Y182" s="51"/>
      <c r="Z182" s="52"/>
      <c r="AA182" s="45" t="str">
        <f t="shared" si="31"/>
        <v/>
      </c>
      <c r="AB182" s="45" t="str">
        <f t="shared" si="32"/>
        <v/>
      </c>
      <c r="AC182" s="45" t="str">
        <f t="shared" si="33"/>
        <v/>
      </c>
      <c r="AD182" s="53" t="str">
        <f t="shared" si="39"/>
        <v/>
      </c>
      <c r="AE182" s="45">
        <f t="shared" si="34"/>
        <v>0.66710000000000003</v>
      </c>
      <c r="AF182" s="36">
        <f t="shared" si="40"/>
        <v>1</v>
      </c>
      <c r="AG182" s="54">
        <f t="shared" si="35"/>
        <v>0</v>
      </c>
      <c r="AH182" s="32" t="str">
        <f t="shared" si="41"/>
        <v/>
      </c>
      <c r="AI182" s="50"/>
      <c r="AJ182" s="50">
        <v>1</v>
      </c>
      <c r="AK182" s="50">
        <v>1</v>
      </c>
      <c r="AL182" s="50">
        <v>1</v>
      </c>
      <c r="AM182" s="50">
        <v>1</v>
      </c>
      <c r="AN182" s="50">
        <v>1</v>
      </c>
      <c r="AO182" s="50">
        <v>1</v>
      </c>
      <c r="AP182" s="50">
        <v>1</v>
      </c>
      <c r="AQ182" s="50">
        <v>1</v>
      </c>
      <c r="AR182" s="50">
        <v>0</v>
      </c>
      <c r="AU182" s="39"/>
      <c r="AW182" s="39"/>
    </row>
    <row r="183" spans="1:49" x14ac:dyDescent="0.25">
      <c r="A183" s="40"/>
      <c r="B183" s="41">
        <v>6902</v>
      </c>
      <c r="C183" s="40" t="s">
        <v>218</v>
      </c>
      <c r="D183" s="42">
        <v>14511266</v>
      </c>
      <c r="E183" s="42">
        <v>16908048</v>
      </c>
      <c r="F183" s="42">
        <v>23924222</v>
      </c>
      <c r="G183" s="42">
        <v>22192189</v>
      </c>
      <c r="H183" s="42">
        <f t="shared" si="36"/>
        <v>19383931</v>
      </c>
      <c r="I183" s="42">
        <v>526826.51000000024</v>
      </c>
      <c r="J183" s="43">
        <f t="shared" si="28"/>
        <v>2.7178517608218902E-2</v>
      </c>
      <c r="K183" s="44">
        <v>10676136.6</v>
      </c>
      <c r="L183" s="45">
        <f t="shared" si="29"/>
        <v>0.55077252390136966</v>
      </c>
      <c r="M183" s="42">
        <v>0</v>
      </c>
      <c r="N183" s="45">
        <f t="shared" si="37"/>
        <v>0</v>
      </c>
      <c r="O183" s="44">
        <v>1366317</v>
      </c>
      <c r="P183" s="44">
        <v>-4915382</v>
      </c>
      <c r="Q183" s="44">
        <v>-72058</v>
      </c>
      <c r="R183" s="46">
        <v>0.73594999999999999</v>
      </c>
      <c r="S183" s="46">
        <v>0.64868000000000003</v>
      </c>
      <c r="T183" s="47">
        <f t="shared" si="38"/>
        <v>0.69230000000000003</v>
      </c>
      <c r="U183" s="48">
        <v>0</v>
      </c>
      <c r="V183" s="45">
        <f t="shared" si="30"/>
        <v>0</v>
      </c>
      <c r="W183" s="49"/>
      <c r="X183" s="50"/>
      <c r="Y183" s="51"/>
      <c r="Z183" s="52"/>
      <c r="AA183" s="45" t="str">
        <f t="shared" si="31"/>
        <v/>
      </c>
      <c r="AB183" s="45">
        <f t="shared" si="32"/>
        <v>0.55077252390136966</v>
      </c>
      <c r="AC183" s="45" t="str">
        <f t="shared" si="33"/>
        <v/>
      </c>
      <c r="AD183" s="53" t="str">
        <f t="shared" si="39"/>
        <v/>
      </c>
      <c r="AE183" s="45">
        <f t="shared" si="34"/>
        <v>0.69230000000000003</v>
      </c>
      <c r="AF183" s="36">
        <f t="shared" si="40"/>
        <v>2</v>
      </c>
      <c r="AG183" s="54">
        <f t="shared" si="35"/>
        <v>0</v>
      </c>
      <c r="AH183" s="32" t="str">
        <f t="shared" si="41"/>
        <v/>
      </c>
      <c r="AI183" s="50"/>
      <c r="AJ183" s="50">
        <v>2</v>
      </c>
      <c r="AK183" s="50">
        <v>2</v>
      </c>
      <c r="AL183" s="50">
        <v>2</v>
      </c>
      <c r="AM183" s="50">
        <v>2</v>
      </c>
      <c r="AN183" s="50">
        <v>2</v>
      </c>
      <c r="AO183" s="50">
        <v>2</v>
      </c>
      <c r="AP183" s="50">
        <v>2</v>
      </c>
      <c r="AQ183" s="50">
        <v>1</v>
      </c>
      <c r="AR183" s="50">
        <v>1</v>
      </c>
      <c r="AU183" s="39"/>
      <c r="AW183" s="39"/>
    </row>
    <row r="184" spans="1:49" x14ac:dyDescent="0.25">
      <c r="A184" s="40"/>
      <c r="B184" s="41">
        <v>6903</v>
      </c>
      <c r="C184" s="40" t="s">
        <v>219</v>
      </c>
      <c r="D184" s="42">
        <v>31782361</v>
      </c>
      <c r="E184" s="42">
        <v>33693603</v>
      </c>
      <c r="F184" s="42">
        <v>42874790</v>
      </c>
      <c r="G184" s="42">
        <v>49395232</v>
      </c>
      <c r="H184" s="42">
        <f t="shared" si="36"/>
        <v>39436497</v>
      </c>
      <c r="I184" s="42">
        <v>595262.13000000059</v>
      </c>
      <c r="J184" s="43">
        <f t="shared" si="28"/>
        <v>1.509419383775391E-2</v>
      </c>
      <c r="K184" s="44">
        <v>4394488.6900000004</v>
      </c>
      <c r="L184" s="45">
        <f t="shared" si="29"/>
        <v>0.11143202424900975</v>
      </c>
      <c r="M184" s="42">
        <v>667731</v>
      </c>
      <c r="N184" s="45">
        <f t="shared" si="37"/>
        <v>1.3518126607847495E-2</v>
      </c>
      <c r="O184" s="44">
        <v>6756541</v>
      </c>
      <c r="P184" s="44">
        <v>-598193</v>
      </c>
      <c r="Q184" s="44">
        <v>-3953312</v>
      </c>
      <c r="R184" s="46">
        <v>0.84687000000000001</v>
      </c>
      <c r="S184" s="46">
        <v>0.66420999999999997</v>
      </c>
      <c r="T184" s="47">
        <f t="shared" si="38"/>
        <v>0.75549999999999995</v>
      </c>
      <c r="U184" s="48">
        <v>39037</v>
      </c>
      <c r="V184" s="45">
        <f t="shared" si="30"/>
        <v>7.9029895031164138E-4</v>
      </c>
      <c r="W184" s="49"/>
      <c r="X184" s="50"/>
      <c r="Y184" s="51"/>
      <c r="Z184" s="52"/>
      <c r="AA184" s="45" t="str">
        <f t="shared" si="31"/>
        <v/>
      </c>
      <c r="AB184" s="45" t="str">
        <f t="shared" si="32"/>
        <v/>
      </c>
      <c r="AC184" s="45" t="str">
        <f t="shared" si="33"/>
        <v/>
      </c>
      <c r="AD184" s="53" t="str">
        <f t="shared" si="39"/>
        <v/>
      </c>
      <c r="AE184" s="45">
        <f t="shared" si="34"/>
        <v>0.75549999999999995</v>
      </c>
      <c r="AF184" s="36">
        <f t="shared" si="40"/>
        <v>1</v>
      </c>
      <c r="AG184" s="54">
        <f t="shared" si="35"/>
        <v>0</v>
      </c>
      <c r="AH184" s="32" t="str">
        <f t="shared" si="41"/>
        <v/>
      </c>
      <c r="AI184" s="50"/>
      <c r="AJ184" s="50">
        <v>1</v>
      </c>
      <c r="AK184" s="50">
        <v>1</v>
      </c>
      <c r="AL184" s="50">
        <v>1</v>
      </c>
      <c r="AM184" s="50">
        <v>1</v>
      </c>
      <c r="AN184" s="50">
        <v>2</v>
      </c>
      <c r="AO184" s="50">
        <v>2</v>
      </c>
      <c r="AP184" s="50">
        <v>2</v>
      </c>
      <c r="AQ184" s="50">
        <v>2</v>
      </c>
      <c r="AR184" s="50">
        <v>2</v>
      </c>
      <c r="AU184" s="39"/>
      <c r="AW184" s="39"/>
    </row>
    <row r="185" spans="1:49" x14ac:dyDescent="0.25">
      <c r="A185" s="40"/>
      <c r="B185" s="41">
        <v>6904</v>
      </c>
      <c r="C185" s="40" t="s">
        <v>220</v>
      </c>
      <c r="D185" s="42">
        <v>11208006</v>
      </c>
      <c r="E185" s="42">
        <v>13255592</v>
      </c>
      <c r="F185" s="42">
        <v>14187636</v>
      </c>
      <c r="G185" s="42">
        <v>16069225</v>
      </c>
      <c r="H185" s="42">
        <f t="shared" si="36"/>
        <v>13680115</v>
      </c>
      <c r="I185" s="42">
        <v>74108.289999999775</v>
      </c>
      <c r="J185" s="43">
        <f t="shared" si="28"/>
        <v>5.4172271212632184E-3</v>
      </c>
      <c r="K185" s="44">
        <v>4186725.8800000004</v>
      </c>
      <c r="L185" s="45">
        <f t="shared" si="29"/>
        <v>0.30604464070660226</v>
      </c>
      <c r="M185" s="42">
        <v>0</v>
      </c>
      <c r="N185" s="45">
        <f t="shared" si="37"/>
        <v>0</v>
      </c>
      <c r="O185" s="44">
        <v>841893</v>
      </c>
      <c r="P185" s="44">
        <v>944513</v>
      </c>
      <c r="Q185" s="44">
        <v>-769303</v>
      </c>
      <c r="R185" s="46">
        <v>0.62546000000000002</v>
      </c>
      <c r="S185" s="46">
        <v>0.33354</v>
      </c>
      <c r="T185" s="47">
        <f t="shared" si="38"/>
        <v>0.47949999999999998</v>
      </c>
      <c r="U185" s="48">
        <v>0</v>
      </c>
      <c r="V185" s="45">
        <f t="shared" si="30"/>
        <v>0</v>
      </c>
      <c r="W185" s="49"/>
      <c r="X185" s="50"/>
      <c r="Y185" s="51"/>
      <c r="Z185" s="52"/>
      <c r="AA185" s="45" t="str">
        <f t="shared" si="31"/>
        <v/>
      </c>
      <c r="AB185" s="45" t="str">
        <f t="shared" si="32"/>
        <v/>
      </c>
      <c r="AC185" s="45" t="str">
        <f t="shared" si="33"/>
        <v/>
      </c>
      <c r="AD185" s="53" t="str">
        <f t="shared" si="39"/>
        <v/>
      </c>
      <c r="AE185" s="45">
        <f t="shared" si="34"/>
        <v>0.47949999999999998</v>
      </c>
      <c r="AF185" s="36">
        <f t="shared" si="40"/>
        <v>1</v>
      </c>
      <c r="AG185" s="54">
        <f t="shared" si="35"/>
        <v>0</v>
      </c>
      <c r="AH185" s="32" t="str">
        <f t="shared" si="41"/>
        <v/>
      </c>
      <c r="AI185" s="50"/>
      <c r="AJ185" s="50">
        <v>1</v>
      </c>
      <c r="AK185" s="50">
        <v>1</v>
      </c>
      <c r="AL185" s="50">
        <v>1</v>
      </c>
      <c r="AM185" s="50">
        <v>1</v>
      </c>
      <c r="AN185" s="50">
        <v>1</v>
      </c>
      <c r="AO185" s="50">
        <v>1</v>
      </c>
      <c r="AP185" s="50">
        <v>1</v>
      </c>
      <c r="AQ185" s="50">
        <v>2</v>
      </c>
      <c r="AR185" s="50">
        <v>1</v>
      </c>
      <c r="AU185" s="39"/>
      <c r="AW185" s="39"/>
    </row>
    <row r="186" spans="1:49" x14ac:dyDescent="0.25">
      <c r="A186" s="40"/>
      <c r="B186" s="41">
        <v>6905</v>
      </c>
      <c r="C186" s="40" t="s">
        <v>216</v>
      </c>
      <c r="D186" s="42">
        <v>56255196</v>
      </c>
      <c r="E186" s="42">
        <v>63806973</v>
      </c>
      <c r="F186" s="42">
        <v>79439640</v>
      </c>
      <c r="G186" s="42">
        <v>99158887</v>
      </c>
      <c r="H186" s="42">
        <f t="shared" si="36"/>
        <v>74665174</v>
      </c>
      <c r="I186" s="42">
        <v>14842538.239999998</v>
      </c>
      <c r="J186" s="43">
        <f t="shared" si="28"/>
        <v>0.1987879682701871</v>
      </c>
      <c r="K186" s="44">
        <v>32961150.859999999</v>
      </c>
      <c r="L186" s="45">
        <f t="shared" si="29"/>
        <v>0.44145280984679686</v>
      </c>
      <c r="M186" s="42">
        <v>1445927</v>
      </c>
      <c r="N186" s="45">
        <f t="shared" si="37"/>
        <v>1.4581920428372698E-2</v>
      </c>
      <c r="O186" s="44">
        <v>2039853</v>
      </c>
      <c r="P186" s="44">
        <v>-1077762</v>
      </c>
      <c r="Q186" s="44">
        <v>2447866</v>
      </c>
      <c r="R186" s="46">
        <v>0.84675</v>
      </c>
      <c r="S186" s="46">
        <v>0.53261000000000003</v>
      </c>
      <c r="T186" s="47">
        <f t="shared" si="38"/>
        <v>0.68969999999999998</v>
      </c>
      <c r="U186" s="48">
        <v>0</v>
      </c>
      <c r="V186" s="45">
        <f t="shared" si="30"/>
        <v>0</v>
      </c>
      <c r="W186" s="49"/>
      <c r="X186" s="50"/>
      <c r="Y186" s="51"/>
      <c r="Z186" s="52"/>
      <c r="AA186" s="45">
        <f t="shared" si="31"/>
        <v>0.1987879682701871</v>
      </c>
      <c r="AB186" s="45" t="str">
        <f t="shared" si="32"/>
        <v/>
      </c>
      <c r="AC186" s="45" t="str">
        <f t="shared" si="33"/>
        <v/>
      </c>
      <c r="AD186" s="53" t="str">
        <f t="shared" si="39"/>
        <v/>
      </c>
      <c r="AE186" s="45">
        <f t="shared" si="34"/>
        <v>0.68969999999999998</v>
      </c>
      <c r="AF186" s="36">
        <f t="shared" si="40"/>
        <v>2</v>
      </c>
      <c r="AG186" s="54">
        <f t="shared" si="35"/>
        <v>0</v>
      </c>
      <c r="AH186" s="32" t="str">
        <f t="shared" si="41"/>
        <v/>
      </c>
      <c r="AI186" s="50"/>
      <c r="AJ186" s="50">
        <v>1</v>
      </c>
      <c r="AK186" s="50">
        <v>1</v>
      </c>
      <c r="AL186" s="50">
        <v>1</v>
      </c>
      <c r="AM186" s="50">
        <v>1</v>
      </c>
      <c r="AN186" s="50">
        <v>1</v>
      </c>
      <c r="AO186" s="50">
        <v>1</v>
      </c>
      <c r="AP186" s="50">
        <v>2</v>
      </c>
      <c r="AQ186" s="50">
        <v>1</v>
      </c>
      <c r="AR186" s="50">
        <v>2</v>
      </c>
      <c r="AU186" s="39"/>
      <c r="AW186" s="39"/>
    </row>
    <row r="187" spans="1:49" x14ac:dyDescent="0.25">
      <c r="A187" s="40"/>
      <c r="B187" s="41">
        <v>6906</v>
      </c>
      <c r="C187" s="40" t="s">
        <v>221</v>
      </c>
      <c r="D187" s="42">
        <v>7368867</v>
      </c>
      <c r="E187" s="42">
        <v>9154697</v>
      </c>
      <c r="F187" s="42">
        <v>11482631</v>
      </c>
      <c r="G187" s="42">
        <v>13025517</v>
      </c>
      <c r="H187" s="42">
        <f t="shared" si="36"/>
        <v>10257928</v>
      </c>
      <c r="I187" s="42">
        <v>817541.78000000026</v>
      </c>
      <c r="J187" s="43">
        <f t="shared" si="28"/>
        <v>7.9698529761565912E-2</v>
      </c>
      <c r="K187" s="44">
        <v>11768704.08</v>
      </c>
      <c r="L187" s="45">
        <f t="shared" si="29"/>
        <v>1.1472788734723036</v>
      </c>
      <c r="M187" s="42">
        <v>0</v>
      </c>
      <c r="N187" s="45">
        <f t="shared" si="37"/>
        <v>0</v>
      </c>
      <c r="O187" s="44">
        <v>-219516</v>
      </c>
      <c r="P187" s="44">
        <v>-15468</v>
      </c>
      <c r="Q187" s="44">
        <v>95461</v>
      </c>
      <c r="R187" s="46">
        <v>0.82137000000000004</v>
      </c>
      <c r="S187" s="46">
        <v>0.56389999999999996</v>
      </c>
      <c r="T187" s="47">
        <f t="shared" si="38"/>
        <v>0.69259999999999999</v>
      </c>
      <c r="U187" s="48">
        <v>0</v>
      </c>
      <c r="V187" s="45">
        <f t="shared" si="30"/>
        <v>0</v>
      </c>
      <c r="W187" s="49"/>
      <c r="X187" s="50"/>
      <c r="Y187" s="51"/>
      <c r="Z187" s="52"/>
      <c r="AA187" s="45" t="str">
        <f t="shared" si="31"/>
        <v/>
      </c>
      <c r="AB187" s="45">
        <f t="shared" si="32"/>
        <v>1.1472788734723036</v>
      </c>
      <c r="AC187" s="45" t="str">
        <f t="shared" si="33"/>
        <v/>
      </c>
      <c r="AD187" s="53" t="str">
        <f t="shared" si="39"/>
        <v/>
      </c>
      <c r="AE187" s="45">
        <f t="shared" si="34"/>
        <v>0.69259999999999999</v>
      </c>
      <c r="AF187" s="36">
        <f t="shared" si="40"/>
        <v>2</v>
      </c>
      <c r="AG187" s="54">
        <f t="shared" si="35"/>
        <v>0</v>
      </c>
      <c r="AH187" s="32" t="str">
        <f t="shared" si="41"/>
        <v/>
      </c>
      <c r="AI187" s="50"/>
      <c r="AJ187" s="50">
        <v>1</v>
      </c>
      <c r="AK187" s="50">
        <v>1</v>
      </c>
      <c r="AL187" s="50">
        <v>1</v>
      </c>
      <c r="AM187" s="50">
        <v>1</v>
      </c>
      <c r="AN187" s="50">
        <v>2</v>
      </c>
      <c r="AO187" s="50">
        <v>2</v>
      </c>
      <c r="AP187" s="50">
        <v>1</v>
      </c>
      <c r="AQ187" s="50">
        <v>1</v>
      </c>
      <c r="AR187" s="50">
        <v>0</v>
      </c>
      <c r="AU187" s="39"/>
      <c r="AW187" s="39"/>
    </row>
    <row r="188" spans="1:49" x14ac:dyDescent="0.25">
      <c r="A188" s="40"/>
      <c r="B188" s="41">
        <v>6907</v>
      </c>
      <c r="C188" s="40" t="s">
        <v>222</v>
      </c>
      <c r="D188" s="42">
        <v>19928512</v>
      </c>
      <c r="E188" s="42">
        <v>24225401</v>
      </c>
      <c r="F188" s="42">
        <v>28227705</v>
      </c>
      <c r="G188" s="42">
        <v>32555967</v>
      </c>
      <c r="H188" s="42">
        <f t="shared" si="36"/>
        <v>26234396</v>
      </c>
      <c r="I188" s="42">
        <v>2451067.100000001</v>
      </c>
      <c r="J188" s="43">
        <f t="shared" si="28"/>
        <v>9.3429522829494571E-2</v>
      </c>
      <c r="K188" s="44">
        <v>5600648.1699999981</v>
      </c>
      <c r="L188" s="45">
        <f t="shared" si="29"/>
        <v>0.21348492909842476</v>
      </c>
      <c r="M188" s="42">
        <v>1652541</v>
      </c>
      <c r="N188" s="45">
        <f t="shared" si="37"/>
        <v>5.0760003534835875E-2</v>
      </c>
      <c r="O188" s="44">
        <v>-3608447</v>
      </c>
      <c r="P188" s="44">
        <v>-3853157</v>
      </c>
      <c r="Q188" s="44">
        <v>1345741</v>
      </c>
      <c r="R188" s="46">
        <v>0.86407999999999996</v>
      </c>
      <c r="S188" s="46">
        <v>0.78986000000000001</v>
      </c>
      <c r="T188" s="47">
        <f t="shared" si="38"/>
        <v>0.82699999999999996</v>
      </c>
      <c r="U188" s="48">
        <v>0</v>
      </c>
      <c r="V188" s="45">
        <f t="shared" si="30"/>
        <v>0</v>
      </c>
      <c r="W188" s="49"/>
      <c r="X188" s="50"/>
      <c r="Y188" s="51"/>
      <c r="Z188" s="52"/>
      <c r="AA188" s="45" t="str">
        <f t="shared" si="31"/>
        <v/>
      </c>
      <c r="AB188" s="45" t="str">
        <f t="shared" si="32"/>
        <v/>
      </c>
      <c r="AC188" s="45">
        <f t="shared" si="33"/>
        <v>5.0760003534835875E-2</v>
      </c>
      <c r="AD188" s="53" t="str">
        <f t="shared" si="39"/>
        <v/>
      </c>
      <c r="AE188" s="45" t="str">
        <f t="shared" si="34"/>
        <v/>
      </c>
      <c r="AF188" s="36">
        <f t="shared" si="40"/>
        <v>1</v>
      </c>
      <c r="AG188" s="54">
        <f t="shared" si="35"/>
        <v>0</v>
      </c>
      <c r="AH188" s="32" t="str">
        <f t="shared" si="41"/>
        <v/>
      </c>
      <c r="AI188" s="50"/>
      <c r="AJ188" s="50">
        <v>2</v>
      </c>
      <c r="AK188" s="50">
        <v>1</v>
      </c>
      <c r="AL188" s="50">
        <v>1</v>
      </c>
      <c r="AM188" s="50">
        <v>0</v>
      </c>
      <c r="AN188" s="50">
        <v>0</v>
      </c>
      <c r="AO188" s="50">
        <v>1</v>
      </c>
      <c r="AP188" s="50">
        <v>1</v>
      </c>
      <c r="AQ188" s="50">
        <v>1</v>
      </c>
      <c r="AR188" s="50">
        <v>1</v>
      </c>
      <c r="AU188" s="39"/>
      <c r="AW188" s="39"/>
    </row>
    <row r="189" spans="1:49" x14ac:dyDescent="0.25">
      <c r="A189" s="40" t="s">
        <v>223</v>
      </c>
      <c r="B189" s="41">
        <v>7001</v>
      </c>
      <c r="C189" s="40" t="s">
        <v>224</v>
      </c>
      <c r="D189" s="42">
        <v>19664431</v>
      </c>
      <c r="E189" s="42">
        <v>22622253</v>
      </c>
      <c r="F189" s="42">
        <v>32005856</v>
      </c>
      <c r="G189" s="42">
        <v>33351639</v>
      </c>
      <c r="H189" s="42">
        <f t="shared" si="36"/>
        <v>26911045</v>
      </c>
      <c r="I189" s="42">
        <v>5406427.1799999997</v>
      </c>
      <c r="J189" s="43">
        <f t="shared" si="28"/>
        <v>0.20089993458076413</v>
      </c>
      <c r="K189" s="44">
        <v>14223396.710000001</v>
      </c>
      <c r="L189" s="45">
        <f t="shared" si="29"/>
        <v>0.52853379383818055</v>
      </c>
      <c r="M189" s="42">
        <v>18290</v>
      </c>
      <c r="N189" s="45">
        <f t="shared" si="37"/>
        <v>5.4839883581133753E-4</v>
      </c>
      <c r="O189" s="44">
        <v>2833218</v>
      </c>
      <c r="P189" s="44">
        <v>-1519207</v>
      </c>
      <c r="Q189" s="44">
        <v>-839063</v>
      </c>
      <c r="R189" s="46">
        <v>0.73863000000000001</v>
      </c>
      <c r="S189" s="46">
        <v>0.64429999999999998</v>
      </c>
      <c r="T189" s="47">
        <f t="shared" si="38"/>
        <v>0.6915</v>
      </c>
      <c r="U189" s="48">
        <v>0</v>
      </c>
      <c r="V189" s="45">
        <f t="shared" si="30"/>
        <v>0</v>
      </c>
      <c r="W189" s="49"/>
      <c r="X189" s="50"/>
      <c r="Y189" s="51"/>
      <c r="Z189" s="52"/>
      <c r="AA189" s="45">
        <f t="shared" si="31"/>
        <v>0.20089993458076413</v>
      </c>
      <c r="AB189" s="45">
        <f t="shared" si="32"/>
        <v>0.52853379383818055</v>
      </c>
      <c r="AC189" s="45" t="str">
        <f t="shared" si="33"/>
        <v/>
      </c>
      <c r="AD189" s="53" t="str">
        <f t="shared" si="39"/>
        <v/>
      </c>
      <c r="AE189" s="45">
        <f t="shared" si="34"/>
        <v>0.6915</v>
      </c>
      <c r="AF189" s="36">
        <f t="shared" si="40"/>
        <v>3</v>
      </c>
      <c r="AG189" s="54">
        <f t="shared" si="35"/>
        <v>0</v>
      </c>
      <c r="AH189" s="32">
        <f t="shared" si="41"/>
        <v>1</v>
      </c>
      <c r="AI189" s="50"/>
      <c r="AJ189" s="50">
        <v>2</v>
      </c>
      <c r="AK189" s="50">
        <v>1</v>
      </c>
      <c r="AL189" s="50">
        <v>1</v>
      </c>
      <c r="AM189" s="50">
        <v>1</v>
      </c>
      <c r="AN189" s="50">
        <v>1</v>
      </c>
      <c r="AO189" s="50">
        <v>1</v>
      </c>
      <c r="AP189" s="50">
        <v>1</v>
      </c>
      <c r="AQ189" s="50">
        <v>1</v>
      </c>
      <c r="AR189" s="50">
        <v>1</v>
      </c>
      <c r="AU189" s="39"/>
      <c r="AW189" s="39"/>
    </row>
    <row r="190" spans="1:49" x14ac:dyDescent="0.25">
      <c r="A190" s="40"/>
      <c r="B190" s="41">
        <v>7002</v>
      </c>
      <c r="C190" s="40" t="s">
        <v>225</v>
      </c>
      <c r="D190" s="42">
        <v>38790112</v>
      </c>
      <c r="E190" s="42">
        <v>46465369</v>
      </c>
      <c r="F190" s="42">
        <v>54079200</v>
      </c>
      <c r="G190" s="42">
        <v>55130061</v>
      </c>
      <c r="H190" s="42">
        <f t="shared" si="36"/>
        <v>48616186</v>
      </c>
      <c r="I190" s="42">
        <v>1488969.3200000008</v>
      </c>
      <c r="J190" s="43">
        <f t="shared" si="28"/>
        <v>3.0627028619645332E-2</v>
      </c>
      <c r="K190" s="44">
        <v>6031254.8499999996</v>
      </c>
      <c r="L190" s="45">
        <f t="shared" si="29"/>
        <v>0.12405857691099009</v>
      </c>
      <c r="M190" s="42">
        <v>0</v>
      </c>
      <c r="N190" s="45">
        <f t="shared" si="37"/>
        <v>0</v>
      </c>
      <c r="O190" s="44">
        <v>-1684975</v>
      </c>
      <c r="P190" s="44">
        <v>-2139629</v>
      </c>
      <c r="Q190" s="44">
        <v>2007086</v>
      </c>
      <c r="R190" s="46">
        <v>0.87122999999999995</v>
      </c>
      <c r="S190" s="46">
        <v>0.72809999999999997</v>
      </c>
      <c r="T190" s="47">
        <f t="shared" si="38"/>
        <v>0.79969999999999997</v>
      </c>
      <c r="U190" s="48">
        <v>0</v>
      </c>
      <c r="V190" s="45">
        <f t="shared" si="30"/>
        <v>0</v>
      </c>
      <c r="W190" s="49"/>
      <c r="X190" s="50"/>
      <c r="Y190" s="51"/>
      <c r="Z190" s="52"/>
      <c r="AA190" s="45" t="str">
        <f t="shared" si="31"/>
        <v/>
      </c>
      <c r="AB190" s="45" t="str">
        <f t="shared" si="32"/>
        <v/>
      </c>
      <c r="AC190" s="45" t="str">
        <f t="shared" si="33"/>
        <v/>
      </c>
      <c r="AD190" s="53" t="str">
        <f t="shared" si="39"/>
        <v/>
      </c>
      <c r="AE190" s="45" t="str">
        <f t="shared" si="34"/>
        <v/>
      </c>
      <c r="AF190" s="36">
        <f t="shared" si="40"/>
        <v>0</v>
      </c>
      <c r="AG190" s="54">
        <f t="shared" si="35"/>
        <v>0</v>
      </c>
      <c r="AH190" s="32" t="str">
        <f t="shared" si="41"/>
        <v/>
      </c>
      <c r="AI190" s="50"/>
      <c r="AJ190" s="50">
        <v>0</v>
      </c>
      <c r="AK190" s="50">
        <v>0</v>
      </c>
      <c r="AL190" s="50">
        <v>0</v>
      </c>
      <c r="AM190" s="50">
        <v>1</v>
      </c>
      <c r="AN190" s="50">
        <v>0</v>
      </c>
      <c r="AO190" s="50">
        <v>0</v>
      </c>
      <c r="AP190" s="50">
        <v>0</v>
      </c>
      <c r="AQ190" s="50">
        <v>0</v>
      </c>
      <c r="AR190" s="50">
        <v>2</v>
      </c>
      <c r="AU190" s="39"/>
      <c r="AW190" s="39"/>
    </row>
    <row r="191" spans="1:49" x14ac:dyDescent="0.25">
      <c r="A191" s="40"/>
      <c r="B191" s="41">
        <v>7003</v>
      </c>
      <c r="C191" s="40" t="s">
        <v>223</v>
      </c>
      <c r="D191" s="42">
        <v>122996003</v>
      </c>
      <c r="E191" s="42">
        <v>142443363</v>
      </c>
      <c r="F191" s="42">
        <v>173078811</v>
      </c>
      <c r="G191" s="42">
        <v>198555462</v>
      </c>
      <c r="H191" s="42">
        <f t="shared" si="36"/>
        <v>159268410</v>
      </c>
      <c r="I191" s="42">
        <v>2032503.9999999991</v>
      </c>
      <c r="J191" s="43">
        <f t="shared" si="28"/>
        <v>1.2761501166489947E-2</v>
      </c>
      <c r="K191" s="44">
        <v>75229097.560000002</v>
      </c>
      <c r="L191" s="45">
        <f t="shared" si="29"/>
        <v>0.4723416122506654</v>
      </c>
      <c r="M191" s="42">
        <v>0</v>
      </c>
      <c r="N191" s="45">
        <f t="shared" si="37"/>
        <v>0</v>
      </c>
      <c r="O191" s="44">
        <v>11826922</v>
      </c>
      <c r="P191" s="44">
        <v>-8216900</v>
      </c>
      <c r="Q191" s="44">
        <v>6985315</v>
      </c>
      <c r="R191" s="46">
        <v>0.82016</v>
      </c>
      <c r="S191" s="46">
        <v>0.73089000000000004</v>
      </c>
      <c r="T191" s="47">
        <f t="shared" si="38"/>
        <v>0.77549999999999997</v>
      </c>
      <c r="U191" s="48">
        <v>0</v>
      </c>
      <c r="V191" s="45">
        <f t="shared" si="30"/>
        <v>0</v>
      </c>
      <c r="W191" s="49"/>
      <c r="X191" s="50"/>
      <c r="Y191" s="51"/>
      <c r="Z191" s="52"/>
      <c r="AA191" s="45" t="str">
        <f t="shared" si="31"/>
        <v/>
      </c>
      <c r="AB191" s="45" t="str">
        <f t="shared" si="32"/>
        <v/>
      </c>
      <c r="AC191" s="45" t="str">
        <f t="shared" si="33"/>
        <v/>
      </c>
      <c r="AD191" s="53" t="str">
        <f t="shared" si="39"/>
        <v/>
      </c>
      <c r="AE191" s="45" t="str">
        <f t="shared" si="34"/>
        <v/>
      </c>
      <c r="AF191" s="36">
        <f t="shared" si="40"/>
        <v>0</v>
      </c>
      <c r="AG191" s="54">
        <f t="shared" si="35"/>
        <v>0</v>
      </c>
      <c r="AH191" s="32" t="str">
        <f t="shared" si="41"/>
        <v/>
      </c>
      <c r="AI191" s="50"/>
      <c r="AJ191" s="50">
        <v>1</v>
      </c>
      <c r="AK191" s="50">
        <v>1</v>
      </c>
      <c r="AL191" s="50">
        <v>1</v>
      </c>
      <c r="AM191" s="50">
        <v>1</v>
      </c>
      <c r="AN191" s="50">
        <v>1</v>
      </c>
      <c r="AO191" s="50">
        <v>1</v>
      </c>
      <c r="AP191" s="50">
        <v>2</v>
      </c>
      <c r="AQ191" s="50">
        <v>3</v>
      </c>
      <c r="AR191" s="50">
        <v>3</v>
      </c>
      <c r="AU191" s="39"/>
      <c r="AW191" s="39"/>
    </row>
    <row r="192" spans="1:49" x14ac:dyDescent="0.25">
      <c r="A192" s="40"/>
      <c r="B192" s="41">
        <v>7004</v>
      </c>
      <c r="C192" s="40" t="s">
        <v>226</v>
      </c>
      <c r="D192" s="42">
        <v>20487515</v>
      </c>
      <c r="E192" s="42">
        <v>25280503</v>
      </c>
      <c r="F192" s="42">
        <v>29385753</v>
      </c>
      <c r="G192" s="42">
        <v>33014223</v>
      </c>
      <c r="H192" s="42">
        <f t="shared" si="36"/>
        <v>27041999</v>
      </c>
      <c r="I192" s="42">
        <v>592808.1799999997</v>
      </c>
      <c r="J192" s="43">
        <f t="shared" si="28"/>
        <v>2.19217588167206E-2</v>
      </c>
      <c r="K192" s="44">
        <v>18255060.43</v>
      </c>
      <c r="L192" s="45">
        <f t="shared" si="29"/>
        <v>0.67506327583253001</v>
      </c>
      <c r="M192" s="42">
        <v>0</v>
      </c>
      <c r="N192" s="45">
        <f t="shared" si="37"/>
        <v>0</v>
      </c>
      <c r="O192" s="44">
        <v>1406227</v>
      </c>
      <c r="P192" s="44">
        <v>1334257</v>
      </c>
      <c r="Q192" s="44">
        <v>1877393</v>
      </c>
      <c r="R192" s="46">
        <v>0.77295000000000003</v>
      </c>
      <c r="S192" s="46">
        <v>0.68727000000000005</v>
      </c>
      <c r="T192" s="47">
        <f t="shared" si="38"/>
        <v>0.73009999999999997</v>
      </c>
      <c r="U192" s="48">
        <v>0</v>
      </c>
      <c r="V192" s="45">
        <f t="shared" si="30"/>
        <v>0</v>
      </c>
      <c r="W192" s="49"/>
      <c r="X192" s="50"/>
      <c r="Y192" s="51"/>
      <c r="Z192" s="52"/>
      <c r="AA192" s="45" t="str">
        <f t="shared" si="31"/>
        <v/>
      </c>
      <c r="AB192" s="45">
        <f t="shared" si="32"/>
        <v>0.67506327583253001</v>
      </c>
      <c r="AC192" s="45" t="str">
        <f t="shared" si="33"/>
        <v/>
      </c>
      <c r="AD192" s="53" t="str">
        <f t="shared" si="39"/>
        <v/>
      </c>
      <c r="AE192" s="45">
        <f t="shared" si="34"/>
        <v>0.73009999999999997</v>
      </c>
      <c r="AF192" s="36">
        <f t="shared" si="40"/>
        <v>2</v>
      </c>
      <c r="AG192" s="54">
        <f t="shared" si="35"/>
        <v>0</v>
      </c>
      <c r="AH192" s="32" t="str">
        <f t="shared" si="41"/>
        <v/>
      </c>
      <c r="AI192" s="50"/>
      <c r="AJ192" s="50">
        <v>1</v>
      </c>
      <c r="AK192" s="50">
        <v>2</v>
      </c>
      <c r="AL192" s="50">
        <v>2</v>
      </c>
      <c r="AM192" s="50">
        <v>1</v>
      </c>
      <c r="AN192" s="50">
        <v>1</v>
      </c>
      <c r="AO192" s="50">
        <v>1</v>
      </c>
      <c r="AP192" s="50">
        <v>1</v>
      </c>
      <c r="AQ192" s="50">
        <v>1</v>
      </c>
      <c r="AR192" s="50">
        <v>1</v>
      </c>
      <c r="AU192" s="39"/>
      <c r="AW192" s="39"/>
    </row>
    <row r="193" spans="1:49" x14ac:dyDescent="0.25">
      <c r="A193" s="40" t="s">
        <v>227</v>
      </c>
      <c r="B193" s="41">
        <v>7101</v>
      </c>
      <c r="C193" s="40" t="s">
        <v>228</v>
      </c>
      <c r="D193" s="42">
        <v>6615606</v>
      </c>
      <c r="E193" s="42">
        <v>9768839</v>
      </c>
      <c r="F193" s="42">
        <v>8583089</v>
      </c>
      <c r="G193" s="42">
        <v>11891653</v>
      </c>
      <c r="H193" s="42">
        <f t="shared" si="36"/>
        <v>9214797</v>
      </c>
      <c r="I193" s="42">
        <v>381335.33999999962</v>
      </c>
      <c r="J193" s="43">
        <f t="shared" si="28"/>
        <v>4.1382934426010647E-2</v>
      </c>
      <c r="K193" s="44">
        <v>12719579.07</v>
      </c>
      <c r="L193" s="45">
        <f t="shared" si="29"/>
        <v>1.3803428409763123</v>
      </c>
      <c r="M193" s="42">
        <v>0</v>
      </c>
      <c r="N193" s="45">
        <f t="shared" si="37"/>
        <v>0</v>
      </c>
      <c r="O193" s="44">
        <v>2463536</v>
      </c>
      <c r="P193" s="44">
        <v>4461906</v>
      </c>
      <c r="Q193" s="44">
        <v>-2696140</v>
      </c>
      <c r="R193" s="46">
        <v>0.87136999999999998</v>
      </c>
      <c r="S193" s="46">
        <v>0.82335000000000003</v>
      </c>
      <c r="T193" s="47">
        <f t="shared" si="38"/>
        <v>0.84740000000000004</v>
      </c>
      <c r="U193" s="48">
        <v>0</v>
      </c>
      <c r="V193" s="45">
        <f t="shared" si="30"/>
        <v>0</v>
      </c>
      <c r="W193" s="49"/>
      <c r="X193" s="50"/>
      <c r="Y193" s="51"/>
      <c r="Z193" s="52"/>
      <c r="AA193" s="45" t="str">
        <f t="shared" si="31"/>
        <v/>
      </c>
      <c r="AB193" s="45">
        <f t="shared" si="32"/>
        <v>1.3803428409763123</v>
      </c>
      <c r="AC193" s="45" t="str">
        <f t="shared" si="33"/>
        <v/>
      </c>
      <c r="AD193" s="53" t="str">
        <f t="shared" si="39"/>
        <v/>
      </c>
      <c r="AE193" s="45" t="str">
        <f t="shared" si="34"/>
        <v/>
      </c>
      <c r="AF193" s="36">
        <f t="shared" si="40"/>
        <v>1</v>
      </c>
      <c r="AG193" s="54">
        <f t="shared" si="35"/>
        <v>0</v>
      </c>
      <c r="AH193" s="32" t="str">
        <f t="shared" si="41"/>
        <v/>
      </c>
      <c r="AI193" s="50"/>
      <c r="AJ193" s="50">
        <v>1</v>
      </c>
      <c r="AK193" s="50">
        <v>1</v>
      </c>
      <c r="AL193" s="50">
        <v>0</v>
      </c>
      <c r="AM193" s="50">
        <v>0</v>
      </c>
      <c r="AN193" s="50">
        <v>0</v>
      </c>
      <c r="AO193" s="50">
        <v>0</v>
      </c>
      <c r="AP193" s="50">
        <v>2</v>
      </c>
      <c r="AQ193" s="50">
        <v>4</v>
      </c>
      <c r="AR193" s="50">
        <v>5</v>
      </c>
      <c r="AU193" s="39"/>
      <c r="AW193" s="39"/>
    </row>
    <row r="194" spans="1:49" x14ac:dyDescent="0.25">
      <c r="A194" s="40"/>
      <c r="B194" s="41">
        <v>7102</v>
      </c>
      <c r="C194" s="40" t="s">
        <v>229</v>
      </c>
      <c r="D194" s="42">
        <v>3693492</v>
      </c>
      <c r="E194" s="42">
        <v>6379047</v>
      </c>
      <c r="F194" s="42">
        <v>10202194</v>
      </c>
      <c r="G194" s="42">
        <v>8689213</v>
      </c>
      <c r="H194" s="42">
        <f t="shared" si="36"/>
        <v>7240987</v>
      </c>
      <c r="I194" s="42">
        <v>2967715.6900000004</v>
      </c>
      <c r="J194" s="43">
        <f t="shared" si="28"/>
        <v>0.40984960890000222</v>
      </c>
      <c r="K194" s="44">
        <v>3164064.3999999994</v>
      </c>
      <c r="L194" s="45">
        <f t="shared" si="29"/>
        <v>0.43696589981448652</v>
      </c>
      <c r="M194" s="42">
        <v>0</v>
      </c>
      <c r="N194" s="45">
        <f t="shared" si="37"/>
        <v>0</v>
      </c>
      <c r="O194" s="44">
        <v>2651057</v>
      </c>
      <c r="P194" s="44">
        <v>-2095592</v>
      </c>
      <c r="Q194" s="44">
        <v>-2046147</v>
      </c>
      <c r="R194" s="46">
        <v>0.84243999999999997</v>
      </c>
      <c r="S194" s="46">
        <v>0.78293999999999997</v>
      </c>
      <c r="T194" s="47">
        <f t="shared" si="38"/>
        <v>0.81269999999999998</v>
      </c>
      <c r="U194" s="48">
        <v>0</v>
      </c>
      <c r="V194" s="45">
        <f t="shared" si="30"/>
        <v>0</v>
      </c>
      <c r="W194" s="49"/>
      <c r="X194" s="50"/>
      <c r="Y194" s="51"/>
      <c r="Z194" s="52"/>
      <c r="AA194" s="45">
        <f t="shared" si="31"/>
        <v>0.40984960890000222</v>
      </c>
      <c r="AB194" s="45" t="str">
        <f t="shared" si="32"/>
        <v/>
      </c>
      <c r="AC194" s="45" t="str">
        <f t="shared" si="33"/>
        <v/>
      </c>
      <c r="AD194" s="53" t="str">
        <f t="shared" si="39"/>
        <v/>
      </c>
      <c r="AE194" s="45" t="str">
        <f t="shared" si="34"/>
        <v/>
      </c>
      <c r="AF194" s="36">
        <f t="shared" si="40"/>
        <v>1</v>
      </c>
      <c r="AG194" s="54">
        <f t="shared" si="35"/>
        <v>0</v>
      </c>
      <c r="AH194" s="32" t="str">
        <f t="shared" si="41"/>
        <v/>
      </c>
      <c r="AI194" s="50"/>
      <c r="AJ194" s="50">
        <v>0</v>
      </c>
      <c r="AK194" s="50">
        <v>0</v>
      </c>
      <c r="AL194" s="50">
        <v>1</v>
      </c>
      <c r="AM194" s="50">
        <v>1</v>
      </c>
      <c r="AN194" s="50">
        <v>0</v>
      </c>
      <c r="AO194" s="50">
        <v>0</v>
      </c>
      <c r="AP194" s="50">
        <v>0</v>
      </c>
      <c r="AQ194" s="50">
        <v>1</v>
      </c>
      <c r="AR194" s="50">
        <v>0</v>
      </c>
      <c r="AU194" s="39"/>
      <c r="AW194" s="39"/>
    </row>
    <row r="195" spans="1:49" x14ac:dyDescent="0.25">
      <c r="A195" s="40"/>
      <c r="B195" s="41">
        <v>7103</v>
      </c>
      <c r="C195" s="40" t="s">
        <v>230</v>
      </c>
      <c r="D195" s="42">
        <v>14287541</v>
      </c>
      <c r="E195" s="42">
        <v>19234301</v>
      </c>
      <c r="F195" s="42">
        <v>24645127</v>
      </c>
      <c r="G195" s="42">
        <v>24745929</v>
      </c>
      <c r="H195" s="42">
        <f t="shared" si="36"/>
        <v>20728225</v>
      </c>
      <c r="I195" s="42">
        <v>1879716.5</v>
      </c>
      <c r="J195" s="43">
        <f t="shared" ref="J195:J258" si="42">+I195/$H195</f>
        <v>9.0683910465078413E-2</v>
      </c>
      <c r="K195" s="44">
        <v>15063083.819999998</v>
      </c>
      <c r="L195" s="45">
        <f t="shared" ref="L195:L258" si="43">+K195/$H195</f>
        <v>0.72669434165250513</v>
      </c>
      <c r="M195" s="42">
        <v>351586</v>
      </c>
      <c r="N195" s="45">
        <f t="shared" si="37"/>
        <v>1.4207831922576032E-2</v>
      </c>
      <c r="O195" s="44">
        <v>5334110</v>
      </c>
      <c r="P195" s="44">
        <v>-3408932</v>
      </c>
      <c r="Q195" s="44">
        <v>-1452147</v>
      </c>
      <c r="R195" s="46">
        <v>0.95387999999999995</v>
      </c>
      <c r="S195" s="46">
        <v>0.83662000000000003</v>
      </c>
      <c r="T195" s="47">
        <f t="shared" si="38"/>
        <v>0.89529999999999998</v>
      </c>
      <c r="U195" s="48">
        <v>0</v>
      </c>
      <c r="V195" s="45">
        <f t="shared" ref="V195:V258" si="44">+U195/G195</f>
        <v>0</v>
      </c>
      <c r="W195" s="49"/>
      <c r="X195" s="50"/>
      <c r="Y195" s="51"/>
      <c r="Z195" s="52"/>
      <c r="AA195" s="45" t="str">
        <f t="shared" ref="AA195:AA258" si="45">IF(J195&gt;15%,J195,"")</f>
        <v/>
      </c>
      <c r="AB195" s="45">
        <f t="shared" ref="AB195:AB258" si="46">IF(L195&gt;50%,L195,"")</f>
        <v>0.72669434165250513</v>
      </c>
      <c r="AC195" s="45" t="str">
        <f t="shared" ref="AC195:AC258" si="47">IF(N195&gt;5%,N195,"")</f>
        <v/>
      </c>
      <c r="AD195" s="53" t="str">
        <f t="shared" si="39"/>
        <v/>
      </c>
      <c r="AE195" s="45" t="str">
        <f t="shared" ref="AE195:AE258" si="48">IF(T195&lt;T$268,T195,"")</f>
        <v/>
      </c>
      <c r="AF195" s="36">
        <f t="shared" si="40"/>
        <v>1</v>
      </c>
      <c r="AG195" s="54">
        <f t="shared" ref="AG195:AG258" si="49">IF(V195&gt;50%,V195,0)</f>
        <v>0</v>
      </c>
      <c r="AH195" s="32" t="str">
        <f t="shared" si="41"/>
        <v/>
      </c>
      <c r="AI195" s="50"/>
      <c r="AJ195" s="50">
        <v>1</v>
      </c>
      <c r="AK195" s="50">
        <v>0</v>
      </c>
      <c r="AL195" s="50">
        <v>0</v>
      </c>
      <c r="AM195" s="50">
        <v>1</v>
      </c>
      <c r="AN195" s="50">
        <v>2</v>
      </c>
      <c r="AO195" s="50">
        <v>3</v>
      </c>
      <c r="AP195" s="50">
        <v>2</v>
      </c>
      <c r="AQ195" s="50">
        <v>3</v>
      </c>
      <c r="AR195" s="50">
        <v>3</v>
      </c>
      <c r="AU195" s="39"/>
      <c r="AW195" s="39"/>
    </row>
    <row r="196" spans="1:49" x14ac:dyDescent="0.25">
      <c r="A196" s="40"/>
      <c r="B196" s="41">
        <v>7104</v>
      </c>
      <c r="C196" s="40" t="s">
        <v>231</v>
      </c>
      <c r="D196" s="42">
        <v>11832225</v>
      </c>
      <c r="E196" s="42">
        <v>14325059</v>
      </c>
      <c r="F196" s="42">
        <v>15939714</v>
      </c>
      <c r="G196" s="42">
        <v>16858310</v>
      </c>
      <c r="H196" s="42">
        <f t="shared" ref="H196:H259" si="50">ROUND((+F196+E196+D196+G196)/4,0)</f>
        <v>14738827</v>
      </c>
      <c r="I196" s="42">
        <v>10579344.6</v>
      </c>
      <c r="J196" s="43">
        <f t="shared" si="42"/>
        <v>0.71778741958230463</v>
      </c>
      <c r="K196" s="44">
        <v>7275285.8900000006</v>
      </c>
      <c r="L196" s="45">
        <f t="shared" si="43"/>
        <v>0.49361362949710996</v>
      </c>
      <c r="M196" s="42">
        <v>5982961</v>
      </c>
      <c r="N196" s="45">
        <f t="shared" ref="N196:N259" si="51">+M196/G196</f>
        <v>0.35489684315924908</v>
      </c>
      <c r="O196" s="44">
        <v>-505727</v>
      </c>
      <c r="P196" s="44">
        <v>-2352096</v>
      </c>
      <c r="Q196" s="44">
        <v>402452</v>
      </c>
      <c r="R196" s="46">
        <v>0.90795000000000003</v>
      </c>
      <c r="S196" s="46">
        <v>0.87814000000000003</v>
      </c>
      <c r="T196" s="47">
        <f t="shared" ref="T196:T259" si="52">+ROUND(AVERAGE(R196:S196),4)</f>
        <v>0.89300000000000002</v>
      </c>
      <c r="U196" s="48">
        <v>0</v>
      </c>
      <c r="V196" s="45">
        <f t="shared" si="44"/>
        <v>0</v>
      </c>
      <c r="W196" s="49"/>
      <c r="X196" s="50"/>
      <c r="Y196" s="51">
        <v>0.1593</v>
      </c>
      <c r="Z196" s="52"/>
      <c r="AA196" s="45">
        <f t="shared" si="45"/>
        <v>0.71778741958230463</v>
      </c>
      <c r="AB196" s="45" t="str">
        <f t="shared" si="46"/>
        <v/>
      </c>
      <c r="AC196" s="45">
        <f t="shared" si="47"/>
        <v>0.35489684315924908</v>
      </c>
      <c r="AD196" s="53" t="str">
        <f t="shared" ref="AD196:AD259" si="53">IF(AND(Q196&lt;0,O196&lt;0,P196&lt;0),"да","")</f>
        <v/>
      </c>
      <c r="AE196" s="45" t="str">
        <f t="shared" si="48"/>
        <v/>
      </c>
      <c r="AF196" s="36">
        <f t="shared" ref="AF196:AF259" si="54">COUNTIF(Y196:AC196,"&gt;0")+COUNTIF(AD196,"да")+COUNTIF(AE196,"&gt;0")</f>
        <v>3</v>
      </c>
      <c r="AG196" s="54">
        <f t="shared" si="49"/>
        <v>0</v>
      </c>
      <c r="AH196" s="32">
        <f t="shared" ref="AH196:AH259" si="55">+IF(OR(AF196&gt;2,AG196&gt;50%),1,"")</f>
        <v>1</v>
      </c>
      <c r="AI196" s="50"/>
      <c r="AJ196" s="50">
        <v>4</v>
      </c>
      <c r="AK196" s="50">
        <v>3</v>
      </c>
      <c r="AL196" s="50">
        <v>2</v>
      </c>
      <c r="AM196" s="50">
        <v>3</v>
      </c>
      <c r="AN196" s="50">
        <v>2</v>
      </c>
      <c r="AO196" s="50">
        <v>2</v>
      </c>
      <c r="AP196" s="50">
        <v>2</v>
      </c>
      <c r="AQ196" s="50">
        <v>2</v>
      </c>
      <c r="AR196" s="50">
        <v>3</v>
      </c>
      <c r="AU196" s="39"/>
      <c r="AW196" s="39"/>
    </row>
    <row r="197" spans="1:49" x14ac:dyDescent="0.25">
      <c r="A197" s="40"/>
      <c r="B197" s="41">
        <v>7105</v>
      </c>
      <c r="C197" s="40" t="s">
        <v>232</v>
      </c>
      <c r="D197" s="42">
        <v>13293785</v>
      </c>
      <c r="E197" s="42">
        <v>15931851</v>
      </c>
      <c r="F197" s="42">
        <v>20717664</v>
      </c>
      <c r="G197" s="42">
        <v>20672482</v>
      </c>
      <c r="H197" s="42">
        <f t="shared" si="50"/>
        <v>17653946</v>
      </c>
      <c r="I197" s="42">
        <v>2487427.2800000021</v>
      </c>
      <c r="J197" s="43">
        <f t="shared" si="42"/>
        <v>0.1408992233237828</v>
      </c>
      <c r="K197" s="44">
        <v>9147851.6900000013</v>
      </c>
      <c r="L197" s="45">
        <f t="shared" si="43"/>
        <v>0.51817603214601438</v>
      </c>
      <c r="M197" s="42">
        <v>1167565</v>
      </c>
      <c r="N197" s="45">
        <f t="shared" si="51"/>
        <v>5.6479188130385119E-2</v>
      </c>
      <c r="O197" s="44">
        <v>1048401</v>
      </c>
      <c r="P197" s="44">
        <v>-2246620</v>
      </c>
      <c r="Q197" s="44">
        <v>2349452</v>
      </c>
      <c r="R197" s="46">
        <v>0.92330000000000001</v>
      </c>
      <c r="S197" s="46">
        <v>0.83289000000000002</v>
      </c>
      <c r="T197" s="47">
        <f t="shared" si="52"/>
        <v>0.87809999999999999</v>
      </c>
      <c r="U197" s="48">
        <v>0</v>
      </c>
      <c r="V197" s="45">
        <f t="shared" si="44"/>
        <v>0</v>
      </c>
      <c r="W197" s="49"/>
      <c r="X197" s="50"/>
      <c r="Y197" s="51"/>
      <c r="Z197" s="52"/>
      <c r="AA197" s="45" t="str">
        <f t="shared" si="45"/>
        <v/>
      </c>
      <c r="AB197" s="45">
        <f t="shared" si="46"/>
        <v>0.51817603214601438</v>
      </c>
      <c r="AC197" s="45">
        <f t="shared" si="47"/>
        <v>5.6479188130385119E-2</v>
      </c>
      <c r="AD197" s="53" t="str">
        <f t="shared" si="53"/>
        <v/>
      </c>
      <c r="AE197" s="45" t="str">
        <f t="shared" si="48"/>
        <v/>
      </c>
      <c r="AF197" s="36">
        <f t="shared" si="54"/>
        <v>2</v>
      </c>
      <c r="AG197" s="54">
        <f t="shared" si="49"/>
        <v>0</v>
      </c>
      <c r="AH197" s="32" t="str">
        <f t="shared" si="55"/>
        <v/>
      </c>
      <c r="AI197" s="50"/>
      <c r="AJ197" s="50">
        <v>0</v>
      </c>
      <c r="AK197" s="50">
        <v>0</v>
      </c>
      <c r="AL197" s="50">
        <v>0</v>
      </c>
      <c r="AM197" s="50">
        <v>0</v>
      </c>
      <c r="AN197" s="50">
        <v>1</v>
      </c>
      <c r="AO197" s="50">
        <v>1</v>
      </c>
      <c r="AP197" s="50">
        <v>1</v>
      </c>
      <c r="AQ197" s="50">
        <v>1</v>
      </c>
      <c r="AR197" s="50">
        <v>2</v>
      </c>
      <c r="AU197" s="39"/>
      <c r="AW197" s="39"/>
    </row>
    <row r="198" spans="1:49" x14ac:dyDescent="0.25">
      <c r="A198" s="40"/>
      <c r="B198" s="41">
        <v>7106</v>
      </c>
      <c r="C198" s="40" t="s">
        <v>233</v>
      </c>
      <c r="D198" s="42">
        <v>16669830</v>
      </c>
      <c r="E198" s="42">
        <v>19454147</v>
      </c>
      <c r="F198" s="42">
        <v>23795424</v>
      </c>
      <c r="G198" s="42">
        <v>26838404</v>
      </c>
      <c r="H198" s="42">
        <f t="shared" si="50"/>
        <v>21689451</v>
      </c>
      <c r="I198" s="42">
        <v>3824398.9600000009</v>
      </c>
      <c r="J198" s="43">
        <f t="shared" si="42"/>
        <v>0.17632530025771517</v>
      </c>
      <c r="K198" s="44">
        <v>4695548.5</v>
      </c>
      <c r="L198" s="45">
        <f t="shared" si="43"/>
        <v>0.2164899655597553</v>
      </c>
      <c r="M198" s="42">
        <v>1689218</v>
      </c>
      <c r="N198" s="45">
        <f t="shared" si="51"/>
        <v>6.2940329834814318E-2</v>
      </c>
      <c r="O198" s="44">
        <v>-676986</v>
      </c>
      <c r="P198" s="44">
        <v>-2815639</v>
      </c>
      <c r="Q198" s="44">
        <v>39038</v>
      </c>
      <c r="R198" s="46">
        <v>0.90137</v>
      </c>
      <c r="S198" s="46">
        <v>0.82223000000000002</v>
      </c>
      <c r="T198" s="47">
        <f t="shared" si="52"/>
        <v>0.86180000000000001</v>
      </c>
      <c r="U198" s="48">
        <v>0</v>
      </c>
      <c r="V198" s="45">
        <f t="shared" si="44"/>
        <v>0</v>
      </c>
      <c r="W198" s="49"/>
      <c r="X198" s="50"/>
      <c r="Y198" s="51"/>
      <c r="Z198" s="52"/>
      <c r="AA198" s="45">
        <f t="shared" si="45"/>
        <v>0.17632530025771517</v>
      </c>
      <c r="AB198" s="45" t="str">
        <f t="shared" si="46"/>
        <v/>
      </c>
      <c r="AC198" s="45">
        <f t="shared" si="47"/>
        <v>6.2940329834814318E-2</v>
      </c>
      <c r="AD198" s="53" t="str">
        <f t="shared" si="53"/>
        <v/>
      </c>
      <c r="AE198" s="45" t="str">
        <f t="shared" si="48"/>
        <v/>
      </c>
      <c r="AF198" s="36">
        <f t="shared" si="54"/>
        <v>2</v>
      </c>
      <c r="AG198" s="54">
        <f t="shared" si="49"/>
        <v>0</v>
      </c>
      <c r="AH198" s="32" t="str">
        <f t="shared" si="55"/>
        <v/>
      </c>
      <c r="AI198" s="50"/>
      <c r="AJ198" s="50">
        <v>2</v>
      </c>
      <c r="AK198" s="50">
        <v>0</v>
      </c>
      <c r="AL198" s="50">
        <v>0</v>
      </c>
      <c r="AM198" s="50">
        <v>0</v>
      </c>
      <c r="AN198" s="50">
        <v>0</v>
      </c>
      <c r="AO198" s="50">
        <v>1</v>
      </c>
      <c r="AP198" s="50">
        <v>1</v>
      </c>
      <c r="AQ198" s="50">
        <v>1</v>
      </c>
      <c r="AR198" s="50">
        <v>3</v>
      </c>
      <c r="AU198" s="39"/>
      <c r="AW198" s="39"/>
    </row>
    <row r="199" spans="1:49" x14ac:dyDescent="0.25">
      <c r="A199" s="40"/>
      <c r="B199" s="41">
        <v>7107</v>
      </c>
      <c r="C199" s="40" t="s">
        <v>234</v>
      </c>
      <c r="D199" s="42">
        <v>10918791</v>
      </c>
      <c r="E199" s="42">
        <v>13272604</v>
      </c>
      <c r="F199" s="42">
        <v>11355179</v>
      </c>
      <c r="G199" s="42">
        <v>13018297</v>
      </c>
      <c r="H199" s="42">
        <f t="shared" si="50"/>
        <v>12141218</v>
      </c>
      <c r="I199" s="42">
        <v>1559972.49</v>
      </c>
      <c r="J199" s="43">
        <f t="shared" si="42"/>
        <v>0.12848566675929879</v>
      </c>
      <c r="K199" s="44">
        <v>16271175.810000001</v>
      </c>
      <c r="L199" s="45">
        <f t="shared" si="43"/>
        <v>1.3401600901985287</v>
      </c>
      <c r="M199" s="42">
        <v>1044805</v>
      </c>
      <c r="N199" s="45">
        <f t="shared" si="51"/>
        <v>8.0256657226363784E-2</v>
      </c>
      <c r="O199" s="44">
        <v>-1212278</v>
      </c>
      <c r="P199" s="44">
        <v>250523</v>
      </c>
      <c r="Q199" s="44">
        <v>-1072785</v>
      </c>
      <c r="R199" s="46">
        <v>0.80720000000000003</v>
      </c>
      <c r="S199" s="46">
        <v>0.79017000000000004</v>
      </c>
      <c r="T199" s="47">
        <f t="shared" si="52"/>
        <v>0.79869999999999997</v>
      </c>
      <c r="U199" s="48">
        <v>0</v>
      </c>
      <c r="V199" s="45">
        <f t="shared" si="44"/>
        <v>0</v>
      </c>
      <c r="W199" s="49"/>
      <c r="X199" s="50"/>
      <c r="Y199" s="51"/>
      <c r="Z199" s="52"/>
      <c r="AA199" s="45" t="str">
        <f t="shared" si="45"/>
        <v/>
      </c>
      <c r="AB199" s="45">
        <f t="shared" si="46"/>
        <v>1.3401600901985287</v>
      </c>
      <c r="AC199" s="45">
        <f t="shared" si="47"/>
        <v>8.0256657226363784E-2</v>
      </c>
      <c r="AD199" s="53" t="str">
        <f t="shared" si="53"/>
        <v/>
      </c>
      <c r="AE199" s="45" t="str">
        <f t="shared" si="48"/>
        <v/>
      </c>
      <c r="AF199" s="36">
        <f t="shared" si="54"/>
        <v>2</v>
      </c>
      <c r="AG199" s="54">
        <f t="shared" si="49"/>
        <v>0</v>
      </c>
      <c r="AH199" s="32" t="str">
        <f t="shared" si="55"/>
        <v/>
      </c>
      <c r="AI199" s="50"/>
      <c r="AJ199" s="50">
        <v>4</v>
      </c>
      <c r="AK199" s="50">
        <v>1</v>
      </c>
      <c r="AL199" s="50">
        <v>1</v>
      </c>
      <c r="AM199" s="50">
        <v>0</v>
      </c>
      <c r="AN199" s="50">
        <v>3</v>
      </c>
      <c r="AO199" s="50">
        <v>3</v>
      </c>
      <c r="AP199" s="50">
        <v>3</v>
      </c>
      <c r="AQ199" s="50">
        <v>4</v>
      </c>
      <c r="AR199" s="50">
        <v>5</v>
      </c>
      <c r="AU199" s="39"/>
      <c r="AW199" s="39"/>
    </row>
    <row r="200" spans="1:49" x14ac:dyDescent="0.25">
      <c r="A200" s="40"/>
      <c r="B200" s="41">
        <v>7108</v>
      </c>
      <c r="C200" s="40" t="s">
        <v>235</v>
      </c>
      <c r="D200" s="42">
        <v>16544594</v>
      </c>
      <c r="E200" s="42">
        <v>20913441</v>
      </c>
      <c r="F200" s="42">
        <v>20248337</v>
      </c>
      <c r="G200" s="42">
        <v>20640343</v>
      </c>
      <c r="H200" s="42">
        <f t="shared" si="50"/>
        <v>19586679</v>
      </c>
      <c r="I200" s="42">
        <v>3347026.9700000007</v>
      </c>
      <c r="J200" s="43">
        <f t="shared" si="42"/>
        <v>0.17088282143185177</v>
      </c>
      <c r="K200" s="44">
        <v>14188911.469999999</v>
      </c>
      <c r="L200" s="45">
        <f t="shared" si="43"/>
        <v>0.72441639902302979</v>
      </c>
      <c r="M200" s="42">
        <v>587048</v>
      </c>
      <c r="N200" s="45">
        <f t="shared" si="51"/>
        <v>2.8441775410418323E-2</v>
      </c>
      <c r="O200" s="44">
        <v>-186273</v>
      </c>
      <c r="P200" s="44">
        <v>-760344</v>
      </c>
      <c r="Q200" s="44">
        <v>-769069</v>
      </c>
      <c r="R200" s="46">
        <v>0.86458999999999997</v>
      </c>
      <c r="S200" s="46">
        <v>0.81866000000000005</v>
      </c>
      <c r="T200" s="47">
        <f t="shared" si="52"/>
        <v>0.84160000000000001</v>
      </c>
      <c r="U200" s="48">
        <v>0</v>
      </c>
      <c r="V200" s="45">
        <f t="shared" si="44"/>
        <v>0</v>
      </c>
      <c r="W200" s="49"/>
      <c r="X200" s="50"/>
      <c r="Y200" s="51"/>
      <c r="Z200" s="52"/>
      <c r="AA200" s="45">
        <f t="shared" si="45"/>
        <v>0.17088282143185177</v>
      </c>
      <c r="AB200" s="45">
        <f t="shared" si="46"/>
        <v>0.72441639902302979</v>
      </c>
      <c r="AC200" s="45" t="str">
        <f t="shared" si="47"/>
        <v/>
      </c>
      <c r="AD200" s="53" t="str">
        <f t="shared" si="53"/>
        <v>да</v>
      </c>
      <c r="AE200" s="45" t="str">
        <f t="shared" si="48"/>
        <v/>
      </c>
      <c r="AF200" s="36">
        <f t="shared" si="54"/>
        <v>3</v>
      </c>
      <c r="AG200" s="54">
        <f t="shared" si="49"/>
        <v>0</v>
      </c>
      <c r="AH200" s="32">
        <f t="shared" si="55"/>
        <v>1</v>
      </c>
      <c r="AI200" s="50"/>
      <c r="AJ200" s="50">
        <v>2</v>
      </c>
      <c r="AK200" s="50">
        <v>3</v>
      </c>
      <c r="AL200" s="50">
        <v>2</v>
      </c>
      <c r="AM200" s="50">
        <v>1</v>
      </c>
      <c r="AN200" s="50">
        <v>1</v>
      </c>
      <c r="AO200" s="50">
        <v>2</v>
      </c>
      <c r="AP200" s="50">
        <v>2</v>
      </c>
      <c r="AQ200" s="50">
        <v>2</v>
      </c>
      <c r="AR200" s="50">
        <v>4</v>
      </c>
      <c r="AU200" s="39"/>
      <c r="AW200" s="39"/>
    </row>
    <row r="201" spans="1:49" x14ac:dyDescent="0.25">
      <c r="A201" s="40"/>
      <c r="B201" s="41">
        <v>7109</v>
      </c>
      <c r="C201" s="40" t="s">
        <v>227</v>
      </c>
      <c r="D201" s="42">
        <v>55477448</v>
      </c>
      <c r="E201" s="42">
        <v>59919238</v>
      </c>
      <c r="F201" s="42">
        <v>67698806</v>
      </c>
      <c r="G201" s="42">
        <v>87700237</v>
      </c>
      <c r="H201" s="42">
        <f t="shared" si="50"/>
        <v>67698932</v>
      </c>
      <c r="I201" s="42">
        <v>2941818.2200000011</v>
      </c>
      <c r="J201" s="43">
        <f t="shared" si="42"/>
        <v>4.3454425839391395E-2</v>
      </c>
      <c r="K201" s="44">
        <v>38528754.729999997</v>
      </c>
      <c r="L201" s="45">
        <f t="shared" si="43"/>
        <v>0.56911909230709867</v>
      </c>
      <c r="M201" s="42">
        <v>73709</v>
      </c>
      <c r="N201" s="45">
        <f t="shared" si="51"/>
        <v>8.4046523158198534E-4</v>
      </c>
      <c r="O201" s="44">
        <v>2063632</v>
      </c>
      <c r="P201" s="44">
        <v>-1576347</v>
      </c>
      <c r="Q201" s="44">
        <v>-1912132</v>
      </c>
      <c r="R201" s="46">
        <v>0.79735999999999996</v>
      </c>
      <c r="S201" s="46">
        <v>0.79286000000000001</v>
      </c>
      <c r="T201" s="47">
        <f t="shared" si="52"/>
        <v>0.79510000000000003</v>
      </c>
      <c r="U201" s="48">
        <v>0</v>
      </c>
      <c r="V201" s="45">
        <f t="shared" si="44"/>
        <v>0</v>
      </c>
      <c r="W201" s="49"/>
      <c r="X201" s="50"/>
      <c r="Y201" s="51"/>
      <c r="Z201" s="52"/>
      <c r="AA201" s="45" t="str">
        <f t="shared" si="45"/>
        <v/>
      </c>
      <c r="AB201" s="45">
        <f t="shared" si="46"/>
        <v>0.56911909230709867</v>
      </c>
      <c r="AC201" s="45" t="str">
        <f t="shared" si="47"/>
        <v/>
      </c>
      <c r="AD201" s="53" t="str">
        <f t="shared" si="53"/>
        <v/>
      </c>
      <c r="AE201" s="45" t="str">
        <f t="shared" si="48"/>
        <v/>
      </c>
      <c r="AF201" s="36">
        <f t="shared" si="54"/>
        <v>1</v>
      </c>
      <c r="AG201" s="54">
        <f t="shared" si="49"/>
        <v>0</v>
      </c>
      <c r="AH201" s="32" t="str">
        <f t="shared" si="55"/>
        <v/>
      </c>
      <c r="AI201" s="50"/>
      <c r="AJ201" s="50">
        <v>1</v>
      </c>
      <c r="AK201" s="50">
        <v>1</v>
      </c>
      <c r="AL201" s="50">
        <v>1</v>
      </c>
      <c r="AM201" s="50">
        <v>1</v>
      </c>
      <c r="AN201" s="50">
        <v>1</v>
      </c>
      <c r="AO201" s="50">
        <v>2</v>
      </c>
      <c r="AP201" s="50">
        <v>2</v>
      </c>
      <c r="AQ201" s="50">
        <v>2</v>
      </c>
      <c r="AR201" s="50">
        <v>4</v>
      </c>
      <c r="AU201" s="39"/>
      <c r="AW201" s="39"/>
    </row>
    <row r="202" spans="1:49" x14ac:dyDescent="0.25">
      <c r="A202" s="40"/>
      <c r="B202" s="41">
        <v>7110</v>
      </c>
      <c r="C202" s="40" t="s">
        <v>236</v>
      </c>
      <c r="D202" s="42">
        <v>13618698</v>
      </c>
      <c r="E202" s="42">
        <v>17032130</v>
      </c>
      <c r="F202" s="42">
        <v>18157100</v>
      </c>
      <c r="G202" s="42">
        <v>17538327</v>
      </c>
      <c r="H202" s="42">
        <f t="shared" si="50"/>
        <v>16586564</v>
      </c>
      <c r="I202" s="42">
        <v>1192117.95</v>
      </c>
      <c r="J202" s="43">
        <f t="shared" si="42"/>
        <v>7.1872507771953253E-2</v>
      </c>
      <c r="K202" s="44">
        <v>7787452.9699999997</v>
      </c>
      <c r="L202" s="45">
        <f t="shared" si="43"/>
        <v>0.46950368804533593</v>
      </c>
      <c r="M202" s="42">
        <v>1209400</v>
      </c>
      <c r="N202" s="45">
        <f t="shared" si="51"/>
        <v>6.8957546520828361E-2</v>
      </c>
      <c r="O202" s="44">
        <v>-2110763</v>
      </c>
      <c r="P202" s="44">
        <v>-3305533</v>
      </c>
      <c r="Q202" s="44">
        <v>-968285</v>
      </c>
      <c r="R202" s="46">
        <v>0.81903999999999999</v>
      </c>
      <c r="S202" s="46">
        <v>0.78686</v>
      </c>
      <c r="T202" s="47">
        <f t="shared" si="52"/>
        <v>0.80300000000000005</v>
      </c>
      <c r="U202" s="48">
        <v>0</v>
      </c>
      <c r="V202" s="45">
        <f t="shared" si="44"/>
        <v>0</v>
      </c>
      <c r="W202" s="49"/>
      <c r="X202" s="50"/>
      <c r="Y202" s="51"/>
      <c r="Z202" s="52"/>
      <c r="AA202" s="45" t="str">
        <f t="shared" si="45"/>
        <v/>
      </c>
      <c r="AB202" s="45" t="str">
        <f t="shared" si="46"/>
        <v/>
      </c>
      <c r="AC202" s="45">
        <f t="shared" si="47"/>
        <v>6.8957546520828361E-2</v>
      </c>
      <c r="AD202" s="53" t="str">
        <f t="shared" si="53"/>
        <v>да</v>
      </c>
      <c r="AE202" s="45" t="str">
        <f t="shared" si="48"/>
        <v/>
      </c>
      <c r="AF202" s="36">
        <f t="shared" si="54"/>
        <v>2</v>
      </c>
      <c r="AG202" s="54">
        <f t="shared" si="49"/>
        <v>0</v>
      </c>
      <c r="AH202" s="32" t="str">
        <f t="shared" si="55"/>
        <v/>
      </c>
      <c r="AI202" s="50"/>
      <c r="AJ202" s="50">
        <v>1</v>
      </c>
      <c r="AK202" s="50">
        <v>2</v>
      </c>
      <c r="AL202" s="50">
        <v>2</v>
      </c>
      <c r="AM202" s="50">
        <v>2</v>
      </c>
      <c r="AN202" s="50">
        <v>3</v>
      </c>
      <c r="AO202" s="50">
        <v>3</v>
      </c>
      <c r="AP202" s="50">
        <v>3</v>
      </c>
      <c r="AQ202" s="50">
        <v>4</v>
      </c>
      <c r="AR202" s="50">
        <v>3</v>
      </c>
      <c r="AU202" s="39"/>
      <c r="AW202" s="39"/>
    </row>
    <row r="203" spans="1:49" x14ac:dyDescent="0.25">
      <c r="A203" s="40" t="s">
        <v>237</v>
      </c>
      <c r="B203" s="41">
        <v>7225</v>
      </c>
      <c r="C203" s="40" t="s">
        <v>238</v>
      </c>
      <c r="D203" s="42">
        <v>1595036903</v>
      </c>
      <c r="E203" s="42">
        <v>1900338434</v>
      </c>
      <c r="F203" s="42">
        <v>2222900443</v>
      </c>
      <c r="G203" s="42">
        <v>2624934981</v>
      </c>
      <c r="H203" s="42">
        <f t="shared" si="50"/>
        <v>2085802690</v>
      </c>
      <c r="I203" s="42">
        <v>211689406.72000024</v>
      </c>
      <c r="J203" s="43">
        <f t="shared" si="42"/>
        <v>0.10149061928767589</v>
      </c>
      <c r="K203" s="44">
        <v>940357997.82999992</v>
      </c>
      <c r="L203" s="45">
        <f t="shared" si="43"/>
        <v>0.45083746527817542</v>
      </c>
      <c r="M203" s="42">
        <v>941212</v>
      </c>
      <c r="N203" s="45">
        <f t="shared" si="51"/>
        <v>3.5856583374931219E-4</v>
      </c>
      <c r="O203" s="44">
        <v>40245450</v>
      </c>
      <c r="P203" s="44">
        <v>34931868</v>
      </c>
      <c r="Q203" s="44">
        <v>-69068274</v>
      </c>
      <c r="R203" s="46">
        <v>0.81483000000000005</v>
      </c>
      <c r="S203" s="46">
        <v>0.77263999999999999</v>
      </c>
      <c r="T203" s="47">
        <f t="shared" si="52"/>
        <v>0.79369999999999996</v>
      </c>
      <c r="U203" s="48">
        <v>48840</v>
      </c>
      <c r="V203" s="45">
        <f t="shared" si="44"/>
        <v>1.8606175144724469E-5</v>
      </c>
      <c r="W203" s="49"/>
      <c r="X203" s="50"/>
      <c r="Y203" s="51"/>
      <c r="Z203" s="52"/>
      <c r="AA203" s="45" t="str">
        <f t="shared" si="45"/>
        <v/>
      </c>
      <c r="AB203" s="45" t="str">
        <f t="shared" si="46"/>
        <v/>
      </c>
      <c r="AC203" s="45" t="str">
        <f t="shared" si="47"/>
        <v/>
      </c>
      <c r="AD203" s="53" t="str">
        <f t="shared" si="53"/>
        <v/>
      </c>
      <c r="AE203" s="45" t="str">
        <f t="shared" si="48"/>
        <v/>
      </c>
      <c r="AF203" s="36">
        <f t="shared" si="54"/>
        <v>0</v>
      </c>
      <c r="AG203" s="54">
        <f t="shared" si="49"/>
        <v>0</v>
      </c>
      <c r="AH203" s="32" t="str">
        <f t="shared" si="55"/>
        <v/>
      </c>
      <c r="AI203" s="50"/>
      <c r="AJ203" s="50">
        <v>1</v>
      </c>
      <c r="AK203" s="50">
        <v>1</v>
      </c>
      <c r="AL203" s="50">
        <v>0</v>
      </c>
      <c r="AM203" s="50">
        <v>0</v>
      </c>
      <c r="AN203" s="50">
        <v>0</v>
      </c>
      <c r="AO203" s="50">
        <v>0</v>
      </c>
      <c r="AP203" s="50">
        <v>0</v>
      </c>
      <c r="AQ203" s="50">
        <v>1</v>
      </c>
      <c r="AR203" s="50">
        <v>0</v>
      </c>
      <c r="AU203" s="39"/>
      <c r="AW203" s="39"/>
    </row>
    <row r="204" spans="1:49" x14ac:dyDescent="0.25">
      <c r="A204" s="40" t="s">
        <v>239</v>
      </c>
      <c r="B204" s="41">
        <v>7301</v>
      </c>
      <c r="C204" s="40" t="s">
        <v>240</v>
      </c>
      <c r="D204" s="42">
        <v>3958279</v>
      </c>
      <c r="E204" s="42">
        <v>3817165</v>
      </c>
      <c r="F204" s="42">
        <v>5889856</v>
      </c>
      <c r="G204" s="42">
        <v>4379556</v>
      </c>
      <c r="H204" s="42">
        <f t="shared" si="50"/>
        <v>4511214</v>
      </c>
      <c r="I204" s="42">
        <v>24910.399999999936</v>
      </c>
      <c r="J204" s="43">
        <f t="shared" si="42"/>
        <v>5.5218839097413552E-3</v>
      </c>
      <c r="K204" s="44">
        <v>3795186.9</v>
      </c>
      <c r="L204" s="45">
        <f t="shared" si="43"/>
        <v>0.84127840089164463</v>
      </c>
      <c r="M204" s="42">
        <v>24011</v>
      </c>
      <c r="N204" s="45">
        <f t="shared" si="51"/>
        <v>5.4825192325432077E-3</v>
      </c>
      <c r="O204" s="44">
        <v>128335</v>
      </c>
      <c r="P204" s="44">
        <v>-1436687</v>
      </c>
      <c r="Q204" s="44">
        <v>-16170</v>
      </c>
      <c r="R204" s="46">
        <v>0.87592999999999999</v>
      </c>
      <c r="S204" s="46">
        <v>0.81135999999999997</v>
      </c>
      <c r="T204" s="47">
        <f t="shared" si="52"/>
        <v>0.84360000000000002</v>
      </c>
      <c r="U204" s="48">
        <v>5283</v>
      </c>
      <c r="V204" s="45">
        <f t="shared" si="44"/>
        <v>1.2062866646755973E-3</v>
      </c>
      <c r="W204" s="49"/>
      <c r="X204" s="50"/>
      <c r="Y204" s="51"/>
      <c r="Z204" s="52"/>
      <c r="AA204" s="45" t="str">
        <f t="shared" si="45"/>
        <v/>
      </c>
      <c r="AB204" s="45">
        <f t="shared" si="46"/>
        <v>0.84127840089164463</v>
      </c>
      <c r="AC204" s="45" t="str">
        <f t="shared" si="47"/>
        <v/>
      </c>
      <c r="AD204" s="53" t="str">
        <f t="shared" si="53"/>
        <v/>
      </c>
      <c r="AE204" s="45" t="str">
        <f t="shared" si="48"/>
        <v/>
      </c>
      <c r="AF204" s="36">
        <f t="shared" si="54"/>
        <v>1</v>
      </c>
      <c r="AG204" s="54">
        <f t="shared" si="49"/>
        <v>0</v>
      </c>
      <c r="AH204" s="32" t="str">
        <f t="shared" si="55"/>
        <v/>
      </c>
      <c r="AI204" s="50"/>
      <c r="AJ204" s="50">
        <v>0</v>
      </c>
      <c r="AK204" s="50">
        <v>1</v>
      </c>
      <c r="AL204" s="50">
        <v>1</v>
      </c>
      <c r="AM204" s="50">
        <v>0</v>
      </c>
      <c r="AN204" s="50">
        <v>0</v>
      </c>
      <c r="AO204" s="50">
        <v>0</v>
      </c>
      <c r="AP204" s="50">
        <v>0</v>
      </c>
      <c r="AQ204" s="50">
        <v>0</v>
      </c>
      <c r="AR204" s="50">
        <v>1</v>
      </c>
      <c r="AU204" s="39"/>
      <c r="AW204" s="39"/>
    </row>
    <row r="205" spans="1:49" x14ac:dyDescent="0.25">
      <c r="A205" s="40"/>
      <c r="B205" s="41">
        <v>7302</v>
      </c>
      <c r="C205" s="40" t="s">
        <v>241</v>
      </c>
      <c r="D205" s="42">
        <v>13691580</v>
      </c>
      <c r="E205" s="42">
        <v>15783198</v>
      </c>
      <c r="F205" s="42">
        <v>18047736</v>
      </c>
      <c r="G205" s="42">
        <v>21042616</v>
      </c>
      <c r="H205" s="42">
        <f t="shared" si="50"/>
        <v>17141283</v>
      </c>
      <c r="I205" s="42">
        <v>155065.69000000128</v>
      </c>
      <c r="J205" s="43">
        <f t="shared" si="42"/>
        <v>9.0463292625179385E-3</v>
      </c>
      <c r="K205" s="44">
        <v>13945155.439999998</v>
      </c>
      <c r="L205" s="45">
        <f t="shared" si="43"/>
        <v>0.81354210417038197</v>
      </c>
      <c r="M205" s="42">
        <v>0</v>
      </c>
      <c r="N205" s="45">
        <f t="shared" si="51"/>
        <v>0</v>
      </c>
      <c r="O205" s="44">
        <v>-821069</v>
      </c>
      <c r="P205" s="44">
        <v>985494</v>
      </c>
      <c r="Q205" s="44">
        <v>-577587</v>
      </c>
      <c r="R205" s="46">
        <v>0.86524000000000001</v>
      </c>
      <c r="S205" s="46">
        <v>0.78998000000000002</v>
      </c>
      <c r="T205" s="47">
        <f t="shared" si="52"/>
        <v>0.8276</v>
      </c>
      <c r="U205" s="48">
        <v>0</v>
      </c>
      <c r="V205" s="45">
        <f t="shared" si="44"/>
        <v>0</v>
      </c>
      <c r="W205" s="49"/>
      <c r="X205" s="50"/>
      <c r="Y205" s="51"/>
      <c r="Z205" s="52"/>
      <c r="AA205" s="45" t="str">
        <f t="shared" si="45"/>
        <v/>
      </c>
      <c r="AB205" s="45">
        <f t="shared" si="46"/>
        <v>0.81354210417038197</v>
      </c>
      <c r="AC205" s="45" t="str">
        <f t="shared" si="47"/>
        <v/>
      </c>
      <c r="AD205" s="53" t="str">
        <f t="shared" si="53"/>
        <v/>
      </c>
      <c r="AE205" s="45" t="str">
        <f t="shared" si="48"/>
        <v/>
      </c>
      <c r="AF205" s="36">
        <f t="shared" si="54"/>
        <v>1</v>
      </c>
      <c r="AG205" s="54">
        <f t="shared" si="49"/>
        <v>0</v>
      </c>
      <c r="AH205" s="32" t="str">
        <f t="shared" si="55"/>
        <v/>
      </c>
      <c r="AI205" s="50"/>
      <c r="AJ205" s="50">
        <v>0</v>
      </c>
      <c r="AK205" s="50">
        <v>1</v>
      </c>
      <c r="AL205" s="50">
        <v>0</v>
      </c>
      <c r="AM205" s="50">
        <v>0</v>
      </c>
      <c r="AN205" s="50">
        <v>0</v>
      </c>
      <c r="AO205" s="50">
        <v>1</v>
      </c>
      <c r="AP205" s="50">
        <v>1</v>
      </c>
      <c r="AQ205" s="50">
        <v>1</v>
      </c>
      <c r="AR205" s="50">
        <v>1</v>
      </c>
      <c r="AU205" s="39"/>
      <c r="AW205" s="39"/>
    </row>
    <row r="206" spans="1:49" x14ac:dyDescent="0.25">
      <c r="A206" s="40"/>
      <c r="B206" s="41">
        <v>7303</v>
      </c>
      <c r="C206" s="40" t="s">
        <v>242</v>
      </c>
      <c r="D206" s="42">
        <v>42943965</v>
      </c>
      <c r="E206" s="42">
        <v>49560849</v>
      </c>
      <c r="F206" s="42">
        <v>60069383</v>
      </c>
      <c r="G206" s="42">
        <v>82839582</v>
      </c>
      <c r="H206" s="42">
        <f t="shared" si="50"/>
        <v>58853445</v>
      </c>
      <c r="I206" s="42">
        <v>2716367.1200000006</v>
      </c>
      <c r="J206" s="43">
        <f t="shared" si="42"/>
        <v>4.6154768340239058E-2</v>
      </c>
      <c r="K206" s="44">
        <v>34090283.280000001</v>
      </c>
      <c r="L206" s="45">
        <f t="shared" si="43"/>
        <v>0.57924023445016692</v>
      </c>
      <c r="M206" s="42">
        <v>0</v>
      </c>
      <c r="N206" s="45">
        <f t="shared" si="51"/>
        <v>0</v>
      </c>
      <c r="O206" s="44">
        <v>2082700</v>
      </c>
      <c r="P206" s="44">
        <v>257244</v>
      </c>
      <c r="Q206" s="44">
        <v>-3056899</v>
      </c>
      <c r="R206" s="46">
        <v>0.86209999999999998</v>
      </c>
      <c r="S206" s="46">
        <v>0.76231000000000004</v>
      </c>
      <c r="T206" s="47">
        <f t="shared" si="52"/>
        <v>0.81220000000000003</v>
      </c>
      <c r="U206" s="48">
        <v>0</v>
      </c>
      <c r="V206" s="45">
        <f t="shared" si="44"/>
        <v>0</v>
      </c>
      <c r="W206" s="49"/>
      <c r="X206" s="50"/>
      <c r="Y206" s="51"/>
      <c r="Z206" s="52"/>
      <c r="AA206" s="45" t="str">
        <f t="shared" si="45"/>
        <v/>
      </c>
      <c r="AB206" s="45">
        <f t="shared" si="46"/>
        <v>0.57924023445016692</v>
      </c>
      <c r="AC206" s="45" t="str">
        <f t="shared" si="47"/>
        <v/>
      </c>
      <c r="AD206" s="53" t="str">
        <f t="shared" si="53"/>
        <v/>
      </c>
      <c r="AE206" s="45" t="str">
        <f t="shared" si="48"/>
        <v/>
      </c>
      <c r="AF206" s="36">
        <f t="shared" si="54"/>
        <v>1</v>
      </c>
      <c r="AG206" s="54">
        <f t="shared" si="49"/>
        <v>0</v>
      </c>
      <c r="AH206" s="32" t="str">
        <f t="shared" si="55"/>
        <v/>
      </c>
      <c r="AI206" s="50"/>
      <c r="AJ206" s="50">
        <v>0</v>
      </c>
      <c r="AK206" s="50">
        <v>1</v>
      </c>
      <c r="AL206" s="50">
        <v>0</v>
      </c>
      <c r="AM206" s="50">
        <v>1</v>
      </c>
      <c r="AN206" s="50">
        <v>1</v>
      </c>
      <c r="AO206" s="50">
        <v>1</v>
      </c>
      <c r="AP206" s="50">
        <v>0</v>
      </c>
      <c r="AQ206" s="50">
        <v>0</v>
      </c>
      <c r="AR206" s="50">
        <v>0</v>
      </c>
      <c r="AU206" s="39"/>
      <c r="AW206" s="39"/>
    </row>
    <row r="207" spans="1:49" x14ac:dyDescent="0.25">
      <c r="A207" s="40"/>
      <c r="B207" s="41">
        <v>7304</v>
      </c>
      <c r="C207" s="40" t="s">
        <v>243</v>
      </c>
      <c r="D207" s="42">
        <v>7024152</v>
      </c>
      <c r="E207" s="42">
        <v>7521441</v>
      </c>
      <c r="F207" s="42">
        <v>11672474</v>
      </c>
      <c r="G207" s="42">
        <v>14946365</v>
      </c>
      <c r="H207" s="42">
        <f t="shared" si="50"/>
        <v>10291108</v>
      </c>
      <c r="I207" s="42">
        <v>173413.73999999958</v>
      </c>
      <c r="J207" s="43">
        <f t="shared" si="42"/>
        <v>1.6850832777189743E-2</v>
      </c>
      <c r="K207" s="44">
        <v>5860598.1999999993</v>
      </c>
      <c r="L207" s="45">
        <f t="shared" si="43"/>
        <v>0.56948175065308804</v>
      </c>
      <c r="M207" s="42">
        <v>0</v>
      </c>
      <c r="N207" s="45">
        <f t="shared" si="51"/>
        <v>0</v>
      </c>
      <c r="O207" s="44">
        <v>2867717</v>
      </c>
      <c r="P207" s="44">
        <v>-533774</v>
      </c>
      <c r="Q207" s="44">
        <v>-1261930</v>
      </c>
      <c r="R207" s="46">
        <v>0.86429</v>
      </c>
      <c r="S207" s="46">
        <v>0.82608000000000004</v>
      </c>
      <c r="T207" s="47">
        <f t="shared" si="52"/>
        <v>0.84519999999999995</v>
      </c>
      <c r="U207" s="48">
        <v>0</v>
      </c>
      <c r="V207" s="45">
        <f t="shared" si="44"/>
        <v>0</v>
      </c>
      <c r="W207" s="49"/>
      <c r="X207" s="50"/>
      <c r="Y207" s="51"/>
      <c r="Z207" s="52"/>
      <c r="AA207" s="45" t="str">
        <f t="shared" si="45"/>
        <v/>
      </c>
      <c r="AB207" s="45">
        <f t="shared" si="46"/>
        <v>0.56948175065308804</v>
      </c>
      <c r="AC207" s="45" t="str">
        <f t="shared" si="47"/>
        <v/>
      </c>
      <c r="AD207" s="53" t="str">
        <f t="shared" si="53"/>
        <v/>
      </c>
      <c r="AE207" s="45" t="str">
        <f t="shared" si="48"/>
        <v/>
      </c>
      <c r="AF207" s="36">
        <f t="shared" si="54"/>
        <v>1</v>
      </c>
      <c r="AG207" s="54">
        <f t="shared" si="49"/>
        <v>0</v>
      </c>
      <c r="AH207" s="32" t="str">
        <f t="shared" si="55"/>
        <v/>
      </c>
      <c r="AI207" s="50"/>
      <c r="AJ207" s="50">
        <v>0</v>
      </c>
      <c r="AK207" s="50">
        <v>0</v>
      </c>
      <c r="AL207" s="50">
        <v>1</v>
      </c>
      <c r="AM207" s="50">
        <v>0</v>
      </c>
      <c r="AN207" s="50">
        <v>1</v>
      </c>
      <c r="AO207" s="50">
        <v>2</v>
      </c>
      <c r="AP207" s="50">
        <v>0</v>
      </c>
      <c r="AQ207" s="50">
        <v>2</v>
      </c>
      <c r="AR207" s="50">
        <v>0</v>
      </c>
      <c r="AU207" s="39"/>
      <c r="AW207" s="39"/>
    </row>
    <row r="208" spans="1:49" x14ac:dyDescent="0.25">
      <c r="A208" s="40"/>
      <c r="B208" s="41">
        <v>7305</v>
      </c>
      <c r="C208" s="40" t="s">
        <v>244</v>
      </c>
      <c r="D208" s="42">
        <v>11129699</v>
      </c>
      <c r="E208" s="42">
        <v>12488194</v>
      </c>
      <c r="F208" s="42">
        <v>15866212</v>
      </c>
      <c r="G208" s="42">
        <v>15877769</v>
      </c>
      <c r="H208" s="42">
        <f t="shared" si="50"/>
        <v>13840469</v>
      </c>
      <c r="I208" s="42">
        <v>2534147.56</v>
      </c>
      <c r="J208" s="43">
        <f t="shared" si="42"/>
        <v>0.18309694274088545</v>
      </c>
      <c r="K208" s="44">
        <v>3837129.88</v>
      </c>
      <c r="L208" s="45">
        <f t="shared" si="43"/>
        <v>0.27723987387999638</v>
      </c>
      <c r="M208" s="42">
        <v>141278</v>
      </c>
      <c r="N208" s="45">
        <f t="shared" si="51"/>
        <v>8.8978495656411166E-3</v>
      </c>
      <c r="O208" s="44">
        <v>2335917</v>
      </c>
      <c r="P208" s="44">
        <v>-1306007</v>
      </c>
      <c r="Q208" s="44">
        <v>-937111</v>
      </c>
      <c r="R208" s="46">
        <v>0.76905000000000001</v>
      </c>
      <c r="S208" s="46">
        <v>0.74123000000000006</v>
      </c>
      <c r="T208" s="47">
        <f t="shared" si="52"/>
        <v>0.75509999999999999</v>
      </c>
      <c r="U208" s="48">
        <v>0</v>
      </c>
      <c r="V208" s="45">
        <f t="shared" si="44"/>
        <v>0</v>
      </c>
      <c r="W208" s="49"/>
      <c r="X208" s="50"/>
      <c r="Y208" s="51"/>
      <c r="Z208" s="52"/>
      <c r="AA208" s="45">
        <f t="shared" si="45"/>
        <v>0.18309694274088545</v>
      </c>
      <c r="AB208" s="45" t="str">
        <f t="shared" si="46"/>
        <v/>
      </c>
      <c r="AC208" s="45" t="str">
        <f t="shared" si="47"/>
        <v/>
      </c>
      <c r="AD208" s="53" t="str">
        <f t="shared" si="53"/>
        <v/>
      </c>
      <c r="AE208" s="45">
        <f t="shared" si="48"/>
        <v>0.75509999999999999</v>
      </c>
      <c r="AF208" s="36">
        <f t="shared" si="54"/>
        <v>2</v>
      </c>
      <c r="AG208" s="54">
        <f t="shared" si="49"/>
        <v>0</v>
      </c>
      <c r="AH208" s="32" t="str">
        <f t="shared" si="55"/>
        <v/>
      </c>
      <c r="AI208" s="50"/>
      <c r="AJ208" s="50">
        <v>1</v>
      </c>
      <c r="AK208" s="50">
        <v>0</v>
      </c>
      <c r="AL208" s="50">
        <v>1</v>
      </c>
      <c r="AM208" s="50">
        <v>0</v>
      </c>
      <c r="AN208" s="50">
        <v>0</v>
      </c>
      <c r="AO208" s="50">
        <v>2</v>
      </c>
      <c r="AP208" s="50">
        <v>1</v>
      </c>
      <c r="AQ208" s="50">
        <v>0</v>
      </c>
      <c r="AR208" s="50">
        <v>0</v>
      </c>
      <c r="AU208" s="39"/>
      <c r="AW208" s="39"/>
    </row>
    <row r="209" spans="1:49" x14ac:dyDescent="0.25">
      <c r="A209" s="40"/>
      <c r="B209" s="41">
        <v>7306</v>
      </c>
      <c r="C209" s="40" t="s">
        <v>245</v>
      </c>
      <c r="D209" s="42">
        <v>10896377</v>
      </c>
      <c r="E209" s="42">
        <v>13296527</v>
      </c>
      <c r="F209" s="42">
        <v>14738534</v>
      </c>
      <c r="G209" s="42">
        <v>19957774</v>
      </c>
      <c r="H209" s="42">
        <f t="shared" si="50"/>
        <v>14722303</v>
      </c>
      <c r="I209" s="42">
        <v>389143.11000000028</v>
      </c>
      <c r="J209" s="43">
        <f t="shared" si="42"/>
        <v>2.6432217160589636E-2</v>
      </c>
      <c r="K209" s="44">
        <v>6101781.0200000005</v>
      </c>
      <c r="L209" s="45">
        <f t="shared" si="43"/>
        <v>0.41445832353810408</v>
      </c>
      <c r="M209" s="42">
        <v>12958</v>
      </c>
      <c r="N209" s="45">
        <f t="shared" si="51"/>
        <v>6.4927080545154983E-4</v>
      </c>
      <c r="O209" s="44">
        <v>341666</v>
      </c>
      <c r="P209" s="44">
        <v>1638408</v>
      </c>
      <c r="Q209" s="44">
        <v>-817839</v>
      </c>
      <c r="R209" s="46">
        <v>0.74890000000000001</v>
      </c>
      <c r="S209" s="46">
        <v>0.71850999999999998</v>
      </c>
      <c r="T209" s="47">
        <f t="shared" si="52"/>
        <v>0.73370000000000002</v>
      </c>
      <c r="U209" s="48">
        <v>0</v>
      </c>
      <c r="V209" s="45">
        <f t="shared" si="44"/>
        <v>0</v>
      </c>
      <c r="W209" s="49"/>
      <c r="X209" s="50"/>
      <c r="Y209" s="51"/>
      <c r="Z209" s="52"/>
      <c r="AA209" s="45" t="str">
        <f t="shared" si="45"/>
        <v/>
      </c>
      <c r="AB209" s="45" t="str">
        <f t="shared" si="46"/>
        <v/>
      </c>
      <c r="AC209" s="45" t="str">
        <f t="shared" si="47"/>
        <v/>
      </c>
      <c r="AD209" s="53" t="str">
        <f t="shared" si="53"/>
        <v/>
      </c>
      <c r="AE209" s="45">
        <f t="shared" si="48"/>
        <v>0.73370000000000002</v>
      </c>
      <c r="AF209" s="36">
        <f t="shared" si="54"/>
        <v>1</v>
      </c>
      <c r="AG209" s="54">
        <f t="shared" si="49"/>
        <v>0</v>
      </c>
      <c r="AH209" s="32" t="str">
        <f t="shared" si="55"/>
        <v/>
      </c>
      <c r="AI209" s="50"/>
      <c r="AJ209" s="50">
        <v>1</v>
      </c>
      <c r="AK209" s="50">
        <v>1</v>
      </c>
      <c r="AL209" s="50">
        <v>1</v>
      </c>
      <c r="AM209" s="50">
        <v>1</v>
      </c>
      <c r="AN209" s="50">
        <v>1</v>
      </c>
      <c r="AO209" s="50">
        <v>1</v>
      </c>
      <c r="AP209" s="50">
        <v>1</v>
      </c>
      <c r="AQ209" s="50">
        <v>1</v>
      </c>
      <c r="AR209" s="50">
        <v>1</v>
      </c>
      <c r="AU209" s="39"/>
      <c r="AW209" s="39"/>
    </row>
    <row r="210" spans="1:49" x14ac:dyDescent="0.25">
      <c r="A210" s="40"/>
      <c r="B210" s="41">
        <v>7307</v>
      </c>
      <c r="C210" s="40" t="s">
        <v>246</v>
      </c>
      <c r="D210" s="42">
        <v>9945020</v>
      </c>
      <c r="E210" s="42">
        <v>11179998</v>
      </c>
      <c r="F210" s="42">
        <v>11451111</v>
      </c>
      <c r="G210" s="42">
        <v>15979178</v>
      </c>
      <c r="H210" s="42">
        <f t="shared" si="50"/>
        <v>12138827</v>
      </c>
      <c r="I210" s="42">
        <v>3825843.5700000012</v>
      </c>
      <c r="J210" s="43">
        <f t="shared" si="42"/>
        <v>0.31517407489207988</v>
      </c>
      <c r="K210" s="44">
        <v>6922714.0999999996</v>
      </c>
      <c r="L210" s="45">
        <f t="shared" si="43"/>
        <v>0.57029514466265974</v>
      </c>
      <c r="M210" s="42">
        <v>244758</v>
      </c>
      <c r="N210" s="45">
        <f t="shared" si="51"/>
        <v>1.5317308562430432E-2</v>
      </c>
      <c r="O210" s="44">
        <v>1115747</v>
      </c>
      <c r="P210" s="44">
        <v>1588991</v>
      </c>
      <c r="Q210" s="44">
        <v>-1854485</v>
      </c>
      <c r="R210" s="46">
        <v>0.66881999999999997</v>
      </c>
      <c r="S210" s="46">
        <v>0.77895000000000003</v>
      </c>
      <c r="T210" s="47">
        <f t="shared" si="52"/>
        <v>0.72389999999999999</v>
      </c>
      <c r="U210" s="48">
        <v>0</v>
      </c>
      <c r="V210" s="45">
        <f t="shared" si="44"/>
        <v>0</v>
      </c>
      <c r="W210" s="49"/>
      <c r="X210" s="50"/>
      <c r="Y210" s="51"/>
      <c r="Z210" s="52"/>
      <c r="AA210" s="45">
        <f t="shared" si="45"/>
        <v>0.31517407489207988</v>
      </c>
      <c r="AB210" s="45">
        <f t="shared" si="46"/>
        <v>0.57029514466265974</v>
      </c>
      <c r="AC210" s="45" t="str">
        <f t="shared" si="47"/>
        <v/>
      </c>
      <c r="AD210" s="53" t="str">
        <f t="shared" si="53"/>
        <v/>
      </c>
      <c r="AE210" s="45">
        <f t="shared" si="48"/>
        <v>0.72389999999999999</v>
      </c>
      <c r="AF210" s="36">
        <f t="shared" si="54"/>
        <v>3</v>
      </c>
      <c r="AG210" s="54">
        <f t="shared" si="49"/>
        <v>0</v>
      </c>
      <c r="AH210" s="32">
        <f t="shared" si="55"/>
        <v>1</v>
      </c>
      <c r="AI210" s="50"/>
      <c r="AJ210" s="50">
        <v>1</v>
      </c>
      <c r="AK210" s="50">
        <v>1</v>
      </c>
      <c r="AL210" s="50">
        <v>0</v>
      </c>
      <c r="AM210" s="50">
        <v>1</v>
      </c>
      <c r="AN210" s="50">
        <v>1</v>
      </c>
      <c r="AO210" s="50">
        <v>0</v>
      </c>
      <c r="AP210" s="50">
        <v>1</v>
      </c>
      <c r="AQ210" s="50">
        <v>1</v>
      </c>
      <c r="AR210" s="50">
        <v>1</v>
      </c>
      <c r="AU210" s="39"/>
      <c r="AW210" s="39"/>
    </row>
    <row r="211" spans="1:49" x14ac:dyDescent="0.25">
      <c r="A211" s="40"/>
      <c r="B211" s="41">
        <v>7308</v>
      </c>
      <c r="C211" s="40" t="s">
        <v>247</v>
      </c>
      <c r="D211" s="42">
        <v>29572661</v>
      </c>
      <c r="E211" s="42">
        <v>34851101</v>
      </c>
      <c r="F211" s="42">
        <v>44739923</v>
      </c>
      <c r="G211" s="42">
        <v>59643918</v>
      </c>
      <c r="H211" s="42">
        <f t="shared" si="50"/>
        <v>42201901</v>
      </c>
      <c r="I211" s="42">
        <v>1298863.9200000018</v>
      </c>
      <c r="J211" s="43">
        <f t="shared" si="42"/>
        <v>3.0777379436059096E-2</v>
      </c>
      <c r="K211" s="44">
        <v>83094872.300000012</v>
      </c>
      <c r="L211" s="45">
        <f t="shared" si="43"/>
        <v>1.9689841057159962</v>
      </c>
      <c r="M211" s="42">
        <v>220653</v>
      </c>
      <c r="N211" s="45">
        <f t="shared" si="51"/>
        <v>3.6995054550239305E-3</v>
      </c>
      <c r="O211" s="44">
        <v>7928739</v>
      </c>
      <c r="P211" s="44">
        <v>3287222</v>
      </c>
      <c r="Q211" s="44">
        <v>-9023082</v>
      </c>
      <c r="R211" s="46">
        <v>0.86582999999999999</v>
      </c>
      <c r="S211" s="46">
        <v>0.75849</v>
      </c>
      <c r="T211" s="47">
        <f t="shared" si="52"/>
        <v>0.81220000000000003</v>
      </c>
      <c r="U211" s="48">
        <v>0</v>
      </c>
      <c r="V211" s="45">
        <f t="shared" si="44"/>
        <v>0</v>
      </c>
      <c r="W211" s="49"/>
      <c r="X211" s="50"/>
      <c r="Y211" s="51"/>
      <c r="Z211" s="52"/>
      <c r="AA211" s="45" t="str">
        <f t="shared" si="45"/>
        <v/>
      </c>
      <c r="AB211" s="45">
        <f t="shared" si="46"/>
        <v>1.9689841057159962</v>
      </c>
      <c r="AC211" s="45" t="str">
        <f t="shared" si="47"/>
        <v/>
      </c>
      <c r="AD211" s="53" t="str">
        <f t="shared" si="53"/>
        <v/>
      </c>
      <c r="AE211" s="45" t="str">
        <f t="shared" si="48"/>
        <v/>
      </c>
      <c r="AF211" s="36">
        <f t="shared" si="54"/>
        <v>1</v>
      </c>
      <c r="AG211" s="54">
        <f t="shared" si="49"/>
        <v>0</v>
      </c>
      <c r="AH211" s="32" t="str">
        <f t="shared" si="55"/>
        <v/>
      </c>
      <c r="AI211" s="50"/>
      <c r="AJ211" s="50">
        <v>1</v>
      </c>
      <c r="AK211" s="50">
        <v>1</v>
      </c>
      <c r="AL211" s="50">
        <v>1</v>
      </c>
      <c r="AM211" s="50">
        <v>1</v>
      </c>
      <c r="AN211" s="50">
        <v>2</v>
      </c>
      <c r="AO211" s="50">
        <v>0</v>
      </c>
      <c r="AP211" s="50">
        <v>0</v>
      </c>
      <c r="AQ211" s="50">
        <v>1</v>
      </c>
      <c r="AR211" s="50">
        <v>1</v>
      </c>
      <c r="AU211" s="39"/>
      <c r="AW211" s="39"/>
    </row>
    <row r="212" spans="1:49" x14ac:dyDescent="0.25">
      <c r="A212" s="40"/>
      <c r="B212" s="41">
        <v>7309</v>
      </c>
      <c r="C212" s="40" t="s">
        <v>248</v>
      </c>
      <c r="D212" s="42">
        <v>22445857</v>
      </c>
      <c r="E212" s="42">
        <v>22175422</v>
      </c>
      <c r="F212" s="42">
        <v>28248141</v>
      </c>
      <c r="G212" s="42">
        <v>30611455</v>
      </c>
      <c r="H212" s="42">
        <f t="shared" si="50"/>
        <v>25870219</v>
      </c>
      <c r="I212" s="42">
        <v>536666.20000000158</v>
      </c>
      <c r="J212" s="43">
        <f t="shared" si="42"/>
        <v>2.0744555738009082E-2</v>
      </c>
      <c r="K212" s="44">
        <v>1819019.88</v>
      </c>
      <c r="L212" s="45">
        <f t="shared" si="43"/>
        <v>7.0313277208824548E-2</v>
      </c>
      <c r="M212" s="42">
        <v>143088</v>
      </c>
      <c r="N212" s="45">
        <f t="shared" si="51"/>
        <v>4.6743286132593176E-3</v>
      </c>
      <c r="O212" s="44">
        <v>1188464</v>
      </c>
      <c r="P212" s="44">
        <v>-795532</v>
      </c>
      <c r="Q212" s="44">
        <v>-224231</v>
      </c>
      <c r="R212" s="46">
        <v>0.90305999999999997</v>
      </c>
      <c r="S212" s="46">
        <v>0.7964</v>
      </c>
      <c r="T212" s="47">
        <f t="shared" si="52"/>
        <v>0.84970000000000001</v>
      </c>
      <c r="U212" s="48">
        <v>0</v>
      </c>
      <c r="V212" s="45">
        <f t="shared" si="44"/>
        <v>0</v>
      </c>
      <c r="W212" s="49"/>
      <c r="X212" s="50"/>
      <c r="Y212" s="51"/>
      <c r="Z212" s="52"/>
      <c r="AA212" s="45" t="str">
        <f t="shared" si="45"/>
        <v/>
      </c>
      <c r="AB212" s="45" t="str">
        <f t="shared" si="46"/>
        <v/>
      </c>
      <c r="AC212" s="45" t="str">
        <f t="shared" si="47"/>
        <v/>
      </c>
      <c r="AD212" s="53" t="str">
        <f t="shared" si="53"/>
        <v/>
      </c>
      <c r="AE212" s="45" t="str">
        <f t="shared" si="48"/>
        <v/>
      </c>
      <c r="AF212" s="36">
        <f t="shared" si="54"/>
        <v>0</v>
      </c>
      <c r="AG212" s="54">
        <f t="shared" si="49"/>
        <v>0</v>
      </c>
      <c r="AH212" s="32" t="str">
        <f t="shared" si="55"/>
        <v/>
      </c>
      <c r="AI212" s="50"/>
      <c r="AJ212" s="50">
        <v>0</v>
      </c>
      <c r="AK212" s="50">
        <v>0</v>
      </c>
      <c r="AL212" s="50">
        <v>0</v>
      </c>
      <c r="AM212" s="50">
        <v>0</v>
      </c>
      <c r="AN212" s="50">
        <v>0</v>
      </c>
      <c r="AO212" s="50">
        <v>0</v>
      </c>
      <c r="AP212" s="50">
        <v>1</v>
      </c>
      <c r="AQ212" s="50">
        <v>0</v>
      </c>
      <c r="AR212" s="50">
        <v>1</v>
      </c>
      <c r="AU212" s="39"/>
      <c r="AW212" s="39"/>
    </row>
    <row r="213" spans="1:49" x14ac:dyDescent="0.25">
      <c r="A213" s="40"/>
      <c r="B213" s="41">
        <v>7310</v>
      </c>
      <c r="C213" s="40" t="s">
        <v>249</v>
      </c>
      <c r="D213" s="42">
        <v>9523894</v>
      </c>
      <c r="E213" s="42">
        <v>11043362</v>
      </c>
      <c r="F213" s="42">
        <v>13251658</v>
      </c>
      <c r="G213" s="42">
        <v>15761632</v>
      </c>
      <c r="H213" s="42">
        <f t="shared" si="50"/>
        <v>12395137</v>
      </c>
      <c r="I213" s="42">
        <v>117662.50999999944</v>
      </c>
      <c r="J213" s="43">
        <f t="shared" si="42"/>
        <v>9.4926348938296889E-3</v>
      </c>
      <c r="K213" s="44">
        <v>14864631.629999999</v>
      </c>
      <c r="L213" s="45">
        <f t="shared" si="43"/>
        <v>1.19923092661259</v>
      </c>
      <c r="M213" s="42">
        <v>0</v>
      </c>
      <c r="N213" s="45">
        <f t="shared" si="51"/>
        <v>0</v>
      </c>
      <c r="O213" s="44">
        <v>1083781</v>
      </c>
      <c r="P213" s="44">
        <v>-631482</v>
      </c>
      <c r="Q213" s="44">
        <v>-1477031</v>
      </c>
      <c r="R213" s="46">
        <v>0.95101999999999998</v>
      </c>
      <c r="S213" s="46">
        <v>0.79815999999999998</v>
      </c>
      <c r="T213" s="47">
        <f t="shared" si="52"/>
        <v>0.87460000000000004</v>
      </c>
      <c r="U213" s="48">
        <v>0</v>
      </c>
      <c r="V213" s="45">
        <f t="shared" si="44"/>
        <v>0</v>
      </c>
      <c r="W213" s="49"/>
      <c r="X213" s="50"/>
      <c r="Y213" s="51"/>
      <c r="Z213" s="52"/>
      <c r="AA213" s="45" t="str">
        <f t="shared" si="45"/>
        <v/>
      </c>
      <c r="AB213" s="45">
        <f t="shared" si="46"/>
        <v>1.19923092661259</v>
      </c>
      <c r="AC213" s="45" t="str">
        <f t="shared" si="47"/>
        <v/>
      </c>
      <c r="AD213" s="53" t="str">
        <f t="shared" si="53"/>
        <v/>
      </c>
      <c r="AE213" s="45" t="str">
        <f t="shared" si="48"/>
        <v/>
      </c>
      <c r="AF213" s="36">
        <f t="shared" si="54"/>
        <v>1</v>
      </c>
      <c r="AG213" s="54">
        <f t="shared" si="49"/>
        <v>0</v>
      </c>
      <c r="AH213" s="32" t="str">
        <f t="shared" si="55"/>
        <v/>
      </c>
      <c r="AI213" s="50"/>
      <c r="AJ213" s="50">
        <v>0</v>
      </c>
      <c r="AK213" s="50">
        <v>0</v>
      </c>
      <c r="AL213" s="50">
        <v>1</v>
      </c>
      <c r="AM213" s="50">
        <v>0</v>
      </c>
      <c r="AN213" s="50">
        <v>0</v>
      </c>
      <c r="AO213" s="50">
        <v>0</v>
      </c>
      <c r="AP213" s="50">
        <v>0</v>
      </c>
      <c r="AQ213" s="50">
        <v>0</v>
      </c>
      <c r="AR213" s="50">
        <v>1</v>
      </c>
      <c r="AU213" s="39"/>
      <c r="AW213" s="39"/>
    </row>
    <row r="214" spans="1:49" x14ac:dyDescent="0.25">
      <c r="A214" s="40"/>
      <c r="B214" s="41">
        <v>7311</v>
      </c>
      <c r="C214" s="40" t="s">
        <v>250</v>
      </c>
      <c r="D214" s="42">
        <v>22387652</v>
      </c>
      <c r="E214" s="42">
        <v>29949084</v>
      </c>
      <c r="F214" s="42">
        <v>35816203</v>
      </c>
      <c r="G214" s="42">
        <v>45797604</v>
      </c>
      <c r="H214" s="42">
        <f t="shared" si="50"/>
        <v>33487636</v>
      </c>
      <c r="I214" s="42">
        <v>4436758.8500000006</v>
      </c>
      <c r="J214" s="43">
        <f t="shared" si="42"/>
        <v>0.13248946118501767</v>
      </c>
      <c r="K214" s="44">
        <v>17216967.91</v>
      </c>
      <c r="L214" s="45">
        <f t="shared" si="43"/>
        <v>0.51412909260002704</v>
      </c>
      <c r="M214" s="42">
        <v>0</v>
      </c>
      <c r="N214" s="45">
        <f t="shared" si="51"/>
        <v>0</v>
      </c>
      <c r="O214" s="44">
        <v>2393461</v>
      </c>
      <c r="P214" s="44">
        <v>-559213</v>
      </c>
      <c r="Q214" s="44">
        <v>3617225</v>
      </c>
      <c r="R214" s="46">
        <v>0.84204000000000001</v>
      </c>
      <c r="S214" s="46">
        <v>0.76978000000000002</v>
      </c>
      <c r="T214" s="47">
        <f t="shared" si="52"/>
        <v>0.80589999999999995</v>
      </c>
      <c r="U214" s="48">
        <v>0</v>
      </c>
      <c r="V214" s="45">
        <f t="shared" si="44"/>
        <v>0</v>
      </c>
      <c r="W214" s="49"/>
      <c r="X214" s="50"/>
      <c r="Y214" s="51"/>
      <c r="Z214" s="52"/>
      <c r="AA214" s="45" t="str">
        <f t="shared" si="45"/>
        <v/>
      </c>
      <c r="AB214" s="45">
        <f t="shared" si="46"/>
        <v>0.51412909260002704</v>
      </c>
      <c r="AC214" s="45" t="str">
        <f t="shared" si="47"/>
        <v/>
      </c>
      <c r="AD214" s="53" t="str">
        <f t="shared" si="53"/>
        <v/>
      </c>
      <c r="AE214" s="45" t="str">
        <f t="shared" si="48"/>
        <v/>
      </c>
      <c r="AF214" s="36">
        <f t="shared" si="54"/>
        <v>1</v>
      </c>
      <c r="AG214" s="54">
        <f t="shared" si="49"/>
        <v>0</v>
      </c>
      <c r="AH214" s="32" t="str">
        <f t="shared" si="55"/>
        <v/>
      </c>
      <c r="AI214" s="50"/>
      <c r="AJ214" s="50">
        <v>0</v>
      </c>
      <c r="AK214" s="50">
        <v>0</v>
      </c>
      <c r="AL214" s="50">
        <v>1</v>
      </c>
      <c r="AM214" s="50">
        <v>0</v>
      </c>
      <c r="AN214" s="50">
        <v>1</v>
      </c>
      <c r="AO214" s="50">
        <v>0</v>
      </c>
      <c r="AP214" s="50">
        <v>0</v>
      </c>
      <c r="AQ214" s="50">
        <v>0</v>
      </c>
      <c r="AR214" s="50">
        <v>0</v>
      </c>
      <c r="AU214" s="39"/>
      <c r="AW214" s="39"/>
    </row>
    <row r="215" spans="1:49" x14ac:dyDescent="0.25">
      <c r="A215" s="40"/>
      <c r="B215" s="41">
        <v>7312</v>
      </c>
      <c r="C215" s="40" t="s">
        <v>251</v>
      </c>
      <c r="D215" s="42">
        <v>4849426</v>
      </c>
      <c r="E215" s="42">
        <v>8186843</v>
      </c>
      <c r="F215" s="42">
        <v>9604012</v>
      </c>
      <c r="G215" s="42">
        <v>8647557</v>
      </c>
      <c r="H215" s="42">
        <f t="shared" si="50"/>
        <v>7821960</v>
      </c>
      <c r="I215" s="42">
        <v>174415.23000000021</v>
      </c>
      <c r="J215" s="43">
        <f t="shared" si="42"/>
        <v>2.229814905726956E-2</v>
      </c>
      <c r="K215" s="44">
        <v>3386614.9699999997</v>
      </c>
      <c r="L215" s="45">
        <f t="shared" si="43"/>
        <v>0.43296245058783217</v>
      </c>
      <c r="M215" s="42">
        <v>0</v>
      </c>
      <c r="N215" s="45">
        <f t="shared" si="51"/>
        <v>0</v>
      </c>
      <c r="O215" s="44">
        <v>1535355</v>
      </c>
      <c r="P215" s="44">
        <v>129958</v>
      </c>
      <c r="Q215" s="44">
        <v>-902627</v>
      </c>
      <c r="R215" s="46">
        <v>0.88966000000000001</v>
      </c>
      <c r="S215" s="46">
        <v>0.87195</v>
      </c>
      <c r="T215" s="47">
        <f t="shared" si="52"/>
        <v>0.88080000000000003</v>
      </c>
      <c r="U215" s="48">
        <v>0</v>
      </c>
      <c r="V215" s="45">
        <f t="shared" si="44"/>
        <v>0</v>
      </c>
      <c r="W215" s="49"/>
      <c r="X215" s="50"/>
      <c r="Y215" s="51"/>
      <c r="Z215" s="52"/>
      <c r="AA215" s="45" t="str">
        <f t="shared" si="45"/>
        <v/>
      </c>
      <c r="AB215" s="45" t="str">
        <f t="shared" si="46"/>
        <v/>
      </c>
      <c r="AC215" s="45" t="str">
        <f t="shared" si="47"/>
        <v/>
      </c>
      <c r="AD215" s="53" t="str">
        <f t="shared" si="53"/>
        <v/>
      </c>
      <c r="AE215" s="45" t="str">
        <f t="shared" si="48"/>
        <v/>
      </c>
      <c r="AF215" s="36">
        <f t="shared" si="54"/>
        <v>0</v>
      </c>
      <c r="AG215" s="54">
        <f t="shared" si="49"/>
        <v>0</v>
      </c>
      <c r="AH215" s="32" t="str">
        <f t="shared" si="55"/>
        <v/>
      </c>
      <c r="AI215" s="50"/>
      <c r="AJ215" s="50">
        <v>0</v>
      </c>
      <c r="AK215" s="50">
        <v>1</v>
      </c>
      <c r="AL215" s="50">
        <v>0</v>
      </c>
      <c r="AM215" s="50">
        <v>0</v>
      </c>
      <c r="AN215" s="50">
        <v>0</v>
      </c>
      <c r="AO215" s="50">
        <v>0</v>
      </c>
      <c r="AP215" s="50">
        <v>0</v>
      </c>
      <c r="AQ215" s="50">
        <v>0</v>
      </c>
      <c r="AR215" s="50">
        <v>1</v>
      </c>
      <c r="AU215" s="39"/>
      <c r="AW215" s="39"/>
    </row>
    <row r="216" spans="1:49" x14ac:dyDescent="0.25">
      <c r="A216" s="40"/>
      <c r="B216" s="41">
        <v>7313</v>
      </c>
      <c r="C216" s="40" t="s">
        <v>252</v>
      </c>
      <c r="D216" s="42">
        <v>18226089</v>
      </c>
      <c r="E216" s="42">
        <v>21685881</v>
      </c>
      <c r="F216" s="42">
        <v>23447699</v>
      </c>
      <c r="G216" s="42">
        <v>25421620</v>
      </c>
      <c r="H216" s="42">
        <f t="shared" si="50"/>
        <v>22195322</v>
      </c>
      <c r="I216" s="42">
        <v>3338675.68</v>
      </c>
      <c r="J216" s="43">
        <f t="shared" si="42"/>
        <v>0.15042249353264622</v>
      </c>
      <c r="K216" s="44">
        <v>24811866.149999999</v>
      </c>
      <c r="L216" s="45">
        <f t="shared" si="43"/>
        <v>1.117887190372818</v>
      </c>
      <c r="M216" s="42">
        <v>1274550</v>
      </c>
      <c r="N216" s="45">
        <f t="shared" si="51"/>
        <v>5.0136458652123662E-2</v>
      </c>
      <c r="O216" s="44">
        <v>-1373496</v>
      </c>
      <c r="P216" s="44">
        <v>-944170</v>
      </c>
      <c r="Q216" s="44">
        <v>302834</v>
      </c>
      <c r="R216" s="46">
        <v>0.84958</v>
      </c>
      <c r="S216" s="46">
        <v>0.78610999999999998</v>
      </c>
      <c r="T216" s="47">
        <f t="shared" si="52"/>
        <v>0.81779999999999997</v>
      </c>
      <c r="U216" s="48">
        <v>0</v>
      </c>
      <c r="V216" s="45">
        <f t="shared" si="44"/>
        <v>0</v>
      </c>
      <c r="W216" s="49"/>
      <c r="X216" s="50"/>
      <c r="Y216" s="51"/>
      <c r="Z216" s="52"/>
      <c r="AA216" s="45">
        <f t="shared" si="45"/>
        <v>0.15042249353264622</v>
      </c>
      <c r="AB216" s="45">
        <f t="shared" si="46"/>
        <v>1.117887190372818</v>
      </c>
      <c r="AC216" s="45">
        <f t="shared" si="47"/>
        <v>5.0136458652123662E-2</v>
      </c>
      <c r="AD216" s="53" t="str">
        <f t="shared" si="53"/>
        <v/>
      </c>
      <c r="AE216" s="45" t="str">
        <f t="shared" si="48"/>
        <v/>
      </c>
      <c r="AF216" s="36">
        <f t="shared" si="54"/>
        <v>3</v>
      </c>
      <c r="AG216" s="54">
        <f t="shared" si="49"/>
        <v>0</v>
      </c>
      <c r="AH216" s="32">
        <f t="shared" si="55"/>
        <v>1</v>
      </c>
      <c r="AI216" s="50"/>
      <c r="AJ216" s="50">
        <v>1</v>
      </c>
      <c r="AK216" s="50">
        <v>0</v>
      </c>
      <c r="AL216" s="50">
        <v>0</v>
      </c>
      <c r="AM216" s="50">
        <v>2</v>
      </c>
      <c r="AN216" s="50">
        <v>2</v>
      </c>
      <c r="AO216" s="50">
        <v>2</v>
      </c>
      <c r="AP216" s="50">
        <v>2</v>
      </c>
      <c r="AQ216" s="50">
        <v>1</v>
      </c>
      <c r="AR216" s="50">
        <v>3</v>
      </c>
      <c r="AU216" s="39"/>
      <c r="AW216" s="39"/>
    </row>
    <row r="217" spans="1:49" x14ac:dyDescent="0.25">
      <c r="A217" s="40"/>
      <c r="B217" s="41">
        <v>7314</v>
      </c>
      <c r="C217" s="40" t="s">
        <v>253</v>
      </c>
      <c r="D217" s="42">
        <v>24408797</v>
      </c>
      <c r="E217" s="42">
        <v>24289513</v>
      </c>
      <c r="F217" s="42">
        <v>34843441</v>
      </c>
      <c r="G217" s="42">
        <v>45448198</v>
      </c>
      <c r="H217" s="42">
        <f t="shared" si="50"/>
        <v>32247487</v>
      </c>
      <c r="I217" s="42">
        <v>2611456.0000000009</v>
      </c>
      <c r="J217" s="43">
        <f t="shared" si="42"/>
        <v>8.0981690139141721E-2</v>
      </c>
      <c r="K217" s="44">
        <v>24753034.440000001</v>
      </c>
      <c r="L217" s="45">
        <f t="shared" si="43"/>
        <v>0.7675957645939977</v>
      </c>
      <c r="M217" s="42">
        <v>0</v>
      </c>
      <c r="N217" s="45">
        <f t="shared" si="51"/>
        <v>0</v>
      </c>
      <c r="O217" s="44">
        <v>373049</v>
      </c>
      <c r="P217" s="44">
        <v>-2962825</v>
      </c>
      <c r="Q217" s="44">
        <v>1380937</v>
      </c>
      <c r="R217" s="46">
        <v>0.87778999999999996</v>
      </c>
      <c r="S217" s="46">
        <v>0.75668000000000002</v>
      </c>
      <c r="T217" s="47">
        <f t="shared" si="52"/>
        <v>0.81720000000000004</v>
      </c>
      <c r="U217" s="48">
        <v>0</v>
      </c>
      <c r="V217" s="45">
        <f t="shared" si="44"/>
        <v>0</v>
      </c>
      <c r="W217" s="49"/>
      <c r="X217" s="50"/>
      <c r="Y217" s="51"/>
      <c r="Z217" s="52"/>
      <c r="AA217" s="45" t="str">
        <f t="shared" si="45"/>
        <v/>
      </c>
      <c r="AB217" s="45">
        <f t="shared" si="46"/>
        <v>0.7675957645939977</v>
      </c>
      <c r="AC217" s="45" t="str">
        <f t="shared" si="47"/>
        <v/>
      </c>
      <c r="AD217" s="53" t="str">
        <f t="shared" si="53"/>
        <v/>
      </c>
      <c r="AE217" s="45" t="str">
        <f t="shared" si="48"/>
        <v/>
      </c>
      <c r="AF217" s="36">
        <f t="shared" si="54"/>
        <v>1</v>
      </c>
      <c r="AG217" s="54">
        <f t="shared" si="49"/>
        <v>0</v>
      </c>
      <c r="AH217" s="32" t="str">
        <f t="shared" si="55"/>
        <v/>
      </c>
      <c r="AI217" s="50"/>
      <c r="AJ217" s="50">
        <v>1</v>
      </c>
      <c r="AK217" s="50">
        <v>1</v>
      </c>
      <c r="AL217" s="50">
        <v>0</v>
      </c>
      <c r="AM217" s="50">
        <v>0</v>
      </c>
      <c r="AN217" s="50">
        <v>0</v>
      </c>
      <c r="AO217" s="50">
        <v>0</v>
      </c>
      <c r="AP217" s="50">
        <v>0</v>
      </c>
      <c r="AQ217" s="50">
        <v>0</v>
      </c>
      <c r="AR217" s="50">
        <v>1</v>
      </c>
      <c r="AU217" s="39"/>
      <c r="AW217" s="39"/>
    </row>
    <row r="218" spans="1:49" x14ac:dyDescent="0.25">
      <c r="A218" s="40"/>
      <c r="B218" s="41">
        <v>7315</v>
      </c>
      <c r="C218" s="40" t="s">
        <v>254</v>
      </c>
      <c r="D218" s="42">
        <v>8055329</v>
      </c>
      <c r="E218" s="42">
        <v>10395666</v>
      </c>
      <c r="F218" s="42">
        <v>8637443</v>
      </c>
      <c r="G218" s="42">
        <v>10457037</v>
      </c>
      <c r="H218" s="42">
        <f t="shared" si="50"/>
        <v>9386369</v>
      </c>
      <c r="I218" s="42">
        <v>80471.659999999931</v>
      </c>
      <c r="J218" s="43">
        <f t="shared" si="42"/>
        <v>8.5732470138346287E-3</v>
      </c>
      <c r="K218" s="44">
        <v>9732955.4600000009</v>
      </c>
      <c r="L218" s="45">
        <f t="shared" si="43"/>
        <v>1.0369244443724726</v>
      </c>
      <c r="M218" s="42">
        <v>0</v>
      </c>
      <c r="N218" s="45">
        <f t="shared" si="51"/>
        <v>0</v>
      </c>
      <c r="O218" s="44">
        <v>-2384976</v>
      </c>
      <c r="P218" s="44">
        <v>-88437</v>
      </c>
      <c r="Q218" s="44">
        <v>553757</v>
      </c>
      <c r="R218" s="46">
        <v>0.92732000000000003</v>
      </c>
      <c r="S218" s="46">
        <v>0.88892000000000004</v>
      </c>
      <c r="T218" s="47">
        <f t="shared" si="52"/>
        <v>0.90810000000000002</v>
      </c>
      <c r="U218" s="48">
        <v>0</v>
      </c>
      <c r="V218" s="45">
        <f t="shared" si="44"/>
        <v>0</v>
      </c>
      <c r="W218" s="49"/>
      <c r="X218" s="50"/>
      <c r="Y218" s="51"/>
      <c r="Z218" s="52"/>
      <c r="AA218" s="45" t="str">
        <f t="shared" si="45"/>
        <v/>
      </c>
      <c r="AB218" s="45">
        <f t="shared" si="46"/>
        <v>1.0369244443724726</v>
      </c>
      <c r="AC218" s="45" t="str">
        <f t="shared" si="47"/>
        <v/>
      </c>
      <c r="AD218" s="53" t="str">
        <f t="shared" si="53"/>
        <v/>
      </c>
      <c r="AE218" s="45" t="str">
        <f t="shared" si="48"/>
        <v/>
      </c>
      <c r="AF218" s="36">
        <f t="shared" si="54"/>
        <v>1</v>
      </c>
      <c r="AG218" s="54">
        <f t="shared" si="49"/>
        <v>0</v>
      </c>
      <c r="AH218" s="32" t="str">
        <f t="shared" si="55"/>
        <v/>
      </c>
      <c r="AI218" s="50"/>
      <c r="AJ218" s="50">
        <v>1</v>
      </c>
      <c r="AK218" s="50">
        <v>0</v>
      </c>
      <c r="AL218" s="50">
        <v>0</v>
      </c>
      <c r="AM218" s="50">
        <v>2</v>
      </c>
      <c r="AN218" s="50">
        <v>0</v>
      </c>
      <c r="AO218" s="50">
        <v>0</v>
      </c>
      <c r="AP218" s="50">
        <v>1</v>
      </c>
      <c r="AQ218" s="50">
        <v>1</v>
      </c>
      <c r="AR218" s="50">
        <v>1</v>
      </c>
      <c r="AU218" s="39"/>
      <c r="AW218" s="39"/>
    </row>
    <row r="219" spans="1:49" x14ac:dyDescent="0.25">
      <c r="A219" s="40"/>
      <c r="B219" s="41">
        <v>7316</v>
      </c>
      <c r="C219" s="40" t="s">
        <v>255</v>
      </c>
      <c r="D219" s="42">
        <v>9693125</v>
      </c>
      <c r="E219" s="42">
        <v>15813524</v>
      </c>
      <c r="F219" s="42">
        <v>15992045</v>
      </c>
      <c r="G219" s="42">
        <v>17148084</v>
      </c>
      <c r="H219" s="42">
        <f t="shared" si="50"/>
        <v>14661695</v>
      </c>
      <c r="I219" s="42">
        <v>498216.30999999976</v>
      </c>
      <c r="J219" s="43">
        <f t="shared" si="42"/>
        <v>3.3980812586812084E-2</v>
      </c>
      <c r="K219" s="44">
        <v>1112899.5899999999</v>
      </c>
      <c r="L219" s="45">
        <f t="shared" si="43"/>
        <v>7.590524765383537E-2</v>
      </c>
      <c r="M219" s="42">
        <v>520365</v>
      </c>
      <c r="N219" s="45">
        <f t="shared" si="51"/>
        <v>3.0345372695865031E-2</v>
      </c>
      <c r="O219" s="44">
        <v>-1046689</v>
      </c>
      <c r="P219" s="44">
        <v>191118</v>
      </c>
      <c r="Q219" s="44">
        <v>-2126871</v>
      </c>
      <c r="R219" s="46">
        <v>0.85455000000000003</v>
      </c>
      <c r="S219" s="46">
        <v>0.79676000000000002</v>
      </c>
      <c r="T219" s="47">
        <f t="shared" si="52"/>
        <v>0.82569999999999999</v>
      </c>
      <c r="U219" s="48">
        <v>0</v>
      </c>
      <c r="V219" s="45">
        <f t="shared" si="44"/>
        <v>0</v>
      </c>
      <c r="W219" s="49"/>
      <c r="X219" s="50"/>
      <c r="Y219" s="51"/>
      <c r="Z219" s="52"/>
      <c r="AA219" s="45" t="str">
        <f t="shared" si="45"/>
        <v/>
      </c>
      <c r="AB219" s="45" t="str">
        <f t="shared" si="46"/>
        <v/>
      </c>
      <c r="AC219" s="45" t="str">
        <f t="shared" si="47"/>
        <v/>
      </c>
      <c r="AD219" s="53" t="str">
        <f t="shared" si="53"/>
        <v/>
      </c>
      <c r="AE219" s="45" t="str">
        <f t="shared" si="48"/>
        <v/>
      </c>
      <c r="AF219" s="36">
        <f t="shared" si="54"/>
        <v>0</v>
      </c>
      <c r="AG219" s="54">
        <f t="shared" si="49"/>
        <v>0</v>
      </c>
      <c r="AH219" s="32" t="str">
        <f t="shared" si="55"/>
        <v/>
      </c>
      <c r="AI219" s="50"/>
      <c r="AJ219" s="50">
        <v>0</v>
      </c>
      <c r="AK219" s="50">
        <v>0</v>
      </c>
      <c r="AL219" s="50">
        <v>0</v>
      </c>
      <c r="AM219" s="50">
        <v>1</v>
      </c>
      <c r="AN219" s="50">
        <v>1</v>
      </c>
      <c r="AO219" s="50">
        <v>1</v>
      </c>
      <c r="AP219" s="50">
        <v>1</v>
      </c>
      <c r="AQ219" s="50">
        <v>2</v>
      </c>
      <c r="AR219" s="50">
        <v>2</v>
      </c>
      <c r="AU219" s="39"/>
      <c r="AW219" s="39"/>
    </row>
    <row r="220" spans="1:49" x14ac:dyDescent="0.25">
      <c r="A220" s="40"/>
      <c r="B220" s="41">
        <v>7317</v>
      </c>
      <c r="C220" s="40" t="s">
        <v>256</v>
      </c>
      <c r="D220" s="42">
        <v>15095366</v>
      </c>
      <c r="E220" s="42">
        <v>16351993</v>
      </c>
      <c r="F220" s="42">
        <v>18885599</v>
      </c>
      <c r="G220" s="42">
        <v>24068779</v>
      </c>
      <c r="H220" s="42">
        <f t="shared" si="50"/>
        <v>18600434</v>
      </c>
      <c r="I220" s="42">
        <v>1306103.3899999992</v>
      </c>
      <c r="J220" s="43">
        <f t="shared" si="42"/>
        <v>7.0218973922866482E-2</v>
      </c>
      <c r="K220" s="44">
        <v>15152734.220000001</v>
      </c>
      <c r="L220" s="45">
        <f t="shared" si="43"/>
        <v>0.81464412174468626</v>
      </c>
      <c r="M220" s="42">
        <v>0</v>
      </c>
      <c r="N220" s="45">
        <f t="shared" si="51"/>
        <v>0</v>
      </c>
      <c r="O220" s="44">
        <v>4773754</v>
      </c>
      <c r="P220" s="44">
        <v>3344030</v>
      </c>
      <c r="Q220" s="44">
        <v>-3009779</v>
      </c>
      <c r="R220" s="46">
        <v>0.87373000000000001</v>
      </c>
      <c r="S220" s="46">
        <v>0.71501999999999999</v>
      </c>
      <c r="T220" s="47">
        <f t="shared" si="52"/>
        <v>0.7944</v>
      </c>
      <c r="U220" s="48">
        <v>0</v>
      </c>
      <c r="V220" s="45">
        <f t="shared" si="44"/>
        <v>0</v>
      </c>
      <c r="W220" s="49"/>
      <c r="X220" s="50"/>
      <c r="Y220" s="51"/>
      <c r="Z220" s="52"/>
      <c r="AA220" s="45" t="str">
        <f t="shared" si="45"/>
        <v/>
      </c>
      <c r="AB220" s="45">
        <f t="shared" si="46"/>
        <v>0.81464412174468626</v>
      </c>
      <c r="AC220" s="45" t="str">
        <f t="shared" si="47"/>
        <v/>
      </c>
      <c r="AD220" s="53" t="str">
        <f t="shared" si="53"/>
        <v/>
      </c>
      <c r="AE220" s="45" t="str">
        <f t="shared" si="48"/>
        <v/>
      </c>
      <c r="AF220" s="36">
        <f t="shared" si="54"/>
        <v>1</v>
      </c>
      <c r="AG220" s="54">
        <f t="shared" si="49"/>
        <v>0</v>
      </c>
      <c r="AH220" s="32" t="str">
        <f t="shared" si="55"/>
        <v/>
      </c>
      <c r="AI220" s="50"/>
      <c r="AJ220" s="50">
        <v>1</v>
      </c>
      <c r="AK220" s="50">
        <v>2</v>
      </c>
      <c r="AL220" s="50">
        <v>0</v>
      </c>
      <c r="AM220" s="50">
        <v>0</v>
      </c>
      <c r="AN220" s="50">
        <v>0</v>
      </c>
      <c r="AO220" s="50">
        <v>0</v>
      </c>
      <c r="AP220" s="50">
        <v>0</v>
      </c>
      <c r="AQ220" s="50">
        <v>0</v>
      </c>
      <c r="AR220" s="50">
        <v>2</v>
      </c>
      <c r="AU220" s="39"/>
      <c r="AW220" s="39"/>
    </row>
    <row r="221" spans="1:49" x14ac:dyDescent="0.25">
      <c r="A221" s="40"/>
      <c r="B221" s="41">
        <v>7318</v>
      </c>
      <c r="C221" s="40" t="s">
        <v>257</v>
      </c>
      <c r="D221" s="42">
        <v>48635657</v>
      </c>
      <c r="E221" s="42">
        <v>56127650</v>
      </c>
      <c r="F221" s="42">
        <v>66623113</v>
      </c>
      <c r="G221" s="42">
        <v>86587349</v>
      </c>
      <c r="H221" s="42">
        <f t="shared" si="50"/>
        <v>64493442</v>
      </c>
      <c r="I221" s="42">
        <v>1805176.3700000027</v>
      </c>
      <c r="J221" s="43">
        <f t="shared" si="42"/>
        <v>2.7990076417382138E-2</v>
      </c>
      <c r="K221" s="44">
        <v>34465796.300000004</v>
      </c>
      <c r="L221" s="45">
        <f t="shared" si="43"/>
        <v>0.53440776660671951</v>
      </c>
      <c r="M221" s="42">
        <v>187801</v>
      </c>
      <c r="N221" s="45">
        <f t="shared" si="51"/>
        <v>2.1689196189618879E-3</v>
      </c>
      <c r="O221" s="44">
        <v>7697238</v>
      </c>
      <c r="P221" s="44">
        <v>-87222</v>
      </c>
      <c r="Q221" s="44">
        <v>-5717622</v>
      </c>
      <c r="R221" s="46">
        <v>0.83453999999999995</v>
      </c>
      <c r="S221" s="46">
        <v>0.73126999999999998</v>
      </c>
      <c r="T221" s="47">
        <f t="shared" si="52"/>
        <v>0.78290000000000004</v>
      </c>
      <c r="U221" s="48">
        <v>0</v>
      </c>
      <c r="V221" s="45">
        <f t="shared" si="44"/>
        <v>0</v>
      </c>
      <c r="W221" s="49"/>
      <c r="X221" s="50"/>
      <c r="Y221" s="51"/>
      <c r="Z221" s="52"/>
      <c r="AA221" s="45" t="str">
        <f t="shared" si="45"/>
        <v/>
      </c>
      <c r="AB221" s="45">
        <f t="shared" si="46"/>
        <v>0.53440776660671951</v>
      </c>
      <c r="AC221" s="45" t="str">
        <f t="shared" si="47"/>
        <v/>
      </c>
      <c r="AD221" s="53" t="str">
        <f t="shared" si="53"/>
        <v/>
      </c>
      <c r="AE221" s="45" t="str">
        <f t="shared" si="48"/>
        <v/>
      </c>
      <c r="AF221" s="36">
        <f t="shared" si="54"/>
        <v>1</v>
      </c>
      <c r="AG221" s="54">
        <f t="shared" si="49"/>
        <v>0</v>
      </c>
      <c r="AH221" s="32" t="str">
        <f t="shared" si="55"/>
        <v/>
      </c>
      <c r="AI221" s="50"/>
      <c r="AJ221" s="50">
        <v>0</v>
      </c>
      <c r="AK221" s="50">
        <v>0</v>
      </c>
      <c r="AL221" s="50">
        <v>1</v>
      </c>
      <c r="AM221" s="50">
        <v>1</v>
      </c>
      <c r="AN221" s="50">
        <v>1</v>
      </c>
      <c r="AO221" s="50">
        <v>0</v>
      </c>
      <c r="AP221" s="50">
        <v>0</v>
      </c>
      <c r="AQ221" s="50">
        <v>0</v>
      </c>
      <c r="AR221" s="50">
        <v>0</v>
      </c>
      <c r="AU221" s="39"/>
      <c r="AW221" s="39"/>
    </row>
    <row r="222" spans="1:49" x14ac:dyDescent="0.25">
      <c r="A222" s="40"/>
      <c r="B222" s="41">
        <v>7319</v>
      </c>
      <c r="C222" s="40" t="s">
        <v>258</v>
      </c>
      <c r="D222" s="42">
        <v>26278396</v>
      </c>
      <c r="E222" s="42">
        <v>28857817</v>
      </c>
      <c r="F222" s="42">
        <v>34108815</v>
      </c>
      <c r="G222" s="42">
        <v>40392488</v>
      </c>
      <c r="H222" s="42">
        <f t="shared" si="50"/>
        <v>32409379</v>
      </c>
      <c r="I222" s="42">
        <v>604631.66000000155</v>
      </c>
      <c r="J222" s="43">
        <f t="shared" si="42"/>
        <v>1.8656070515883735E-2</v>
      </c>
      <c r="K222" s="44">
        <v>16544161.18</v>
      </c>
      <c r="L222" s="45">
        <f t="shared" si="43"/>
        <v>0.5104744888817524</v>
      </c>
      <c r="M222" s="42">
        <v>4464</v>
      </c>
      <c r="N222" s="45">
        <f t="shared" si="51"/>
        <v>1.1051559884105183E-4</v>
      </c>
      <c r="O222" s="44">
        <v>2858612</v>
      </c>
      <c r="P222" s="44">
        <v>-1088974</v>
      </c>
      <c r="Q222" s="44">
        <v>-3649484</v>
      </c>
      <c r="R222" s="46">
        <v>0.82406999999999997</v>
      </c>
      <c r="S222" s="46">
        <v>0.79000999999999999</v>
      </c>
      <c r="T222" s="47">
        <f t="shared" si="52"/>
        <v>0.80700000000000005</v>
      </c>
      <c r="U222" s="48">
        <v>0</v>
      </c>
      <c r="V222" s="45">
        <f t="shared" si="44"/>
        <v>0</v>
      </c>
      <c r="W222" s="49"/>
      <c r="X222" s="50"/>
      <c r="Y222" s="51"/>
      <c r="Z222" s="52"/>
      <c r="AA222" s="45" t="str">
        <f t="shared" si="45"/>
        <v/>
      </c>
      <c r="AB222" s="45">
        <f t="shared" si="46"/>
        <v>0.5104744888817524</v>
      </c>
      <c r="AC222" s="45" t="str">
        <f t="shared" si="47"/>
        <v/>
      </c>
      <c r="AD222" s="53" t="str">
        <f t="shared" si="53"/>
        <v/>
      </c>
      <c r="AE222" s="45" t="str">
        <f t="shared" si="48"/>
        <v/>
      </c>
      <c r="AF222" s="36">
        <f t="shared" si="54"/>
        <v>1</v>
      </c>
      <c r="AG222" s="54">
        <f t="shared" si="49"/>
        <v>0</v>
      </c>
      <c r="AH222" s="32" t="str">
        <f t="shared" si="55"/>
        <v/>
      </c>
      <c r="AI222" s="50"/>
      <c r="AJ222" s="50">
        <v>1</v>
      </c>
      <c r="AK222" s="50">
        <v>0</v>
      </c>
      <c r="AL222" s="50">
        <v>1</v>
      </c>
      <c r="AM222" s="50">
        <v>1</v>
      </c>
      <c r="AN222" s="50">
        <v>1</v>
      </c>
      <c r="AO222" s="50">
        <v>0</v>
      </c>
      <c r="AP222" s="50">
        <v>1</v>
      </c>
      <c r="AQ222" s="50">
        <v>0</v>
      </c>
      <c r="AR222" s="50">
        <v>0</v>
      </c>
      <c r="AU222" s="39"/>
      <c r="AW222" s="39"/>
    </row>
    <row r="223" spans="1:49" x14ac:dyDescent="0.25">
      <c r="A223" s="40"/>
      <c r="B223" s="41">
        <v>7320</v>
      </c>
      <c r="C223" s="40" t="s">
        <v>259</v>
      </c>
      <c r="D223" s="42">
        <v>20889222</v>
      </c>
      <c r="E223" s="42">
        <v>15329262</v>
      </c>
      <c r="F223" s="42">
        <v>16673906</v>
      </c>
      <c r="G223" s="42">
        <v>25733469</v>
      </c>
      <c r="H223" s="42">
        <f t="shared" si="50"/>
        <v>19656465</v>
      </c>
      <c r="I223" s="42">
        <v>497024.65999999928</v>
      </c>
      <c r="J223" s="43">
        <f t="shared" si="42"/>
        <v>2.5285556685802828E-2</v>
      </c>
      <c r="K223" s="44">
        <v>30345514.670000002</v>
      </c>
      <c r="L223" s="45">
        <f t="shared" si="43"/>
        <v>1.543793081309381</v>
      </c>
      <c r="M223" s="42">
        <v>215143</v>
      </c>
      <c r="N223" s="45">
        <f t="shared" si="51"/>
        <v>8.3604351982237615E-3</v>
      </c>
      <c r="O223" s="44">
        <v>1787160</v>
      </c>
      <c r="P223" s="44">
        <v>-1294077</v>
      </c>
      <c r="Q223" s="44">
        <v>1054870</v>
      </c>
      <c r="R223" s="46">
        <v>0.78761000000000003</v>
      </c>
      <c r="S223" s="46">
        <v>0.75819999999999999</v>
      </c>
      <c r="T223" s="47">
        <f t="shared" si="52"/>
        <v>0.77290000000000003</v>
      </c>
      <c r="U223" s="48">
        <v>0</v>
      </c>
      <c r="V223" s="45">
        <f t="shared" si="44"/>
        <v>0</v>
      </c>
      <c r="W223" s="49"/>
      <c r="X223" s="50"/>
      <c r="Y223" s="51"/>
      <c r="Z223" s="52"/>
      <c r="AA223" s="45" t="str">
        <f t="shared" si="45"/>
        <v/>
      </c>
      <c r="AB223" s="45">
        <f t="shared" si="46"/>
        <v>1.543793081309381</v>
      </c>
      <c r="AC223" s="45" t="str">
        <f t="shared" si="47"/>
        <v/>
      </c>
      <c r="AD223" s="53" t="str">
        <f t="shared" si="53"/>
        <v/>
      </c>
      <c r="AE223" s="45" t="str">
        <f t="shared" si="48"/>
        <v/>
      </c>
      <c r="AF223" s="36">
        <f t="shared" si="54"/>
        <v>1</v>
      </c>
      <c r="AG223" s="54">
        <f t="shared" si="49"/>
        <v>0</v>
      </c>
      <c r="AH223" s="32" t="str">
        <f t="shared" si="55"/>
        <v/>
      </c>
      <c r="AI223" s="50"/>
      <c r="AJ223" s="50">
        <v>0</v>
      </c>
      <c r="AK223" s="50">
        <v>0</v>
      </c>
      <c r="AL223" s="50">
        <v>0</v>
      </c>
      <c r="AM223" s="50">
        <v>0</v>
      </c>
      <c r="AN223" s="50">
        <v>1</v>
      </c>
      <c r="AO223" s="50">
        <v>0</v>
      </c>
      <c r="AP223" s="50">
        <v>2</v>
      </c>
      <c r="AQ223" s="50">
        <v>0</v>
      </c>
      <c r="AR223" s="50">
        <v>1</v>
      </c>
      <c r="AU223" s="39"/>
      <c r="AW223" s="39"/>
    </row>
    <row r="224" spans="1:49" x14ac:dyDescent="0.25">
      <c r="A224" s="40"/>
      <c r="B224" s="41">
        <v>7321</v>
      </c>
      <c r="C224" s="40" t="s">
        <v>260</v>
      </c>
      <c r="D224" s="42">
        <v>4928094</v>
      </c>
      <c r="E224" s="42">
        <v>5498342</v>
      </c>
      <c r="F224" s="42">
        <v>6281329</v>
      </c>
      <c r="G224" s="42">
        <v>9423703</v>
      </c>
      <c r="H224" s="42">
        <f t="shared" si="50"/>
        <v>6532867</v>
      </c>
      <c r="I224" s="42">
        <v>724409.83000000007</v>
      </c>
      <c r="J224" s="43">
        <f t="shared" si="42"/>
        <v>0.11088697045263589</v>
      </c>
      <c r="K224" s="44">
        <v>2275420.2799999998</v>
      </c>
      <c r="L224" s="45">
        <f t="shared" si="43"/>
        <v>0.34830347533479555</v>
      </c>
      <c r="M224" s="42">
        <v>0</v>
      </c>
      <c r="N224" s="45">
        <f t="shared" si="51"/>
        <v>0</v>
      </c>
      <c r="O224" s="44">
        <v>-375977</v>
      </c>
      <c r="P224" s="44">
        <v>-588918</v>
      </c>
      <c r="Q224" s="44">
        <v>-112706</v>
      </c>
      <c r="R224" s="46">
        <v>0.80861000000000005</v>
      </c>
      <c r="S224" s="46">
        <v>0.77639000000000002</v>
      </c>
      <c r="T224" s="47">
        <f t="shared" si="52"/>
        <v>0.79249999999999998</v>
      </c>
      <c r="U224" s="48">
        <v>0</v>
      </c>
      <c r="V224" s="45">
        <f t="shared" si="44"/>
        <v>0</v>
      </c>
      <c r="W224" s="49"/>
      <c r="X224" s="50"/>
      <c r="Y224" s="51"/>
      <c r="Z224" s="52"/>
      <c r="AA224" s="45" t="str">
        <f t="shared" si="45"/>
        <v/>
      </c>
      <c r="AB224" s="45" t="str">
        <f t="shared" si="46"/>
        <v/>
      </c>
      <c r="AC224" s="45" t="str">
        <f t="shared" si="47"/>
        <v/>
      </c>
      <c r="AD224" s="53" t="str">
        <f t="shared" si="53"/>
        <v>да</v>
      </c>
      <c r="AE224" s="45" t="str">
        <f t="shared" si="48"/>
        <v/>
      </c>
      <c r="AF224" s="36">
        <f t="shared" si="54"/>
        <v>1</v>
      </c>
      <c r="AG224" s="54">
        <f t="shared" si="49"/>
        <v>0</v>
      </c>
      <c r="AH224" s="32" t="str">
        <f t="shared" si="55"/>
        <v/>
      </c>
      <c r="AI224" s="50"/>
      <c r="AJ224" s="50">
        <v>0</v>
      </c>
      <c r="AK224" s="50">
        <v>0</v>
      </c>
      <c r="AL224" s="50">
        <v>0</v>
      </c>
      <c r="AM224" s="50">
        <v>0</v>
      </c>
      <c r="AN224" s="50">
        <v>0</v>
      </c>
      <c r="AO224" s="50">
        <v>0</v>
      </c>
      <c r="AP224" s="50">
        <v>0</v>
      </c>
      <c r="AQ224" s="50">
        <v>0</v>
      </c>
      <c r="AR224" s="50">
        <v>0</v>
      </c>
      <c r="AU224" s="39"/>
      <c r="AW224" s="39"/>
    </row>
    <row r="225" spans="1:49" x14ac:dyDescent="0.25">
      <c r="A225" s="40"/>
      <c r="B225" s="41">
        <v>7322</v>
      </c>
      <c r="C225" s="40" t="s">
        <v>261</v>
      </c>
      <c r="D225" s="42">
        <v>10952572</v>
      </c>
      <c r="E225" s="42">
        <v>13415444</v>
      </c>
      <c r="F225" s="42">
        <v>12167245</v>
      </c>
      <c r="G225" s="42">
        <v>13426541</v>
      </c>
      <c r="H225" s="42">
        <f t="shared" si="50"/>
        <v>12490451</v>
      </c>
      <c r="I225" s="42">
        <v>613023.8600000008</v>
      </c>
      <c r="J225" s="43">
        <f t="shared" si="42"/>
        <v>4.907940153642177E-2</v>
      </c>
      <c r="K225" s="44">
        <v>20484181.530000001</v>
      </c>
      <c r="L225" s="45">
        <f t="shared" si="43"/>
        <v>1.6399873415299417</v>
      </c>
      <c r="M225" s="42">
        <v>0</v>
      </c>
      <c r="N225" s="45">
        <f t="shared" si="51"/>
        <v>0</v>
      </c>
      <c r="O225" s="44">
        <v>1431984</v>
      </c>
      <c r="P225" s="44">
        <v>-236379</v>
      </c>
      <c r="Q225" s="44">
        <v>-1934777</v>
      </c>
      <c r="R225" s="46">
        <v>0.95970999999999995</v>
      </c>
      <c r="S225" s="46">
        <v>0.82869999999999999</v>
      </c>
      <c r="T225" s="47">
        <f t="shared" si="52"/>
        <v>0.89419999999999999</v>
      </c>
      <c r="U225" s="48">
        <v>0</v>
      </c>
      <c r="V225" s="45">
        <f t="shared" si="44"/>
        <v>0</v>
      </c>
      <c r="W225" s="49"/>
      <c r="X225" s="50"/>
      <c r="Y225" s="51"/>
      <c r="Z225" s="52"/>
      <c r="AA225" s="45" t="str">
        <f t="shared" si="45"/>
        <v/>
      </c>
      <c r="AB225" s="45">
        <f t="shared" si="46"/>
        <v>1.6399873415299417</v>
      </c>
      <c r="AC225" s="45" t="str">
        <f t="shared" si="47"/>
        <v/>
      </c>
      <c r="AD225" s="53" t="str">
        <f t="shared" si="53"/>
        <v/>
      </c>
      <c r="AE225" s="45" t="str">
        <f t="shared" si="48"/>
        <v/>
      </c>
      <c r="AF225" s="36">
        <f t="shared" si="54"/>
        <v>1</v>
      </c>
      <c r="AG225" s="54">
        <f t="shared" si="49"/>
        <v>0</v>
      </c>
      <c r="AH225" s="32" t="str">
        <f t="shared" si="55"/>
        <v/>
      </c>
      <c r="AI225" s="50"/>
      <c r="AJ225" s="50">
        <v>0</v>
      </c>
      <c r="AK225" s="50">
        <v>0</v>
      </c>
      <c r="AL225" s="50">
        <v>0</v>
      </c>
      <c r="AM225" s="50">
        <v>1</v>
      </c>
      <c r="AN225" s="50">
        <v>0</v>
      </c>
      <c r="AO225" s="50">
        <v>0</v>
      </c>
      <c r="AP225" s="50">
        <v>0</v>
      </c>
      <c r="AQ225" s="50">
        <v>0</v>
      </c>
      <c r="AR225" s="50">
        <v>0</v>
      </c>
      <c r="AU225" s="39"/>
      <c r="AW225" s="39"/>
    </row>
    <row r="226" spans="1:49" x14ac:dyDescent="0.25">
      <c r="A226" s="40" t="s">
        <v>262</v>
      </c>
      <c r="B226" s="41">
        <v>7401</v>
      </c>
      <c r="C226" s="40" t="s">
        <v>263</v>
      </c>
      <c r="D226" s="42">
        <v>9298346</v>
      </c>
      <c r="E226" s="42">
        <v>11079759</v>
      </c>
      <c r="F226" s="42">
        <v>13886144</v>
      </c>
      <c r="G226" s="42">
        <v>16705363</v>
      </c>
      <c r="H226" s="42">
        <f t="shared" si="50"/>
        <v>12742403</v>
      </c>
      <c r="I226" s="42">
        <v>1293966.27</v>
      </c>
      <c r="J226" s="43">
        <f t="shared" si="42"/>
        <v>0.10154805730127983</v>
      </c>
      <c r="K226" s="44">
        <v>5210272.37</v>
      </c>
      <c r="L226" s="45">
        <f t="shared" si="43"/>
        <v>0.40889244909300076</v>
      </c>
      <c r="M226" s="42">
        <v>0</v>
      </c>
      <c r="N226" s="45">
        <f t="shared" si="51"/>
        <v>0</v>
      </c>
      <c r="O226" s="44">
        <v>758924</v>
      </c>
      <c r="P226" s="44">
        <v>-237069</v>
      </c>
      <c r="Q226" s="44">
        <v>5013</v>
      </c>
      <c r="R226" s="46">
        <v>0.76222000000000001</v>
      </c>
      <c r="S226" s="46">
        <v>0.59891000000000005</v>
      </c>
      <c r="T226" s="47">
        <f t="shared" si="52"/>
        <v>0.68059999999999998</v>
      </c>
      <c r="U226" s="48">
        <v>0</v>
      </c>
      <c r="V226" s="45">
        <f t="shared" si="44"/>
        <v>0</v>
      </c>
      <c r="W226" s="49"/>
      <c r="X226" s="50"/>
      <c r="Y226" s="51"/>
      <c r="Z226" s="52"/>
      <c r="AA226" s="45" t="str">
        <f t="shared" si="45"/>
        <v/>
      </c>
      <c r="AB226" s="45" t="str">
        <f t="shared" si="46"/>
        <v/>
      </c>
      <c r="AC226" s="45" t="str">
        <f t="shared" si="47"/>
        <v/>
      </c>
      <c r="AD226" s="53" t="str">
        <f t="shared" si="53"/>
        <v/>
      </c>
      <c r="AE226" s="45">
        <f t="shared" si="48"/>
        <v>0.68059999999999998</v>
      </c>
      <c r="AF226" s="36">
        <f t="shared" si="54"/>
        <v>1</v>
      </c>
      <c r="AG226" s="54">
        <f t="shared" si="49"/>
        <v>0</v>
      </c>
      <c r="AH226" s="32" t="str">
        <f t="shared" si="55"/>
        <v/>
      </c>
      <c r="AI226" s="50"/>
      <c r="AJ226" s="50">
        <v>1</v>
      </c>
      <c r="AK226" s="50">
        <v>1</v>
      </c>
      <c r="AL226" s="50">
        <v>1</v>
      </c>
      <c r="AM226" s="50">
        <v>1</v>
      </c>
      <c r="AN226" s="50">
        <v>1</v>
      </c>
      <c r="AO226" s="50">
        <v>0</v>
      </c>
      <c r="AP226" s="50">
        <v>0</v>
      </c>
      <c r="AQ226" s="50">
        <v>1</v>
      </c>
      <c r="AR226" s="50">
        <v>0</v>
      </c>
      <c r="AU226" s="39"/>
      <c r="AW226" s="39"/>
    </row>
    <row r="227" spans="1:49" x14ac:dyDescent="0.25">
      <c r="A227" s="40"/>
      <c r="B227" s="41">
        <v>7402</v>
      </c>
      <c r="C227" s="40" t="s">
        <v>264</v>
      </c>
      <c r="D227" s="42">
        <v>7118425</v>
      </c>
      <c r="E227" s="42">
        <v>8144242</v>
      </c>
      <c r="F227" s="42">
        <v>8198333</v>
      </c>
      <c r="G227" s="42">
        <v>9859225</v>
      </c>
      <c r="H227" s="42">
        <f t="shared" si="50"/>
        <v>8330056</v>
      </c>
      <c r="I227" s="42">
        <v>71441.159999999902</v>
      </c>
      <c r="J227" s="43">
        <f t="shared" si="42"/>
        <v>8.576312092019537E-3</v>
      </c>
      <c r="K227" s="44">
        <v>12152594.289999999</v>
      </c>
      <c r="L227" s="45">
        <f t="shared" si="43"/>
        <v>1.4588850651184098</v>
      </c>
      <c r="M227" s="42">
        <v>0</v>
      </c>
      <c r="N227" s="45">
        <f t="shared" si="51"/>
        <v>0</v>
      </c>
      <c r="O227" s="44">
        <v>-293337</v>
      </c>
      <c r="P227" s="44">
        <v>2143368</v>
      </c>
      <c r="Q227" s="44">
        <v>-862470</v>
      </c>
      <c r="R227" s="46">
        <v>0.82647000000000004</v>
      </c>
      <c r="S227" s="46">
        <v>0.66893999999999998</v>
      </c>
      <c r="T227" s="47">
        <f t="shared" si="52"/>
        <v>0.74770000000000003</v>
      </c>
      <c r="U227" s="48">
        <v>0</v>
      </c>
      <c r="V227" s="45">
        <f t="shared" si="44"/>
        <v>0</v>
      </c>
      <c r="W227" s="49"/>
      <c r="X227" s="50"/>
      <c r="Y227" s="51"/>
      <c r="Z227" s="52"/>
      <c r="AA227" s="45" t="str">
        <f t="shared" si="45"/>
        <v/>
      </c>
      <c r="AB227" s="45">
        <f t="shared" si="46"/>
        <v>1.4588850651184098</v>
      </c>
      <c r="AC227" s="45" t="str">
        <f t="shared" si="47"/>
        <v/>
      </c>
      <c r="AD227" s="53" t="str">
        <f t="shared" si="53"/>
        <v/>
      </c>
      <c r="AE227" s="45">
        <f t="shared" si="48"/>
        <v>0.74770000000000003</v>
      </c>
      <c r="AF227" s="36">
        <f t="shared" si="54"/>
        <v>2</v>
      </c>
      <c r="AG227" s="54">
        <f t="shared" si="49"/>
        <v>0</v>
      </c>
      <c r="AH227" s="32" t="str">
        <f t="shared" si="55"/>
        <v/>
      </c>
      <c r="AI227" s="50"/>
      <c r="AJ227" s="50">
        <v>0</v>
      </c>
      <c r="AK227" s="50">
        <v>1</v>
      </c>
      <c r="AL227" s="50">
        <v>1</v>
      </c>
      <c r="AM227" s="50">
        <v>1</v>
      </c>
      <c r="AN227" s="50">
        <v>0</v>
      </c>
      <c r="AO227" s="50">
        <v>0</v>
      </c>
      <c r="AP227" s="50">
        <v>0</v>
      </c>
      <c r="AQ227" s="50">
        <v>0</v>
      </c>
      <c r="AR227" s="50">
        <v>1</v>
      </c>
      <c r="AU227" s="39"/>
      <c r="AW227" s="39"/>
    </row>
    <row r="228" spans="1:49" x14ac:dyDescent="0.25">
      <c r="A228" s="40"/>
      <c r="B228" s="41">
        <v>7403</v>
      </c>
      <c r="C228" s="40" t="s">
        <v>265</v>
      </c>
      <c r="D228" s="42">
        <v>18157033</v>
      </c>
      <c r="E228" s="42">
        <v>18037067</v>
      </c>
      <c r="F228" s="42">
        <v>24986680</v>
      </c>
      <c r="G228" s="42">
        <v>29265357</v>
      </c>
      <c r="H228" s="42">
        <f t="shared" si="50"/>
        <v>22611534</v>
      </c>
      <c r="I228" s="42">
        <v>1424489.3799999983</v>
      </c>
      <c r="J228" s="43">
        <f t="shared" si="42"/>
        <v>6.2998352079960532E-2</v>
      </c>
      <c r="K228" s="44">
        <v>7557648.1600000039</v>
      </c>
      <c r="L228" s="45">
        <f t="shared" si="43"/>
        <v>0.334238630603302</v>
      </c>
      <c r="M228" s="42">
        <v>1051217</v>
      </c>
      <c r="N228" s="45">
        <f t="shared" si="51"/>
        <v>3.5920183717560665E-2</v>
      </c>
      <c r="O228" s="44">
        <v>4351921</v>
      </c>
      <c r="P228" s="44">
        <v>488169</v>
      </c>
      <c r="Q228" s="44">
        <v>-2703834</v>
      </c>
      <c r="R228" s="46">
        <v>0.89683999999999997</v>
      </c>
      <c r="S228" s="46">
        <v>0.73472000000000004</v>
      </c>
      <c r="T228" s="47">
        <f t="shared" si="52"/>
        <v>0.81579999999999997</v>
      </c>
      <c r="U228" s="48">
        <v>0</v>
      </c>
      <c r="V228" s="45">
        <f t="shared" si="44"/>
        <v>0</v>
      </c>
      <c r="W228" s="49"/>
      <c r="X228" s="50"/>
      <c r="Y228" s="51"/>
      <c r="Z228" s="52"/>
      <c r="AA228" s="45" t="str">
        <f t="shared" si="45"/>
        <v/>
      </c>
      <c r="AB228" s="45" t="str">
        <f t="shared" si="46"/>
        <v/>
      </c>
      <c r="AC228" s="45" t="str">
        <f t="shared" si="47"/>
        <v/>
      </c>
      <c r="AD228" s="53" t="str">
        <f t="shared" si="53"/>
        <v/>
      </c>
      <c r="AE228" s="45" t="str">
        <f t="shared" si="48"/>
        <v/>
      </c>
      <c r="AF228" s="36">
        <f t="shared" si="54"/>
        <v>0</v>
      </c>
      <c r="AG228" s="54">
        <f t="shared" si="49"/>
        <v>0</v>
      </c>
      <c r="AH228" s="32" t="str">
        <f t="shared" si="55"/>
        <v/>
      </c>
      <c r="AI228" s="50"/>
      <c r="AJ228" s="50">
        <v>0</v>
      </c>
      <c r="AK228" s="50">
        <v>2</v>
      </c>
      <c r="AL228" s="50">
        <v>1</v>
      </c>
      <c r="AM228" s="50">
        <v>1</v>
      </c>
      <c r="AN228" s="50">
        <v>1</v>
      </c>
      <c r="AO228" s="50">
        <v>1</v>
      </c>
      <c r="AP228" s="50">
        <v>1</v>
      </c>
      <c r="AQ228" s="50">
        <v>0</v>
      </c>
      <c r="AR228" s="50">
        <v>1</v>
      </c>
      <c r="AU228" s="39"/>
      <c r="AW228" s="39"/>
    </row>
    <row r="229" spans="1:49" x14ac:dyDescent="0.25">
      <c r="A229" s="40"/>
      <c r="B229" s="41">
        <v>7404</v>
      </c>
      <c r="C229" s="40" t="s">
        <v>266</v>
      </c>
      <c r="D229" s="42">
        <v>73756224</v>
      </c>
      <c r="E229" s="42">
        <v>88649104</v>
      </c>
      <c r="F229" s="42">
        <v>106984245</v>
      </c>
      <c r="G229" s="42">
        <v>124268878</v>
      </c>
      <c r="H229" s="42">
        <f t="shared" si="50"/>
        <v>98414613</v>
      </c>
      <c r="I229" s="42">
        <v>3631399.7800000058</v>
      </c>
      <c r="J229" s="43">
        <f t="shared" si="42"/>
        <v>3.6898989583996088E-2</v>
      </c>
      <c r="K229" s="44">
        <v>23697779.929999996</v>
      </c>
      <c r="L229" s="45">
        <f t="shared" si="43"/>
        <v>0.24079533727374405</v>
      </c>
      <c r="M229" s="42">
        <v>0</v>
      </c>
      <c r="N229" s="45">
        <f t="shared" si="51"/>
        <v>0</v>
      </c>
      <c r="O229" s="44">
        <v>708763</v>
      </c>
      <c r="P229" s="44">
        <v>2972239</v>
      </c>
      <c r="Q229" s="44">
        <v>177052</v>
      </c>
      <c r="R229" s="46">
        <v>0.87651000000000001</v>
      </c>
      <c r="S229" s="46">
        <v>0.79495000000000005</v>
      </c>
      <c r="T229" s="47">
        <f t="shared" si="52"/>
        <v>0.8357</v>
      </c>
      <c r="U229" s="48">
        <v>0</v>
      </c>
      <c r="V229" s="45">
        <f t="shared" si="44"/>
        <v>0</v>
      </c>
      <c r="W229" s="49"/>
      <c r="X229" s="50"/>
      <c r="Y229" s="51"/>
      <c r="Z229" s="52"/>
      <c r="AA229" s="45" t="str">
        <f t="shared" si="45"/>
        <v/>
      </c>
      <c r="AB229" s="45" t="str">
        <f t="shared" si="46"/>
        <v/>
      </c>
      <c r="AC229" s="45" t="str">
        <f t="shared" si="47"/>
        <v/>
      </c>
      <c r="AD229" s="53" t="str">
        <f t="shared" si="53"/>
        <v/>
      </c>
      <c r="AE229" s="45" t="str">
        <f t="shared" si="48"/>
        <v/>
      </c>
      <c r="AF229" s="36">
        <f t="shared" si="54"/>
        <v>0</v>
      </c>
      <c r="AG229" s="54">
        <f t="shared" si="49"/>
        <v>0</v>
      </c>
      <c r="AH229" s="32" t="str">
        <f t="shared" si="55"/>
        <v/>
      </c>
      <c r="AI229" s="50"/>
      <c r="AJ229" s="50">
        <v>0</v>
      </c>
      <c r="AK229" s="50">
        <v>0</v>
      </c>
      <c r="AL229" s="50">
        <v>0</v>
      </c>
      <c r="AM229" s="50">
        <v>0</v>
      </c>
      <c r="AN229" s="50">
        <v>0</v>
      </c>
      <c r="AO229" s="50">
        <v>0</v>
      </c>
      <c r="AP229" s="50">
        <v>0</v>
      </c>
      <c r="AQ229" s="50">
        <v>0</v>
      </c>
      <c r="AR229" s="50">
        <v>2</v>
      </c>
      <c r="AU229" s="39"/>
      <c r="AW229" s="39"/>
    </row>
    <row r="230" spans="1:49" x14ac:dyDescent="0.25">
      <c r="A230" s="40"/>
      <c r="B230" s="41">
        <v>7405</v>
      </c>
      <c r="C230" s="40" t="s">
        <v>267</v>
      </c>
      <c r="D230" s="42">
        <v>17705822</v>
      </c>
      <c r="E230" s="42">
        <v>20069981</v>
      </c>
      <c r="F230" s="42">
        <v>23643699</v>
      </c>
      <c r="G230" s="42">
        <v>27258302</v>
      </c>
      <c r="H230" s="42">
        <f t="shared" si="50"/>
        <v>22169451</v>
      </c>
      <c r="I230" s="42">
        <v>1521983.6300000006</v>
      </c>
      <c r="J230" s="43">
        <f t="shared" si="42"/>
        <v>6.8652292291766753E-2</v>
      </c>
      <c r="K230" s="44">
        <v>32233101.210000001</v>
      </c>
      <c r="L230" s="45">
        <f t="shared" si="43"/>
        <v>1.4539422383531284</v>
      </c>
      <c r="M230" s="42">
        <v>363310</v>
      </c>
      <c r="N230" s="45">
        <f t="shared" si="51"/>
        <v>1.3328416421536456E-2</v>
      </c>
      <c r="O230" s="44">
        <v>-682795</v>
      </c>
      <c r="P230" s="44">
        <v>1796281</v>
      </c>
      <c r="Q230" s="44">
        <v>-357793</v>
      </c>
      <c r="R230" s="46">
        <v>0.83887999999999996</v>
      </c>
      <c r="S230" s="46">
        <v>0.74014999999999997</v>
      </c>
      <c r="T230" s="47">
        <f t="shared" si="52"/>
        <v>0.78949999999999998</v>
      </c>
      <c r="U230" s="48">
        <v>0</v>
      </c>
      <c r="V230" s="45">
        <f t="shared" si="44"/>
        <v>0</v>
      </c>
      <c r="W230" s="49"/>
      <c r="X230" s="50"/>
      <c r="Y230" s="51"/>
      <c r="Z230" s="52"/>
      <c r="AA230" s="45" t="str">
        <f t="shared" si="45"/>
        <v/>
      </c>
      <c r="AB230" s="45">
        <f t="shared" si="46"/>
        <v>1.4539422383531284</v>
      </c>
      <c r="AC230" s="45" t="str">
        <f t="shared" si="47"/>
        <v/>
      </c>
      <c r="AD230" s="53" t="str">
        <f t="shared" si="53"/>
        <v/>
      </c>
      <c r="AE230" s="45" t="str">
        <f t="shared" si="48"/>
        <v/>
      </c>
      <c r="AF230" s="36">
        <f t="shared" si="54"/>
        <v>1</v>
      </c>
      <c r="AG230" s="54">
        <f t="shared" si="49"/>
        <v>0</v>
      </c>
      <c r="AH230" s="32" t="str">
        <f t="shared" si="55"/>
        <v/>
      </c>
      <c r="AI230" s="50"/>
      <c r="AJ230" s="50">
        <v>0</v>
      </c>
      <c r="AK230" s="50">
        <v>1</v>
      </c>
      <c r="AL230" s="50">
        <v>2</v>
      </c>
      <c r="AM230" s="50">
        <v>1</v>
      </c>
      <c r="AN230" s="50">
        <v>1</v>
      </c>
      <c r="AO230" s="50">
        <v>0</v>
      </c>
      <c r="AP230" s="50">
        <v>2</v>
      </c>
      <c r="AQ230" s="50">
        <v>1</v>
      </c>
      <c r="AR230" s="50">
        <v>1</v>
      </c>
      <c r="AU230" s="39"/>
      <c r="AW230" s="39"/>
    </row>
    <row r="231" spans="1:49" x14ac:dyDescent="0.25">
      <c r="A231" s="40"/>
      <c r="B231" s="41">
        <v>7406</v>
      </c>
      <c r="C231" s="40" t="s">
        <v>268</v>
      </c>
      <c r="D231" s="42">
        <v>7676720</v>
      </c>
      <c r="E231" s="42">
        <v>7980098</v>
      </c>
      <c r="F231" s="42">
        <v>9203698</v>
      </c>
      <c r="G231" s="42">
        <v>11514839</v>
      </c>
      <c r="H231" s="42">
        <f t="shared" si="50"/>
        <v>9093839</v>
      </c>
      <c r="I231" s="42">
        <v>116661.68000000025</v>
      </c>
      <c r="J231" s="43">
        <f t="shared" si="42"/>
        <v>1.2828650254309567E-2</v>
      </c>
      <c r="K231" s="44">
        <v>3802132.0900000003</v>
      </c>
      <c r="L231" s="45">
        <f t="shared" si="43"/>
        <v>0.41809978052173569</v>
      </c>
      <c r="M231" s="42">
        <v>0</v>
      </c>
      <c r="N231" s="45">
        <f t="shared" si="51"/>
        <v>0</v>
      </c>
      <c r="O231" s="44">
        <v>-101362</v>
      </c>
      <c r="P231" s="44">
        <v>594804</v>
      </c>
      <c r="Q231" s="44">
        <v>444037</v>
      </c>
      <c r="R231" s="46">
        <v>0.87434999999999996</v>
      </c>
      <c r="S231" s="46">
        <v>0.66744000000000003</v>
      </c>
      <c r="T231" s="47">
        <f t="shared" si="52"/>
        <v>0.77090000000000003</v>
      </c>
      <c r="U231" s="48">
        <v>0</v>
      </c>
      <c r="V231" s="45">
        <f t="shared" si="44"/>
        <v>0</v>
      </c>
      <c r="W231" s="49"/>
      <c r="X231" s="50"/>
      <c r="Y231" s="51"/>
      <c r="Z231" s="52"/>
      <c r="AA231" s="45" t="str">
        <f t="shared" si="45"/>
        <v/>
      </c>
      <c r="AB231" s="45" t="str">
        <f t="shared" si="46"/>
        <v/>
      </c>
      <c r="AC231" s="45" t="str">
        <f t="shared" si="47"/>
        <v/>
      </c>
      <c r="AD231" s="53" t="str">
        <f t="shared" si="53"/>
        <v/>
      </c>
      <c r="AE231" s="45" t="str">
        <f t="shared" si="48"/>
        <v/>
      </c>
      <c r="AF231" s="36">
        <f t="shared" si="54"/>
        <v>0</v>
      </c>
      <c r="AG231" s="54">
        <f t="shared" si="49"/>
        <v>0</v>
      </c>
      <c r="AH231" s="32" t="str">
        <f t="shared" si="55"/>
        <v/>
      </c>
      <c r="AI231" s="50"/>
      <c r="AJ231" s="50">
        <v>1</v>
      </c>
      <c r="AK231" s="50">
        <v>0</v>
      </c>
      <c r="AL231" s="50">
        <v>1</v>
      </c>
      <c r="AM231" s="50">
        <v>1</v>
      </c>
      <c r="AN231" s="50">
        <v>1</v>
      </c>
      <c r="AO231" s="50">
        <v>1</v>
      </c>
      <c r="AP231" s="50">
        <v>1</v>
      </c>
      <c r="AQ231" s="50">
        <v>1</v>
      </c>
      <c r="AR231" s="50">
        <v>2</v>
      </c>
      <c r="AU231" s="39"/>
      <c r="AW231" s="39"/>
    </row>
    <row r="232" spans="1:49" x14ac:dyDescent="0.25">
      <c r="A232" s="40"/>
      <c r="B232" s="41">
        <v>7407</v>
      </c>
      <c r="C232" s="40" t="s">
        <v>269</v>
      </c>
      <c r="D232" s="42">
        <v>5847942</v>
      </c>
      <c r="E232" s="42">
        <v>7072758</v>
      </c>
      <c r="F232" s="42">
        <v>6581899</v>
      </c>
      <c r="G232" s="42">
        <v>8157668</v>
      </c>
      <c r="H232" s="42">
        <f t="shared" si="50"/>
        <v>6915067</v>
      </c>
      <c r="I232" s="42">
        <v>80560.950000000477</v>
      </c>
      <c r="J232" s="43">
        <f t="shared" si="42"/>
        <v>1.1650060657402232E-2</v>
      </c>
      <c r="K232" s="44">
        <v>17042424.270000003</v>
      </c>
      <c r="L232" s="45">
        <f t="shared" si="43"/>
        <v>2.4645349452145586</v>
      </c>
      <c r="M232" s="42">
        <v>0</v>
      </c>
      <c r="N232" s="45">
        <f t="shared" si="51"/>
        <v>0</v>
      </c>
      <c r="O232" s="44">
        <v>-232509</v>
      </c>
      <c r="P232" s="44">
        <v>228857</v>
      </c>
      <c r="Q232" s="44">
        <v>351777</v>
      </c>
      <c r="R232" s="46">
        <v>0.62585000000000002</v>
      </c>
      <c r="S232" s="46">
        <v>0.62339999999999995</v>
      </c>
      <c r="T232" s="47">
        <f t="shared" si="52"/>
        <v>0.62460000000000004</v>
      </c>
      <c r="U232" s="48">
        <v>0</v>
      </c>
      <c r="V232" s="45">
        <f t="shared" si="44"/>
        <v>0</v>
      </c>
      <c r="W232" s="49"/>
      <c r="X232" s="50"/>
      <c r="Y232" s="51"/>
      <c r="Z232" s="52"/>
      <c r="AA232" s="45" t="str">
        <f t="shared" si="45"/>
        <v/>
      </c>
      <c r="AB232" s="45">
        <f t="shared" si="46"/>
        <v>2.4645349452145586</v>
      </c>
      <c r="AC232" s="45" t="str">
        <f t="shared" si="47"/>
        <v/>
      </c>
      <c r="AD232" s="53" t="str">
        <f t="shared" si="53"/>
        <v/>
      </c>
      <c r="AE232" s="45">
        <f t="shared" si="48"/>
        <v>0.62460000000000004</v>
      </c>
      <c r="AF232" s="36">
        <f t="shared" si="54"/>
        <v>2</v>
      </c>
      <c r="AG232" s="54">
        <f t="shared" si="49"/>
        <v>0</v>
      </c>
      <c r="AH232" s="32" t="str">
        <f t="shared" si="55"/>
        <v/>
      </c>
      <c r="AI232" s="50"/>
      <c r="AJ232" s="50">
        <v>1</v>
      </c>
      <c r="AK232" s="50">
        <v>2</v>
      </c>
      <c r="AL232" s="50">
        <v>2</v>
      </c>
      <c r="AM232" s="50">
        <v>2</v>
      </c>
      <c r="AN232" s="50">
        <v>1</v>
      </c>
      <c r="AO232" s="50">
        <v>2</v>
      </c>
      <c r="AP232" s="50">
        <v>0</v>
      </c>
      <c r="AQ232" s="50">
        <v>1</v>
      </c>
      <c r="AR232" s="50">
        <v>3</v>
      </c>
      <c r="AU232" s="39"/>
      <c r="AW232" s="39"/>
    </row>
    <row r="233" spans="1:49" x14ac:dyDescent="0.25">
      <c r="A233" s="40"/>
      <c r="B233" s="41">
        <v>7408</v>
      </c>
      <c r="C233" s="40" t="s">
        <v>270</v>
      </c>
      <c r="D233" s="42">
        <v>16916793</v>
      </c>
      <c r="E233" s="42">
        <v>19902645</v>
      </c>
      <c r="F233" s="42">
        <v>29094543</v>
      </c>
      <c r="G233" s="42">
        <v>33849871</v>
      </c>
      <c r="H233" s="42">
        <f t="shared" si="50"/>
        <v>24940963</v>
      </c>
      <c r="I233" s="42">
        <v>5433924.5200000005</v>
      </c>
      <c r="J233" s="43">
        <f t="shared" si="42"/>
        <v>0.21787147994245454</v>
      </c>
      <c r="K233" s="44">
        <v>10466348.870000003</v>
      </c>
      <c r="L233" s="45">
        <f t="shared" si="43"/>
        <v>0.41964493792801838</v>
      </c>
      <c r="M233" s="42">
        <v>0</v>
      </c>
      <c r="N233" s="45">
        <f t="shared" si="51"/>
        <v>0</v>
      </c>
      <c r="O233" s="44">
        <v>6220773</v>
      </c>
      <c r="P233" s="44">
        <v>-2139406</v>
      </c>
      <c r="Q233" s="44">
        <v>458797</v>
      </c>
      <c r="R233" s="46">
        <v>0.89642999999999995</v>
      </c>
      <c r="S233" s="46">
        <v>0.71987999999999996</v>
      </c>
      <c r="T233" s="47">
        <f t="shared" si="52"/>
        <v>0.80820000000000003</v>
      </c>
      <c r="U233" s="48">
        <v>0</v>
      </c>
      <c r="V233" s="45">
        <f t="shared" si="44"/>
        <v>0</v>
      </c>
      <c r="W233" s="49"/>
      <c r="X233" s="50"/>
      <c r="Y233" s="51"/>
      <c r="Z233" s="52"/>
      <c r="AA233" s="45">
        <f t="shared" si="45"/>
        <v>0.21787147994245454</v>
      </c>
      <c r="AB233" s="45" t="str">
        <f t="shared" si="46"/>
        <v/>
      </c>
      <c r="AC233" s="45" t="str">
        <f t="shared" si="47"/>
        <v/>
      </c>
      <c r="AD233" s="53" t="str">
        <f t="shared" si="53"/>
        <v/>
      </c>
      <c r="AE233" s="45" t="str">
        <f t="shared" si="48"/>
        <v/>
      </c>
      <c r="AF233" s="36">
        <f t="shared" si="54"/>
        <v>1</v>
      </c>
      <c r="AG233" s="54">
        <f t="shared" si="49"/>
        <v>0</v>
      </c>
      <c r="AH233" s="32" t="str">
        <f t="shared" si="55"/>
        <v/>
      </c>
      <c r="AI233" s="50"/>
      <c r="AJ233" s="50">
        <v>1</v>
      </c>
      <c r="AK233" s="50">
        <v>0</v>
      </c>
      <c r="AL233" s="50">
        <v>0</v>
      </c>
      <c r="AM233" s="50">
        <v>0</v>
      </c>
      <c r="AN233" s="50">
        <v>0</v>
      </c>
      <c r="AO233" s="50">
        <v>0</v>
      </c>
      <c r="AP233" s="50">
        <v>0</v>
      </c>
      <c r="AQ233" s="50">
        <v>0</v>
      </c>
      <c r="AR233" s="50">
        <v>0</v>
      </c>
      <c r="AU233" s="39"/>
      <c r="AW233" s="39"/>
    </row>
    <row r="234" spans="1:49" x14ac:dyDescent="0.25">
      <c r="A234" s="40"/>
      <c r="B234" s="41">
        <v>7409</v>
      </c>
      <c r="C234" s="40" t="s">
        <v>271</v>
      </c>
      <c r="D234" s="42">
        <v>24031957</v>
      </c>
      <c r="E234" s="42">
        <v>25083825</v>
      </c>
      <c r="F234" s="42">
        <v>35591944</v>
      </c>
      <c r="G234" s="42">
        <v>39400767</v>
      </c>
      <c r="H234" s="42">
        <f t="shared" si="50"/>
        <v>31027123</v>
      </c>
      <c r="I234" s="42">
        <v>4601960.3599999975</v>
      </c>
      <c r="J234" s="43">
        <f t="shared" si="42"/>
        <v>0.14832056326975587</v>
      </c>
      <c r="K234" s="44">
        <v>16907419.799999997</v>
      </c>
      <c r="L234" s="45">
        <f t="shared" si="43"/>
        <v>0.54492386548375749</v>
      </c>
      <c r="M234" s="42">
        <v>0</v>
      </c>
      <c r="N234" s="45">
        <f t="shared" si="51"/>
        <v>0</v>
      </c>
      <c r="O234" s="44">
        <v>5004448</v>
      </c>
      <c r="P234" s="44">
        <v>-1171548</v>
      </c>
      <c r="Q234" s="44">
        <v>-3524574</v>
      </c>
      <c r="R234" s="46">
        <v>0.89609000000000005</v>
      </c>
      <c r="S234" s="46">
        <v>0.78820000000000001</v>
      </c>
      <c r="T234" s="47">
        <f t="shared" si="52"/>
        <v>0.84209999999999996</v>
      </c>
      <c r="U234" s="48">
        <v>0</v>
      </c>
      <c r="V234" s="45">
        <f t="shared" si="44"/>
        <v>0</v>
      </c>
      <c r="W234" s="49"/>
      <c r="X234" s="50"/>
      <c r="Y234" s="51"/>
      <c r="Z234" s="52"/>
      <c r="AA234" s="45" t="str">
        <f t="shared" si="45"/>
        <v/>
      </c>
      <c r="AB234" s="45">
        <f t="shared" si="46"/>
        <v>0.54492386548375749</v>
      </c>
      <c r="AC234" s="45" t="str">
        <f t="shared" si="47"/>
        <v/>
      </c>
      <c r="AD234" s="53" t="str">
        <f t="shared" si="53"/>
        <v/>
      </c>
      <c r="AE234" s="45" t="str">
        <f t="shared" si="48"/>
        <v/>
      </c>
      <c r="AF234" s="36">
        <f t="shared" si="54"/>
        <v>1</v>
      </c>
      <c r="AG234" s="54">
        <f t="shared" si="49"/>
        <v>0</v>
      </c>
      <c r="AH234" s="32" t="str">
        <f t="shared" si="55"/>
        <v/>
      </c>
      <c r="AI234" s="50"/>
      <c r="AJ234" s="50">
        <v>1</v>
      </c>
      <c r="AK234" s="50">
        <v>0</v>
      </c>
      <c r="AL234" s="50">
        <v>0</v>
      </c>
      <c r="AM234" s="50">
        <v>0</v>
      </c>
      <c r="AN234" s="50">
        <v>0</v>
      </c>
      <c r="AO234" s="50">
        <v>1</v>
      </c>
      <c r="AP234" s="50">
        <v>0</v>
      </c>
      <c r="AQ234" s="50">
        <v>1</v>
      </c>
      <c r="AR234" s="50">
        <v>1</v>
      </c>
      <c r="AU234" s="39"/>
      <c r="AW234" s="39"/>
    </row>
    <row r="235" spans="1:49" x14ac:dyDescent="0.25">
      <c r="A235" s="40"/>
      <c r="B235" s="41">
        <v>7410</v>
      </c>
      <c r="C235" s="40" t="s">
        <v>262</v>
      </c>
      <c r="D235" s="42">
        <v>167406910</v>
      </c>
      <c r="E235" s="42">
        <v>200949560</v>
      </c>
      <c r="F235" s="42">
        <v>229479662</v>
      </c>
      <c r="G235" s="42">
        <v>278128762</v>
      </c>
      <c r="H235" s="42">
        <f t="shared" si="50"/>
        <v>218991224</v>
      </c>
      <c r="I235" s="42">
        <v>6840302.5899999887</v>
      </c>
      <c r="J235" s="43">
        <f t="shared" si="42"/>
        <v>3.1235510104277005E-2</v>
      </c>
      <c r="K235" s="44">
        <v>135150332.24000001</v>
      </c>
      <c r="L235" s="45">
        <f t="shared" si="43"/>
        <v>0.6171495358188418</v>
      </c>
      <c r="M235" s="42">
        <v>516958</v>
      </c>
      <c r="N235" s="45">
        <f t="shared" si="51"/>
        <v>1.8587002519358281E-3</v>
      </c>
      <c r="O235" s="44">
        <v>-312408</v>
      </c>
      <c r="P235" s="44">
        <v>-6429107</v>
      </c>
      <c r="Q235" s="44">
        <v>4998752</v>
      </c>
      <c r="R235" s="46">
        <v>0.87192000000000003</v>
      </c>
      <c r="S235" s="46">
        <v>0.79800000000000004</v>
      </c>
      <c r="T235" s="47">
        <f t="shared" si="52"/>
        <v>0.83499999999999996</v>
      </c>
      <c r="U235" s="48">
        <v>0</v>
      </c>
      <c r="V235" s="45">
        <f t="shared" si="44"/>
        <v>0</v>
      </c>
      <c r="W235" s="49"/>
      <c r="X235" s="50"/>
      <c r="Y235" s="51"/>
      <c r="Z235" s="52"/>
      <c r="AA235" s="45" t="str">
        <f t="shared" si="45"/>
        <v/>
      </c>
      <c r="AB235" s="45">
        <f t="shared" si="46"/>
        <v>0.6171495358188418</v>
      </c>
      <c r="AC235" s="45" t="str">
        <f t="shared" si="47"/>
        <v/>
      </c>
      <c r="AD235" s="53" t="str">
        <f t="shared" si="53"/>
        <v/>
      </c>
      <c r="AE235" s="45" t="str">
        <f t="shared" si="48"/>
        <v/>
      </c>
      <c r="AF235" s="36">
        <f t="shared" si="54"/>
        <v>1</v>
      </c>
      <c r="AG235" s="54">
        <f t="shared" si="49"/>
        <v>0</v>
      </c>
      <c r="AH235" s="32" t="str">
        <f t="shared" si="55"/>
        <v/>
      </c>
      <c r="AI235" s="50"/>
      <c r="AJ235" s="50">
        <v>1</v>
      </c>
      <c r="AK235" s="50">
        <v>1</v>
      </c>
      <c r="AL235" s="50">
        <v>2</v>
      </c>
      <c r="AM235" s="50">
        <v>0</v>
      </c>
      <c r="AN235" s="50">
        <v>1</v>
      </c>
      <c r="AO235" s="50">
        <v>1</v>
      </c>
      <c r="AP235" s="50">
        <v>1</v>
      </c>
      <c r="AQ235" s="50">
        <v>1</v>
      </c>
      <c r="AR235" s="50">
        <v>0</v>
      </c>
      <c r="AU235" s="39"/>
      <c r="AW235" s="39"/>
    </row>
    <row r="236" spans="1:49" x14ac:dyDescent="0.25">
      <c r="A236" s="40"/>
      <c r="B236" s="41">
        <v>7411</v>
      </c>
      <c r="C236" s="40" t="s">
        <v>272</v>
      </c>
      <c r="D236" s="42">
        <v>24914977</v>
      </c>
      <c r="E236" s="42">
        <v>32021444</v>
      </c>
      <c r="F236" s="42">
        <v>37305421</v>
      </c>
      <c r="G236" s="42">
        <v>40206813</v>
      </c>
      <c r="H236" s="42">
        <f t="shared" si="50"/>
        <v>33612164</v>
      </c>
      <c r="I236" s="42">
        <v>8131332.79</v>
      </c>
      <c r="J236" s="43">
        <f t="shared" si="42"/>
        <v>0.24191637259653975</v>
      </c>
      <c r="K236" s="44">
        <v>8591376.5099999998</v>
      </c>
      <c r="L236" s="45">
        <f t="shared" si="43"/>
        <v>0.25560319502189743</v>
      </c>
      <c r="M236" s="42">
        <v>906047</v>
      </c>
      <c r="N236" s="45">
        <f t="shared" si="51"/>
        <v>2.253466346611456E-2</v>
      </c>
      <c r="O236" s="44">
        <v>-1608306</v>
      </c>
      <c r="P236" s="44">
        <v>-1129142</v>
      </c>
      <c r="Q236" s="44">
        <v>89627</v>
      </c>
      <c r="R236" s="46">
        <v>0.82150000000000001</v>
      </c>
      <c r="S236" s="46">
        <v>0.73687999999999998</v>
      </c>
      <c r="T236" s="47">
        <f t="shared" si="52"/>
        <v>0.7792</v>
      </c>
      <c r="U236" s="48">
        <v>0</v>
      </c>
      <c r="V236" s="45">
        <f t="shared" si="44"/>
        <v>0</v>
      </c>
      <c r="W236" s="49"/>
      <c r="X236" s="50"/>
      <c r="Y236" s="51"/>
      <c r="Z236" s="52"/>
      <c r="AA236" s="45">
        <f t="shared" si="45"/>
        <v>0.24191637259653975</v>
      </c>
      <c r="AB236" s="45" t="str">
        <f t="shared" si="46"/>
        <v/>
      </c>
      <c r="AC236" s="45" t="str">
        <f t="shared" si="47"/>
        <v/>
      </c>
      <c r="AD236" s="53" t="str">
        <f t="shared" si="53"/>
        <v/>
      </c>
      <c r="AE236" s="45" t="str">
        <f t="shared" si="48"/>
        <v/>
      </c>
      <c r="AF236" s="36">
        <f t="shared" si="54"/>
        <v>1</v>
      </c>
      <c r="AG236" s="54">
        <f t="shared" si="49"/>
        <v>0</v>
      </c>
      <c r="AH236" s="32" t="str">
        <f t="shared" si="55"/>
        <v/>
      </c>
      <c r="AI236" s="50"/>
      <c r="AJ236" s="50">
        <v>3</v>
      </c>
      <c r="AK236" s="50">
        <v>1</v>
      </c>
      <c r="AL236" s="50">
        <v>0</v>
      </c>
      <c r="AM236" s="50">
        <v>0</v>
      </c>
      <c r="AN236" s="50">
        <v>0</v>
      </c>
      <c r="AO236" s="50">
        <v>0</v>
      </c>
      <c r="AP236" s="50">
        <v>0</v>
      </c>
      <c r="AQ236" s="50">
        <v>0</v>
      </c>
      <c r="AR236" s="50">
        <v>0</v>
      </c>
      <c r="AU236" s="39"/>
      <c r="AW236" s="39"/>
    </row>
    <row r="237" spans="1:49" x14ac:dyDescent="0.25">
      <c r="A237" s="40" t="s">
        <v>273</v>
      </c>
      <c r="B237" s="41">
        <v>7501</v>
      </c>
      <c r="C237" s="40" t="s">
        <v>274</v>
      </c>
      <c r="D237" s="42">
        <v>8561500</v>
      </c>
      <c r="E237" s="42">
        <v>11008680</v>
      </c>
      <c r="F237" s="42">
        <v>12378988</v>
      </c>
      <c r="G237" s="42">
        <v>12341220</v>
      </c>
      <c r="H237" s="42">
        <f t="shared" si="50"/>
        <v>11072597</v>
      </c>
      <c r="I237" s="42">
        <v>1107815.7400000012</v>
      </c>
      <c r="J237" s="43">
        <f t="shared" si="42"/>
        <v>0.10005021766799616</v>
      </c>
      <c r="K237" s="44">
        <v>3011977.0199999986</v>
      </c>
      <c r="L237" s="45">
        <f t="shared" si="43"/>
        <v>0.27202082944046446</v>
      </c>
      <c r="M237" s="42">
        <v>0</v>
      </c>
      <c r="N237" s="45">
        <f t="shared" si="51"/>
        <v>0</v>
      </c>
      <c r="O237" s="44">
        <v>1443537</v>
      </c>
      <c r="P237" s="44">
        <v>830659</v>
      </c>
      <c r="Q237" s="44">
        <v>900076</v>
      </c>
      <c r="R237" s="46">
        <v>0.69159999999999999</v>
      </c>
      <c r="S237" s="46">
        <v>0.70889000000000002</v>
      </c>
      <c r="T237" s="47">
        <f t="shared" si="52"/>
        <v>0.70020000000000004</v>
      </c>
      <c r="U237" s="48">
        <v>0</v>
      </c>
      <c r="V237" s="45">
        <f t="shared" si="44"/>
        <v>0</v>
      </c>
      <c r="W237" s="49"/>
      <c r="X237" s="50"/>
      <c r="Y237" s="51"/>
      <c r="Z237" s="52"/>
      <c r="AA237" s="45" t="str">
        <f t="shared" si="45"/>
        <v/>
      </c>
      <c r="AB237" s="45" t="str">
        <f t="shared" si="46"/>
        <v/>
      </c>
      <c r="AC237" s="45" t="str">
        <f t="shared" si="47"/>
        <v/>
      </c>
      <c r="AD237" s="53" t="str">
        <f t="shared" si="53"/>
        <v/>
      </c>
      <c r="AE237" s="45">
        <f t="shared" si="48"/>
        <v>0.70020000000000004</v>
      </c>
      <c r="AF237" s="36">
        <f t="shared" si="54"/>
        <v>1</v>
      </c>
      <c r="AG237" s="54">
        <f t="shared" si="49"/>
        <v>0</v>
      </c>
      <c r="AH237" s="32" t="str">
        <f t="shared" si="55"/>
        <v/>
      </c>
      <c r="AI237" s="50"/>
      <c r="AJ237" s="50">
        <v>1</v>
      </c>
      <c r="AK237" s="50">
        <v>1</v>
      </c>
      <c r="AL237" s="50">
        <v>1</v>
      </c>
      <c r="AM237" s="50">
        <v>1</v>
      </c>
      <c r="AN237" s="50">
        <v>1</v>
      </c>
      <c r="AO237" s="50">
        <v>2</v>
      </c>
      <c r="AP237" s="50">
        <v>1</v>
      </c>
      <c r="AQ237" s="50">
        <v>2</v>
      </c>
      <c r="AR237" s="50">
        <v>2</v>
      </c>
      <c r="AU237" s="39"/>
      <c r="AW237" s="39"/>
    </row>
    <row r="238" spans="1:49" x14ac:dyDescent="0.25">
      <c r="A238" s="40"/>
      <c r="B238" s="41">
        <v>7502</v>
      </c>
      <c r="C238" s="40" t="s">
        <v>275</v>
      </c>
      <c r="D238" s="42">
        <v>20829517</v>
      </c>
      <c r="E238" s="42">
        <v>25612879</v>
      </c>
      <c r="F238" s="42">
        <v>27322372</v>
      </c>
      <c r="G238" s="42">
        <v>30866871</v>
      </c>
      <c r="H238" s="42">
        <f t="shared" si="50"/>
        <v>26157910</v>
      </c>
      <c r="I238" s="42">
        <v>351664.1</v>
      </c>
      <c r="J238" s="43">
        <f t="shared" si="42"/>
        <v>1.3443891350646896E-2</v>
      </c>
      <c r="K238" s="44">
        <v>15748415.140000001</v>
      </c>
      <c r="L238" s="45">
        <f t="shared" si="43"/>
        <v>0.60205173654928856</v>
      </c>
      <c r="M238" s="42">
        <v>0</v>
      </c>
      <c r="N238" s="45">
        <f t="shared" si="51"/>
        <v>0</v>
      </c>
      <c r="O238" s="44">
        <v>1634929</v>
      </c>
      <c r="P238" s="44">
        <v>-2207412</v>
      </c>
      <c r="Q238" s="44">
        <v>-995654</v>
      </c>
      <c r="R238" s="46">
        <v>0.79161999999999999</v>
      </c>
      <c r="S238" s="46">
        <v>0.68062</v>
      </c>
      <c r="T238" s="47">
        <f t="shared" si="52"/>
        <v>0.73609999999999998</v>
      </c>
      <c r="U238" s="48">
        <v>0</v>
      </c>
      <c r="V238" s="45">
        <f t="shared" si="44"/>
        <v>0</v>
      </c>
      <c r="W238" s="49"/>
      <c r="X238" s="50"/>
      <c r="Y238" s="51"/>
      <c r="Z238" s="52"/>
      <c r="AA238" s="45" t="str">
        <f t="shared" si="45"/>
        <v/>
      </c>
      <c r="AB238" s="45">
        <f t="shared" si="46"/>
        <v>0.60205173654928856</v>
      </c>
      <c r="AC238" s="45" t="str">
        <f t="shared" si="47"/>
        <v/>
      </c>
      <c r="AD238" s="53" t="str">
        <f t="shared" si="53"/>
        <v/>
      </c>
      <c r="AE238" s="45">
        <f t="shared" si="48"/>
        <v>0.73609999999999998</v>
      </c>
      <c r="AF238" s="36">
        <f t="shared" si="54"/>
        <v>2</v>
      </c>
      <c r="AG238" s="54">
        <f t="shared" si="49"/>
        <v>0</v>
      </c>
      <c r="AH238" s="32" t="str">
        <f t="shared" si="55"/>
        <v/>
      </c>
      <c r="AI238" s="50"/>
      <c r="AJ238" s="50">
        <v>2</v>
      </c>
      <c r="AK238" s="50">
        <v>1</v>
      </c>
      <c r="AL238" s="50">
        <v>1</v>
      </c>
      <c r="AM238" s="50">
        <v>1</v>
      </c>
      <c r="AN238" s="50">
        <v>1</v>
      </c>
      <c r="AO238" s="50">
        <v>1</v>
      </c>
      <c r="AP238" s="50">
        <v>1</v>
      </c>
      <c r="AQ238" s="50">
        <v>0</v>
      </c>
      <c r="AR238" s="50">
        <v>3</v>
      </c>
      <c r="AU238" s="39"/>
      <c r="AW238" s="39"/>
    </row>
    <row r="239" spans="1:49" x14ac:dyDescent="0.25">
      <c r="A239" s="40"/>
      <c r="B239" s="41">
        <v>7503</v>
      </c>
      <c r="C239" s="40" t="s">
        <v>276</v>
      </c>
      <c r="D239" s="42">
        <v>6051216</v>
      </c>
      <c r="E239" s="42">
        <v>8551701</v>
      </c>
      <c r="F239" s="42">
        <v>8820717</v>
      </c>
      <c r="G239" s="42">
        <v>11061947</v>
      </c>
      <c r="H239" s="42">
        <f t="shared" si="50"/>
        <v>8621395</v>
      </c>
      <c r="I239" s="42">
        <v>2167697.06</v>
      </c>
      <c r="J239" s="43">
        <f t="shared" si="42"/>
        <v>0.25143228677029644</v>
      </c>
      <c r="K239" s="44">
        <v>15804004.42</v>
      </c>
      <c r="L239" s="45">
        <f t="shared" si="43"/>
        <v>1.8331145272893772</v>
      </c>
      <c r="M239" s="42">
        <v>62002</v>
      </c>
      <c r="N239" s="45">
        <f t="shared" si="51"/>
        <v>5.6049807506761695E-3</v>
      </c>
      <c r="O239" s="44">
        <v>319458</v>
      </c>
      <c r="P239" s="44">
        <v>730788</v>
      </c>
      <c r="Q239" s="44">
        <v>-1011580</v>
      </c>
      <c r="R239" s="46">
        <v>0.77273999999999998</v>
      </c>
      <c r="S239" s="46">
        <v>0.73319000000000001</v>
      </c>
      <c r="T239" s="47">
        <f t="shared" si="52"/>
        <v>0.753</v>
      </c>
      <c r="U239" s="48">
        <v>438981</v>
      </c>
      <c r="V239" s="45">
        <f t="shared" si="44"/>
        <v>3.9683882050781841E-2</v>
      </c>
      <c r="W239" s="49"/>
      <c r="X239" s="50"/>
      <c r="Y239" s="51"/>
      <c r="Z239" s="52"/>
      <c r="AA239" s="45">
        <f t="shared" si="45"/>
        <v>0.25143228677029644</v>
      </c>
      <c r="AB239" s="45">
        <f t="shared" si="46"/>
        <v>1.8331145272893772</v>
      </c>
      <c r="AC239" s="45" t="str">
        <f t="shared" si="47"/>
        <v/>
      </c>
      <c r="AD239" s="53" t="str">
        <f t="shared" si="53"/>
        <v/>
      </c>
      <c r="AE239" s="45">
        <f t="shared" si="48"/>
        <v>0.753</v>
      </c>
      <c r="AF239" s="36">
        <f t="shared" si="54"/>
        <v>3</v>
      </c>
      <c r="AG239" s="54">
        <f t="shared" si="49"/>
        <v>0</v>
      </c>
      <c r="AH239" s="32">
        <f t="shared" si="55"/>
        <v>1</v>
      </c>
      <c r="AI239" s="50"/>
      <c r="AJ239" s="50">
        <v>1</v>
      </c>
      <c r="AK239" s="50">
        <v>2</v>
      </c>
      <c r="AL239" s="50">
        <v>1</v>
      </c>
      <c r="AM239" s="50">
        <v>0</v>
      </c>
      <c r="AN239" s="50">
        <v>0</v>
      </c>
      <c r="AO239" s="50">
        <v>1</v>
      </c>
      <c r="AP239" s="50">
        <v>1</v>
      </c>
      <c r="AQ239" s="50">
        <v>0</v>
      </c>
      <c r="AR239" s="50">
        <v>1</v>
      </c>
      <c r="AU239" s="39"/>
      <c r="AW239" s="39"/>
    </row>
    <row r="240" spans="1:49" x14ac:dyDescent="0.25">
      <c r="A240" s="40"/>
      <c r="B240" s="41">
        <v>7504</v>
      </c>
      <c r="C240" s="40" t="s">
        <v>277</v>
      </c>
      <c r="D240" s="42">
        <v>30572472</v>
      </c>
      <c r="E240" s="42">
        <v>36937678</v>
      </c>
      <c r="F240" s="42">
        <v>48259657</v>
      </c>
      <c r="G240" s="42">
        <v>46718706</v>
      </c>
      <c r="H240" s="42">
        <f t="shared" si="50"/>
        <v>40622128</v>
      </c>
      <c r="I240" s="42">
        <v>7038163.3899999978</v>
      </c>
      <c r="J240" s="43">
        <f t="shared" si="42"/>
        <v>0.17325934746697658</v>
      </c>
      <c r="K240" s="44">
        <v>12366508.870000001</v>
      </c>
      <c r="L240" s="45">
        <f t="shared" si="43"/>
        <v>0.30442789383165747</v>
      </c>
      <c r="M240" s="42">
        <v>1701</v>
      </c>
      <c r="N240" s="45">
        <f t="shared" si="51"/>
        <v>3.6409398839085995E-5</v>
      </c>
      <c r="O240" s="44">
        <v>3106752</v>
      </c>
      <c r="P240" s="44">
        <v>-5592844</v>
      </c>
      <c r="Q240" s="44">
        <v>1004344</v>
      </c>
      <c r="R240" s="46">
        <v>0.83026999999999995</v>
      </c>
      <c r="S240" s="46">
        <v>0.73617999999999995</v>
      </c>
      <c r="T240" s="47">
        <f t="shared" si="52"/>
        <v>0.78320000000000001</v>
      </c>
      <c r="U240" s="48">
        <v>0</v>
      </c>
      <c r="V240" s="45">
        <f t="shared" si="44"/>
        <v>0</v>
      </c>
      <c r="W240" s="49"/>
      <c r="X240" s="50"/>
      <c r="Y240" s="51"/>
      <c r="Z240" s="52"/>
      <c r="AA240" s="45">
        <f t="shared" si="45"/>
        <v>0.17325934746697658</v>
      </c>
      <c r="AB240" s="45" t="str">
        <f t="shared" si="46"/>
        <v/>
      </c>
      <c r="AC240" s="45" t="str">
        <f t="shared" si="47"/>
        <v/>
      </c>
      <c r="AD240" s="53" t="str">
        <f t="shared" si="53"/>
        <v/>
      </c>
      <c r="AE240" s="45" t="str">
        <f t="shared" si="48"/>
        <v/>
      </c>
      <c r="AF240" s="36">
        <f t="shared" si="54"/>
        <v>1</v>
      </c>
      <c r="AG240" s="54">
        <f t="shared" si="49"/>
        <v>0</v>
      </c>
      <c r="AH240" s="32" t="str">
        <f t="shared" si="55"/>
        <v/>
      </c>
      <c r="AI240" s="50"/>
      <c r="AJ240" s="50">
        <v>0</v>
      </c>
      <c r="AK240" s="50">
        <v>0</v>
      </c>
      <c r="AL240" s="50">
        <v>0</v>
      </c>
      <c r="AM240" s="50">
        <v>0</v>
      </c>
      <c r="AN240" s="50">
        <v>1</v>
      </c>
      <c r="AO240" s="50">
        <v>0</v>
      </c>
      <c r="AP240" s="50">
        <v>0</v>
      </c>
      <c r="AQ240" s="50">
        <v>1</v>
      </c>
      <c r="AR240" s="50">
        <v>0</v>
      </c>
      <c r="AU240" s="39"/>
      <c r="AW240" s="39"/>
    </row>
    <row r="241" spans="1:49" x14ac:dyDescent="0.25">
      <c r="A241" s="40"/>
      <c r="B241" s="41">
        <v>7505</v>
      </c>
      <c r="C241" s="40" t="s">
        <v>273</v>
      </c>
      <c r="D241" s="42">
        <v>66698877</v>
      </c>
      <c r="E241" s="42">
        <v>74141031</v>
      </c>
      <c r="F241" s="42">
        <v>95593909</v>
      </c>
      <c r="G241" s="42">
        <v>108764211</v>
      </c>
      <c r="H241" s="42">
        <f t="shared" si="50"/>
        <v>86299507</v>
      </c>
      <c r="I241" s="42">
        <v>1751620.1500000036</v>
      </c>
      <c r="J241" s="43">
        <f t="shared" si="42"/>
        <v>2.0296989066229586E-2</v>
      </c>
      <c r="K241" s="44">
        <v>53153550.079999998</v>
      </c>
      <c r="L241" s="45">
        <f t="shared" si="43"/>
        <v>0.61591951017750313</v>
      </c>
      <c r="M241" s="42">
        <v>0</v>
      </c>
      <c r="N241" s="45">
        <f t="shared" si="51"/>
        <v>0</v>
      </c>
      <c r="O241" s="44">
        <v>693806</v>
      </c>
      <c r="P241" s="44">
        <v>-2466564</v>
      </c>
      <c r="Q241" s="44">
        <v>774236</v>
      </c>
      <c r="R241" s="46">
        <v>0.88741000000000003</v>
      </c>
      <c r="S241" s="46">
        <v>0.71282999999999996</v>
      </c>
      <c r="T241" s="47">
        <f t="shared" si="52"/>
        <v>0.80010000000000003</v>
      </c>
      <c r="U241" s="48">
        <v>0</v>
      </c>
      <c r="V241" s="45">
        <f t="shared" si="44"/>
        <v>0</v>
      </c>
      <c r="W241" s="49"/>
      <c r="X241" s="50"/>
      <c r="Y241" s="51"/>
      <c r="Z241" s="52"/>
      <c r="AA241" s="45" t="str">
        <f t="shared" si="45"/>
        <v/>
      </c>
      <c r="AB241" s="45">
        <f t="shared" si="46"/>
        <v>0.61591951017750313</v>
      </c>
      <c r="AC241" s="45" t="str">
        <f t="shared" si="47"/>
        <v/>
      </c>
      <c r="AD241" s="53" t="str">
        <f t="shared" si="53"/>
        <v/>
      </c>
      <c r="AE241" s="45" t="str">
        <f t="shared" si="48"/>
        <v/>
      </c>
      <c r="AF241" s="36">
        <f t="shared" si="54"/>
        <v>1</v>
      </c>
      <c r="AG241" s="54">
        <f t="shared" si="49"/>
        <v>0</v>
      </c>
      <c r="AH241" s="32" t="str">
        <f t="shared" si="55"/>
        <v/>
      </c>
      <c r="AI241" s="50"/>
      <c r="AJ241" s="50">
        <v>0</v>
      </c>
      <c r="AK241" s="50">
        <v>1</v>
      </c>
      <c r="AL241" s="50">
        <v>0</v>
      </c>
      <c r="AM241" s="50">
        <v>1</v>
      </c>
      <c r="AN241" s="50">
        <v>1</v>
      </c>
      <c r="AO241" s="50">
        <v>0</v>
      </c>
      <c r="AP241" s="50">
        <v>0</v>
      </c>
      <c r="AQ241" s="50">
        <v>0</v>
      </c>
      <c r="AR241" s="50">
        <v>0</v>
      </c>
      <c r="AU241" s="39"/>
      <c r="AW241" s="39"/>
    </row>
    <row r="242" spans="1:49" x14ac:dyDescent="0.25">
      <c r="A242" s="40" t="s">
        <v>278</v>
      </c>
      <c r="B242" s="41">
        <v>7601</v>
      </c>
      <c r="C242" s="40" t="s">
        <v>279</v>
      </c>
      <c r="D242" s="42">
        <v>48514745</v>
      </c>
      <c r="E242" s="42">
        <v>57995793</v>
      </c>
      <c r="F242" s="42">
        <v>67448694</v>
      </c>
      <c r="G242" s="42">
        <v>78761838</v>
      </c>
      <c r="H242" s="42">
        <f t="shared" si="50"/>
        <v>63180268</v>
      </c>
      <c r="I242" s="42">
        <v>1747094.4000000022</v>
      </c>
      <c r="J242" s="43">
        <f t="shared" si="42"/>
        <v>2.7652532274791905E-2</v>
      </c>
      <c r="K242" s="44">
        <v>40098037.149999999</v>
      </c>
      <c r="L242" s="45">
        <f t="shared" si="43"/>
        <v>0.63466076386380632</v>
      </c>
      <c r="M242" s="42">
        <v>0</v>
      </c>
      <c r="N242" s="45">
        <f t="shared" si="51"/>
        <v>0</v>
      </c>
      <c r="O242" s="44">
        <v>1658748</v>
      </c>
      <c r="P242" s="44">
        <v>683230</v>
      </c>
      <c r="Q242" s="44">
        <v>-4702512</v>
      </c>
      <c r="R242" s="46">
        <v>0.84909999999999997</v>
      </c>
      <c r="S242" s="46">
        <v>0.77036000000000004</v>
      </c>
      <c r="T242" s="47">
        <f t="shared" si="52"/>
        <v>0.80969999999999998</v>
      </c>
      <c r="U242" s="48">
        <v>0</v>
      </c>
      <c r="V242" s="45">
        <f t="shared" si="44"/>
        <v>0</v>
      </c>
      <c r="W242" s="49"/>
      <c r="X242" s="50"/>
      <c r="Y242" s="51"/>
      <c r="Z242" s="52"/>
      <c r="AA242" s="45" t="str">
        <f t="shared" si="45"/>
        <v/>
      </c>
      <c r="AB242" s="45">
        <f t="shared" si="46"/>
        <v>0.63466076386380632</v>
      </c>
      <c r="AC242" s="45" t="str">
        <f t="shared" si="47"/>
        <v/>
      </c>
      <c r="AD242" s="53" t="str">
        <f t="shared" si="53"/>
        <v/>
      </c>
      <c r="AE242" s="45" t="str">
        <f t="shared" si="48"/>
        <v/>
      </c>
      <c r="AF242" s="36">
        <f t="shared" si="54"/>
        <v>1</v>
      </c>
      <c r="AG242" s="54">
        <f t="shared" si="49"/>
        <v>0</v>
      </c>
      <c r="AH242" s="32" t="str">
        <f t="shared" si="55"/>
        <v/>
      </c>
      <c r="AI242" s="50"/>
      <c r="AJ242" s="50">
        <v>0</v>
      </c>
      <c r="AK242" s="50">
        <v>0</v>
      </c>
      <c r="AL242" s="50">
        <v>1</v>
      </c>
      <c r="AM242" s="50">
        <v>1</v>
      </c>
      <c r="AN242" s="50">
        <v>1</v>
      </c>
      <c r="AO242" s="50">
        <v>0</v>
      </c>
      <c r="AP242" s="50">
        <v>0</v>
      </c>
      <c r="AQ242" s="50">
        <v>0</v>
      </c>
      <c r="AR242" s="50">
        <v>0</v>
      </c>
      <c r="AU242" s="39"/>
      <c r="AW242" s="39"/>
    </row>
    <row r="243" spans="1:49" x14ac:dyDescent="0.25">
      <c r="A243" s="40"/>
      <c r="B243" s="41">
        <v>7602</v>
      </c>
      <c r="C243" s="40" t="s">
        <v>280</v>
      </c>
      <c r="D243" s="42">
        <v>9570573</v>
      </c>
      <c r="E243" s="42">
        <v>11985017</v>
      </c>
      <c r="F243" s="42">
        <v>16610603</v>
      </c>
      <c r="G243" s="42">
        <v>17268755</v>
      </c>
      <c r="H243" s="42">
        <f t="shared" si="50"/>
        <v>13858737</v>
      </c>
      <c r="I243" s="42">
        <v>2996156.6599999992</v>
      </c>
      <c r="J243" s="43">
        <f t="shared" si="42"/>
        <v>0.21619261986139135</v>
      </c>
      <c r="K243" s="44">
        <v>12928304.530000001</v>
      </c>
      <c r="L243" s="45">
        <f t="shared" si="43"/>
        <v>0.93286311227350671</v>
      </c>
      <c r="M243" s="42">
        <v>180736</v>
      </c>
      <c r="N243" s="45">
        <f t="shared" si="51"/>
        <v>1.0466070078589915E-2</v>
      </c>
      <c r="O243" s="44">
        <v>440170</v>
      </c>
      <c r="P243" s="44">
        <v>-3056953</v>
      </c>
      <c r="Q243" s="44">
        <v>-673353</v>
      </c>
      <c r="R243" s="46">
        <v>0.74212999999999996</v>
      </c>
      <c r="S243" s="46">
        <v>0.74468999999999996</v>
      </c>
      <c r="T243" s="47">
        <f t="shared" si="52"/>
        <v>0.74339999999999995</v>
      </c>
      <c r="U243" s="48">
        <v>0</v>
      </c>
      <c r="V243" s="45">
        <f t="shared" si="44"/>
        <v>0</v>
      </c>
      <c r="W243" s="49"/>
      <c r="X243" s="50"/>
      <c r="Y243" s="51"/>
      <c r="Z243" s="52"/>
      <c r="AA243" s="45">
        <f t="shared" si="45"/>
        <v>0.21619261986139135</v>
      </c>
      <c r="AB243" s="45">
        <f t="shared" si="46"/>
        <v>0.93286311227350671</v>
      </c>
      <c r="AC243" s="45" t="str">
        <f t="shared" si="47"/>
        <v/>
      </c>
      <c r="AD243" s="53" t="str">
        <f t="shared" si="53"/>
        <v/>
      </c>
      <c r="AE243" s="45">
        <f t="shared" si="48"/>
        <v>0.74339999999999995</v>
      </c>
      <c r="AF243" s="36">
        <f t="shared" si="54"/>
        <v>3</v>
      </c>
      <c r="AG243" s="54">
        <f t="shared" si="49"/>
        <v>0</v>
      </c>
      <c r="AH243" s="32">
        <f t="shared" si="55"/>
        <v>1</v>
      </c>
      <c r="AI243" s="50"/>
      <c r="AJ243" s="50">
        <v>1</v>
      </c>
      <c r="AK243" s="50">
        <v>1</v>
      </c>
      <c r="AL243" s="50">
        <v>3</v>
      </c>
      <c r="AM243" s="50">
        <v>1</v>
      </c>
      <c r="AN243" s="50">
        <v>2</v>
      </c>
      <c r="AO243" s="50">
        <v>1</v>
      </c>
      <c r="AP243" s="50">
        <v>1</v>
      </c>
      <c r="AQ243" s="50">
        <v>1</v>
      </c>
      <c r="AR243" s="50">
        <v>2</v>
      </c>
      <c r="AU243" s="39"/>
      <c r="AW243" s="39"/>
    </row>
    <row r="244" spans="1:49" x14ac:dyDescent="0.25">
      <c r="A244" s="40"/>
      <c r="B244" s="41">
        <v>7603</v>
      </c>
      <c r="C244" s="40" t="s">
        <v>281</v>
      </c>
      <c r="D244" s="42">
        <v>13786182</v>
      </c>
      <c r="E244" s="42">
        <v>14131106</v>
      </c>
      <c r="F244" s="42">
        <v>17205126</v>
      </c>
      <c r="G244" s="42">
        <v>25591371</v>
      </c>
      <c r="H244" s="42">
        <f t="shared" si="50"/>
        <v>17678446</v>
      </c>
      <c r="I244" s="42">
        <v>1138784.2599999981</v>
      </c>
      <c r="J244" s="43">
        <f t="shared" si="42"/>
        <v>6.4416536385607542E-2</v>
      </c>
      <c r="K244" s="44">
        <v>7162159.6299999999</v>
      </c>
      <c r="L244" s="45">
        <f t="shared" si="43"/>
        <v>0.40513513631232068</v>
      </c>
      <c r="M244" s="42">
        <v>112</v>
      </c>
      <c r="N244" s="45">
        <f t="shared" si="51"/>
        <v>4.3764751798565225E-6</v>
      </c>
      <c r="O244" s="44">
        <v>1401355</v>
      </c>
      <c r="P244" s="44">
        <v>441223</v>
      </c>
      <c r="Q244" s="44">
        <v>-374901</v>
      </c>
      <c r="R244" s="46">
        <v>0.87014000000000002</v>
      </c>
      <c r="S244" s="46">
        <v>0.77232999999999996</v>
      </c>
      <c r="T244" s="47">
        <f t="shared" si="52"/>
        <v>0.82120000000000004</v>
      </c>
      <c r="U244" s="48">
        <v>0</v>
      </c>
      <c r="V244" s="45">
        <f t="shared" si="44"/>
        <v>0</v>
      </c>
      <c r="W244" s="49"/>
      <c r="X244" s="50"/>
      <c r="Y244" s="51"/>
      <c r="Z244" s="52"/>
      <c r="AA244" s="45" t="str">
        <f t="shared" si="45"/>
        <v/>
      </c>
      <c r="AB244" s="45" t="str">
        <f t="shared" si="46"/>
        <v/>
      </c>
      <c r="AC244" s="45" t="str">
        <f t="shared" si="47"/>
        <v/>
      </c>
      <c r="AD244" s="53" t="str">
        <f t="shared" si="53"/>
        <v/>
      </c>
      <c r="AE244" s="45" t="str">
        <f t="shared" si="48"/>
        <v/>
      </c>
      <c r="AF244" s="36">
        <f t="shared" si="54"/>
        <v>0</v>
      </c>
      <c r="AG244" s="54">
        <f t="shared" si="49"/>
        <v>0</v>
      </c>
      <c r="AH244" s="32" t="str">
        <f t="shared" si="55"/>
        <v/>
      </c>
      <c r="AI244" s="50"/>
      <c r="AJ244" s="50">
        <v>1</v>
      </c>
      <c r="AK244" s="50">
        <v>1</v>
      </c>
      <c r="AL244" s="50">
        <v>0</v>
      </c>
      <c r="AM244" s="50">
        <v>0</v>
      </c>
      <c r="AN244" s="50">
        <v>2</v>
      </c>
      <c r="AO244" s="50">
        <v>0</v>
      </c>
      <c r="AP244" s="50">
        <v>0</v>
      </c>
      <c r="AQ244" s="50">
        <v>1</v>
      </c>
      <c r="AR244" s="50">
        <v>0</v>
      </c>
      <c r="AU244" s="39"/>
      <c r="AW244" s="39"/>
    </row>
    <row r="245" spans="1:49" x14ac:dyDescent="0.25">
      <c r="A245" s="40"/>
      <c r="B245" s="41">
        <v>7604</v>
      </c>
      <c r="C245" s="40" t="s">
        <v>282</v>
      </c>
      <c r="D245" s="42">
        <v>3487376</v>
      </c>
      <c r="E245" s="42">
        <v>4767815</v>
      </c>
      <c r="F245" s="42">
        <v>5697763</v>
      </c>
      <c r="G245" s="42">
        <v>6467008</v>
      </c>
      <c r="H245" s="42">
        <f t="shared" si="50"/>
        <v>5104991</v>
      </c>
      <c r="I245" s="42">
        <v>303405.94</v>
      </c>
      <c r="J245" s="43">
        <f t="shared" si="42"/>
        <v>5.9433197825422217E-2</v>
      </c>
      <c r="K245" s="44">
        <v>4178851.6</v>
      </c>
      <c r="L245" s="45">
        <f t="shared" si="43"/>
        <v>0.81858158026135597</v>
      </c>
      <c r="M245" s="42">
        <v>2950</v>
      </c>
      <c r="N245" s="45">
        <f t="shared" si="51"/>
        <v>4.5616148920799232E-4</v>
      </c>
      <c r="O245" s="44">
        <v>387547</v>
      </c>
      <c r="P245" s="44">
        <v>274923</v>
      </c>
      <c r="Q245" s="44">
        <v>1733988</v>
      </c>
      <c r="R245" s="46">
        <v>0.73443999999999998</v>
      </c>
      <c r="S245" s="46">
        <v>0.71340999999999999</v>
      </c>
      <c r="T245" s="47">
        <f t="shared" si="52"/>
        <v>0.72389999999999999</v>
      </c>
      <c r="U245" s="48">
        <v>0</v>
      </c>
      <c r="V245" s="45">
        <f t="shared" si="44"/>
        <v>0</v>
      </c>
      <c r="W245" s="49"/>
      <c r="X245" s="50"/>
      <c r="Y245" s="51"/>
      <c r="Z245" s="52"/>
      <c r="AA245" s="45" t="str">
        <f t="shared" si="45"/>
        <v/>
      </c>
      <c r="AB245" s="45">
        <f t="shared" si="46"/>
        <v>0.81858158026135597</v>
      </c>
      <c r="AC245" s="45" t="str">
        <f t="shared" si="47"/>
        <v/>
      </c>
      <c r="AD245" s="53" t="str">
        <f t="shared" si="53"/>
        <v/>
      </c>
      <c r="AE245" s="45">
        <f t="shared" si="48"/>
        <v>0.72389999999999999</v>
      </c>
      <c r="AF245" s="36">
        <f t="shared" si="54"/>
        <v>2</v>
      </c>
      <c r="AG245" s="54">
        <f t="shared" si="49"/>
        <v>0</v>
      </c>
      <c r="AH245" s="32" t="str">
        <f t="shared" si="55"/>
        <v/>
      </c>
      <c r="AI245" s="50"/>
      <c r="AJ245" s="50">
        <v>1</v>
      </c>
      <c r="AK245" s="50">
        <v>1</v>
      </c>
      <c r="AL245" s="50">
        <v>0</v>
      </c>
      <c r="AM245" s="50">
        <v>0</v>
      </c>
      <c r="AN245" s="50">
        <v>1</v>
      </c>
      <c r="AO245" s="50">
        <v>2</v>
      </c>
      <c r="AP245" s="50">
        <v>1</v>
      </c>
      <c r="AQ245" s="50">
        <v>1</v>
      </c>
      <c r="AR245" s="50">
        <v>1</v>
      </c>
      <c r="AU245" s="39"/>
      <c r="AW245" s="39"/>
    </row>
    <row r="246" spans="1:49" x14ac:dyDescent="0.25">
      <c r="A246" s="40"/>
      <c r="B246" s="41">
        <v>7605</v>
      </c>
      <c r="C246" s="40" t="s">
        <v>283</v>
      </c>
      <c r="D246" s="42">
        <v>9110840</v>
      </c>
      <c r="E246" s="42">
        <v>9113665</v>
      </c>
      <c r="F246" s="42">
        <v>11204112</v>
      </c>
      <c r="G246" s="42">
        <v>12181336</v>
      </c>
      <c r="H246" s="42">
        <f t="shared" si="50"/>
        <v>10402488</v>
      </c>
      <c r="I246" s="42">
        <v>658504.73000000021</v>
      </c>
      <c r="J246" s="43">
        <f t="shared" si="42"/>
        <v>6.3302618565866192E-2</v>
      </c>
      <c r="K246" s="44">
        <v>27033483.320000004</v>
      </c>
      <c r="L246" s="45">
        <f t="shared" si="43"/>
        <v>2.5987516947868627</v>
      </c>
      <c r="M246" s="42">
        <v>513483</v>
      </c>
      <c r="N246" s="45">
        <f t="shared" si="51"/>
        <v>4.2153258066274506E-2</v>
      </c>
      <c r="O246" s="44">
        <v>1269059</v>
      </c>
      <c r="P246" s="44">
        <v>280804</v>
      </c>
      <c r="Q246" s="44">
        <v>-1558472</v>
      </c>
      <c r="R246" s="46">
        <v>0.84243999999999997</v>
      </c>
      <c r="S246" s="46">
        <v>0.76459999999999995</v>
      </c>
      <c r="T246" s="47">
        <f t="shared" si="52"/>
        <v>0.80349999999999999</v>
      </c>
      <c r="U246" s="48">
        <v>0</v>
      </c>
      <c r="V246" s="45">
        <f t="shared" si="44"/>
        <v>0</v>
      </c>
      <c r="W246" s="49"/>
      <c r="X246" s="50"/>
      <c r="Y246" s="51"/>
      <c r="Z246" s="52"/>
      <c r="AA246" s="45" t="str">
        <f t="shared" si="45"/>
        <v/>
      </c>
      <c r="AB246" s="45">
        <f t="shared" si="46"/>
        <v>2.5987516947868627</v>
      </c>
      <c r="AC246" s="45" t="str">
        <f t="shared" si="47"/>
        <v/>
      </c>
      <c r="AD246" s="53" t="str">
        <f t="shared" si="53"/>
        <v/>
      </c>
      <c r="AE246" s="45" t="str">
        <f t="shared" si="48"/>
        <v/>
      </c>
      <c r="AF246" s="36">
        <f t="shared" si="54"/>
        <v>1</v>
      </c>
      <c r="AG246" s="54">
        <f t="shared" si="49"/>
        <v>0</v>
      </c>
      <c r="AH246" s="32" t="str">
        <f t="shared" si="55"/>
        <v/>
      </c>
      <c r="AI246" s="50"/>
      <c r="AJ246" s="50">
        <v>2</v>
      </c>
      <c r="AK246" s="50">
        <v>2</v>
      </c>
      <c r="AL246" s="50">
        <v>1</v>
      </c>
      <c r="AM246" s="50">
        <v>1</v>
      </c>
      <c r="AN246" s="50">
        <v>3</v>
      </c>
      <c r="AO246" s="50">
        <v>2</v>
      </c>
      <c r="AP246" s="50">
        <v>2</v>
      </c>
      <c r="AQ246" s="50">
        <v>4</v>
      </c>
      <c r="AR246" s="50">
        <v>5</v>
      </c>
      <c r="AU246" s="39"/>
      <c r="AW246" s="39"/>
    </row>
    <row r="247" spans="1:49" x14ac:dyDescent="0.25">
      <c r="A247" s="40"/>
      <c r="B247" s="41">
        <v>7606</v>
      </c>
      <c r="C247" s="40" t="s">
        <v>284</v>
      </c>
      <c r="D247" s="42">
        <v>26781411</v>
      </c>
      <c r="E247" s="42">
        <v>33131013</v>
      </c>
      <c r="F247" s="42">
        <v>41789171</v>
      </c>
      <c r="G247" s="42">
        <v>45454783</v>
      </c>
      <c r="H247" s="42">
        <f t="shared" si="50"/>
        <v>36789095</v>
      </c>
      <c r="I247" s="42">
        <v>1064456.2400000007</v>
      </c>
      <c r="J247" s="43">
        <f t="shared" si="42"/>
        <v>2.8934015365151024E-2</v>
      </c>
      <c r="K247" s="44">
        <v>11499187.41</v>
      </c>
      <c r="L247" s="45">
        <f t="shared" si="43"/>
        <v>0.31257054325473349</v>
      </c>
      <c r="M247" s="42">
        <v>218348</v>
      </c>
      <c r="N247" s="45">
        <f t="shared" si="51"/>
        <v>4.803630896224936E-3</v>
      </c>
      <c r="O247" s="44">
        <v>221043</v>
      </c>
      <c r="P247" s="44">
        <v>-307511</v>
      </c>
      <c r="Q247" s="44">
        <v>1921871</v>
      </c>
      <c r="R247" s="46">
        <v>0.88658999999999999</v>
      </c>
      <c r="S247" s="46">
        <v>0.76161000000000001</v>
      </c>
      <c r="T247" s="47">
        <f t="shared" si="52"/>
        <v>0.82410000000000005</v>
      </c>
      <c r="U247" s="48">
        <v>0</v>
      </c>
      <c r="V247" s="45">
        <f t="shared" si="44"/>
        <v>0</v>
      </c>
      <c r="W247" s="49"/>
      <c r="X247" s="50"/>
      <c r="Y247" s="51"/>
      <c r="Z247" s="52"/>
      <c r="AA247" s="45" t="str">
        <f t="shared" si="45"/>
        <v/>
      </c>
      <c r="AB247" s="45" t="str">
        <f t="shared" si="46"/>
        <v/>
      </c>
      <c r="AC247" s="45" t="str">
        <f t="shared" si="47"/>
        <v/>
      </c>
      <c r="AD247" s="53" t="str">
        <f t="shared" si="53"/>
        <v/>
      </c>
      <c r="AE247" s="45" t="str">
        <f t="shared" si="48"/>
        <v/>
      </c>
      <c r="AF247" s="36">
        <f t="shared" si="54"/>
        <v>0</v>
      </c>
      <c r="AG247" s="54">
        <f t="shared" si="49"/>
        <v>0</v>
      </c>
      <c r="AH247" s="32" t="str">
        <f t="shared" si="55"/>
        <v/>
      </c>
      <c r="AI247" s="50"/>
      <c r="AJ247" s="50">
        <v>0</v>
      </c>
      <c r="AK247" s="50">
        <v>0</v>
      </c>
      <c r="AL247" s="50">
        <v>0</v>
      </c>
      <c r="AM247" s="50">
        <v>0</v>
      </c>
      <c r="AN247" s="50">
        <v>0</v>
      </c>
      <c r="AO247" s="50">
        <v>0</v>
      </c>
      <c r="AP247" s="50">
        <v>0</v>
      </c>
      <c r="AQ247" s="50">
        <v>0</v>
      </c>
      <c r="AR247" s="50">
        <v>1</v>
      </c>
      <c r="AU247" s="39"/>
      <c r="AW247" s="39"/>
    </row>
    <row r="248" spans="1:49" x14ac:dyDescent="0.25">
      <c r="A248" s="40"/>
      <c r="B248" s="41">
        <v>7607</v>
      </c>
      <c r="C248" s="40" t="s">
        <v>285</v>
      </c>
      <c r="D248" s="42">
        <v>10274035</v>
      </c>
      <c r="E248" s="42">
        <v>10799452</v>
      </c>
      <c r="F248" s="42">
        <v>12870653</v>
      </c>
      <c r="G248" s="42">
        <v>18221648</v>
      </c>
      <c r="H248" s="42">
        <f t="shared" si="50"/>
        <v>13041447</v>
      </c>
      <c r="I248" s="42">
        <v>1655252.2699999993</v>
      </c>
      <c r="J248" s="43">
        <f t="shared" si="42"/>
        <v>0.1269224396648623</v>
      </c>
      <c r="K248" s="44">
        <v>7489014.2700000014</v>
      </c>
      <c r="L248" s="45">
        <f t="shared" si="43"/>
        <v>0.57424718821462073</v>
      </c>
      <c r="M248" s="42">
        <v>396874</v>
      </c>
      <c r="N248" s="45">
        <f t="shared" si="51"/>
        <v>2.1780357078569401E-2</v>
      </c>
      <c r="O248" s="44">
        <v>184856</v>
      </c>
      <c r="P248" s="44">
        <v>-149117</v>
      </c>
      <c r="Q248" s="44">
        <v>1860924</v>
      </c>
      <c r="R248" s="46">
        <v>0.67630999999999997</v>
      </c>
      <c r="S248" s="46">
        <v>0.54749000000000003</v>
      </c>
      <c r="T248" s="47">
        <f t="shared" si="52"/>
        <v>0.6119</v>
      </c>
      <c r="U248" s="48">
        <v>0</v>
      </c>
      <c r="V248" s="45">
        <f t="shared" si="44"/>
        <v>0</v>
      </c>
      <c r="W248" s="49"/>
      <c r="X248" s="50"/>
      <c r="Y248" s="51"/>
      <c r="Z248" s="52"/>
      <c r="AA248" s="45" t="str">
        <f t="shared" si="45"/>
        <v/>
      </c>
      <c r="AB248" s="45">
        <f t="shared" si="46"/>
        <v>0.57424718821462073</v>
      </c>
      <c r="AC248" s="45" t="str">
        <f t="shared" si="47"/>
        <v/>
      </c>
      <c r="AD248" s="53" t="str">
        <f t="shared" si="53"/>
        <v/>
      </c>
      <c r="AE248" s="45">
        <f t="shared" si="48"/>
        <v>0.6119</v>
      </c>
      <c r="AF248" s="36">
        <f t="shared" si="54"/>
        <v>2</v>
      </c>
      <c r="AG248" s="54">
        <f t="shared" si="49"/>
        <v>0</v>
      </c>
      <c r="AH248" s="32" t="str">
        <f t="shared" si="55"/>
        <v/>
      </c>
      <c r="AI248" s="50"/>
      <c r="AJ248" s="50">
        <v>1</v>
      </c>
      <c r="AK248" s="50">
        <v>1</v>
      </c>
      <c r="AL248" s="50">
        <v>1</v>
      </c>
      <c r="AM248" s="50">
        <v>1</v>
      </c>
      <c r="AN248" s="50">
        <v>1</v>
      </c>
      <c r="AO248" s="50">
        <v>2</v>
      </c>
      <c r="AP248" s="50">
        <v>1</v>
      </c>
      <c r="AQ248" s="50">
        <v>1</v>
      </c>
      <c r="AR248" s="50">
        <v>2</v>
      </c>
      <c r="AU248" s="39"/>
      <c r="AW248" s="39"/>
    </row>
    <row r="249" spans="1:49" x14ac:dyDescent="0.25">
      <c r="A249" s="40"/>
      <c r="B249" s="41">
        <v>7608</v>
      </c>
      <c r="C249" s="40" t="s">
        <v>286</v>
      </c>
      <c r="D249" s="42">
        <v>8965353</v>
      </c>
      <c r="E249" s="42">
        <v>7945251</v>
      </c>
      <c r="F249" s="42">
        <v>11235291</v>
      </c>
      <c r="G249" s="42">
        <v>15032458</v>
      </c>
      <c r="H249" s="42">
        <f t="shared" si="50"/>
        <v>10794588</v>
      </c>
      <c r="I249" s="42">
        <v>250738.22999999992</v>
      </c>
      <c r="J249" s="43">
        <f t="shared" si="42"/>
        <v>2.3228142658154247E-2</v>
      </c>
      <c r="K249" s="44">
        <v>5700910.5800000001</v>
      </c>
      <c r="L249" s="45">
        <f t="shared" si="43"/>
        <v>0.52812674091869005</v>
      </c>
      <c r="M249" s="42">
        <v>115007</v>
      </c>
      <c r="N249" s="45">
        <f t="shared" si="51"/>
        <v>7.6505785015331491E-3</v>
      </c>
      <c r="O249" s="44">
        <v>2315937</v>
      </c>
      <c r="P249" s="44">
        <v>501384</v>
      </c>
      <c r="Q249" s="44">
        <v>-620446</v>
      </c>
      <c r="R249" s="46">
        <v>0.71099999999999997</v>
      </c>
      <c r="S249" s="46">
        <v>0.65337999999999996</v>
      </c>
      <c r="T249" s="47">
        <f t="shared" si="52"/>
        <v>0.68220000000000003</v>
      </c>
      <c r="U249" s="48">
        <v>0</v>
      </c>
      <c r="V249" s="45">
        <f t="shared" si="44"/>
        <v>0</v>
      </c>
      <c r="W249" s="49"/>
      <c r="X249" s="50"/>
      <c r="Y249" s="51"/>
      <c r="Z249" s="52"/>
      <c r="AA249" s="45" t="str">
        <f t="shared" si="45"/>
        <v/>
      </c>
      <c r="AB249" s="45">
        <f t="shared" si="46"/>
        <v>0.52812674091869005</v>
      </c>
      <c r="AC249" s="45" t="str">
        <f t="shared" si="47"/>
        <v/>
      </c>
      <c r="AD249" s="53" t="str">
        <f t="shared" si="53"/>
        <v/>
      </c>
      <c r="AE249" s="45">
        <f t="shared" si="48"/>
        <v>0.68220000000000003</v>
      </c>
      <c r="AF249" s="36">
        <f t="shared" si="54"/>
        <v>2</v>
      </c>
      <c r="AG249" s="54">
        <f t="shared" si="49"/>
        <v>0</v>
      </c>
      <c r="AH249" s="32" t="str">
        <f t="shared" si="55"/>
        <v/>
      </c>
      <c r="AI249" s="50"/>
      <c r="AJ249" s="50">
        <v>1</v>
      </c>
      <c r="AK249" s="50">
        <v>1</v>
      </c>
      <c r="AL249" s="50">
        <v>1</v>
      </c>
      <c r="AM249" s="50">
        <v>1</v>
      </c>
      <c r="AN249" s="50">
        <v>3</v>
      </c>
      <c r="AO249" s="50">
        <v>3</v>
      </c>
      <c r="AP249" s="50">
        <v>5</v>
      </c>
      <c r="AQ249" s="50">
        <v>5</v>
      </c>
      <c r="AR249" s="50">
        <v>5</v>
      </c>
      <c r="AU249" s="39"/>
      <c r="AW249" s="39"/>
    </row>
    <row r="250" spans="1:49" x14ac:dyDescent="0.25">
      <c r="A250" s="40"/>
      <c r="B250" s="41">
        <v>7609</v>
      </c>
      <c r="C250" s="40" t="s">
        <v>287</v>
      </c>
      <c r="D250" s="42">
        <v>12664806</v>
      </c>
      <c r="E250" s="42">
        <v>17314831</v>
      </c>
      <c r="F250" s="42">
        <v>20683532</v>
      </c>
      <c r="G250" s="42">
        <v>29353494</v>
      </c>
      <c r="H250" s="42">
        <f t="shared" si="50"/>
        <v>20004166</v>
      </c>
      <c r="I250" s="42">
        <v>3808684.1300000004</v>
      </c>
      <c r="J250" s="43">
        <f t="shared" si="42"/>
        <v>0.19039454731579414</v>
      </c>
      <c r="K250" s="44">
        <v>21598714.990000002</v>
      </c>
      <c r="L250" s="45">
        <f t="shared" si="43"/>
        <v>1.0797108457308344</v>
      </c>
      <c r="M250" s="42">
        <v>0</v>
      </c>
      <c r="N250" s="45">
        <f t="shared" si="51"/>
        <v>0</v>
      </c>
      <c r="O250" s="44">
        <v>352806</v>
      </c>
      <c r="P250" s="44">
        <v>-1088570</v>
      </c>
      <c r="Q250" s="44">
        <v>-1938795</v>
      </c>
      <c r="R250" s="46">
        <v>0.72884000000000004</v>
      </c>
      <c r="S250" s="46">
        <v>0.71745999999999999</v>
      </c>
      <c r="T250" s="47">
        <f t="shared" si="52"/>
        <v>0.72319999999999995</v>
      </c>
      <c r="U250" s="48">
        <v>0</v>
      </c>
      <c r="V250" s="45">
        <f t="shared" si="44"/>
        <v>0</v>
      </c>
      <c r="W250" s="49"/>
      <c r="X250" s="50"/>
      <c r="Y250" s="51"/>
      <c r="Z250" s="52"/>
      <c r="AA250" s="45">
        <f t="shared" si="45"/>
        <v>0.19039454731579414</v>
      </c>
      <c r="AB250" s="45">
        <f t="shared" si="46"/>
        <v>1.0797108457308344</v>
      </c>
      <c r="AC250" s="45" t="str">
        <f t="shared" si="47"/>
        <v/>
      </c>
      <c r="AD250" s="53" t="str">
        <f t="shared" si="53"/>
        <v/>
      </c>
      <c r="AE250" s="45">
        <f t="shared" si="48"/>
        <v>0.72319999999999995</v>
      </c>
      <c r="AF250" s="36">
        <f t="shared" si="54"/>
        <v>3</v>
      </c>
      <c r="AG250" s="54">
        <f t="shared" si="49"/>
        <v>0</v>
      </c>
      <c r="AH250" s="32">
        <f t="shared" si="55"/>
        <v>1</v>
      </c>
      <c r="AI250" s="50"/>
      <c r="AJ250" s="50">
        <v>2</v>
      </c>
      <c r="AK250" s="50">
        <v>2</v>
      </c>
      <c r="AL250" s="50">
        <v>2</v>
      </c>
      <c r="AM250" s="50">
        <v>2</v>
      </c>
      <c r="AN250" s="50">
        <v>0</v>
      </c>
      <c r="AO250" s="50">
        <v>0</v>
      </c>
      <c r="AP250" s="50">
        <v>0</v>
      </c>
      <c r="AQ250" s="50">
        <v>0</v>
      </c>
      <c r="AR250" s="50">
        <v>0</v>
      </c>
      <c r="AU250" s="39"/>
      <c r="AW250" s="39"/>
    </row>
    <row r="251" spans="1:49" x14ac:dyDescent="0.25">
      <c r="A251" s="40"/>
      <c r="B251" s="41">
        <v>7610</v>
      </c>
      <c r="C251" s="40" t="s">
        <v>288</v>
      </c>
      <c r="D251" s="42">
        <v>25067198</v>
      </c>
      <c r="E251" s="42">
        <v>29012733</v>
      </c>
      <c r="F251" s="42">
        <v>37322302</v>
      </c>
      <c r="G251" s="42">
        <v>42313795</v>
      </c>
      <c r="H251" s="42">
        <f t="shared" si="50"/>
        <v>33429007</v>
      </c>
      <c r="I251" s="42">
        <v>394018.1999999999</v>
      </c>
      <c r="J251" s="43">
        <f t="shared" si="42"/>
        <v>1.1786715650871709E-2</v>
      </c>
      <c r="K251" s="44">
        <v>20960111.709999997</v>
      </c>
      <c r="L251" s="45">
        <f t="shared" si="43"/>
        <v>0.62700371895581575</v>
      </c>
      <c r="M251" s="42">
        <v>156924</v>
      </c>
      <c r="N251" s="45">
        <f t="shared" si="51"/>
        <v>3.7085777817848766E-3</v>
      </c>
      <c r="O251" s="44">
        <v>2395808</v>
      </c>
      <c r="P251" s="44">
        <v>-5495418</v>
      </c>
      <c r="Q251" s="44">
        <v>2756718</v>
      </c>
      <c r="R251" s="46">
        <v>0.84189000000000003</v>
      </c>
      <c r="S251" s="46">
        <v>0.76839000000000002</v>
      </c>
      <c r="T251" s="47">
        <f t="shared" si="52"/>
        <v>0.80510000000000004</v>
      </c>
      <c r="U251" s="48">
        <v>125712</v>
      </c>
      <c r="V251" s="45">
        <f t="shared" si="44"/>
        <v>2.9709459999983459E-3</v>
      </c>
      <c r="W251" s="49"/>
      <c r="X251" s="50"/>
      <c r="Y251" s="51"/>
      <c r="Z251" s="52"/>
      <c r="AA251" s="45" t="str">
        <f t="shared" si="45"/>
        <v/>
      </c>
      <c r="AB251" s="45">
        <f t="shared" si="46"/>
        <v>0.62700371895581575</v>
      </c>
      <c r="AC251" s="45" t="str">
        <f t="shared" si="47"/>
        <v/>
      </c>
      <c r="AD251" s="53" t="str">
        <f t="shared" si="53"/>
        <v/>
      </c>
      <c r="AE251" s="45" t="str">
        <f t="shared" si="48"/>
        <v/>
      </c>
      <c r="AF251" s="36">
        <f t="shared" si="54"/>
        <v>1</v>
      </c>
      <c r="AG251" s="54">
        <f t="shared" si="49"/>
        <v>0</v>
      </c>
      <c r="AH251" s="32" t="str">
        <f t="shared" si="55"/>
        <v/>
      </c>
      <c r="AI251" s="50"/>
      <c r="AJ251" s="50">
        <v>0</v>
      </c>
      <c r="AK251" s="50">
        <v>1</v>
      </c>
      <c r="AL251" s="50">
        <v>1</v>
      </c>
      <c r="AM251" s="50">
        <v>0</v>
      </c>
      <c r="AN251" s="50">
        <v>0</v>
      </c>
      <c r="AO251" s="50">
        <v>0</v>
      </c>
      <c r="AP251" s="50">
        <v>0</v>
      </c>
      <c r="AQ251" s="50">
        <v>0</v>
      </c>
      <c r="AR251" s="50">
        <v>0</v>
      </c>
      <c r="AU251" s="39"/>
      <c r="AW251" s="39"/>
    </row>
    <row r="252" spans="1:49" x14ac:dyDescent="0.25">
      <c r="A252" s="40"/>
      <c r="B252" s="41">
        <v>7611</v>
      </c>
      <c r="C252" s="40" t="s">
        <v>278</v>
      </c>
      <c r="D252" s="42">
        <v>100027775</v>
      </c>
      <c r="E252" s="42">
        <v>114540463</v>
      </c>
      <c r="F252" s="42">
        <v>139272533</v>
      </c>
      <c r="G252" s="42">
        <v>156990644</v>
      </c>
      <c r="H252" s="42">
        <f t="shared" si="50"/>
        <v>127707854</v>
      </c>
      <c r="I252" s="42">
        <v>3055230.840000005</v>
      </c>
      <c r="J252" s="43">
        <f t="shared" si="42"/>
        <v>2.3923593923988459E-2</v>
      </c>
      <c r="K252" s="44">
        <v>65739699.460000001</v>
      </c>
      <c r="L252" s="45">
        <f t="shared" si="43"/>
        <v>0.51476629980799771</v>
      </c>
      <c r="M252" s="42">
        <v>0</v>
      </c>
      <c r="N252" s="45">
        <f t="shared" si="51"/>
        <v>0</v>
      </c>
      <c r="O252" s="44">
        <v>-3194406</v>
      </c>
      <c r="P252" s="44">
        <v>5972031</v>
      </c>
      <c r="Q252" s="44">
        <v>-2122534</v>
      </c>
      <c r="R252" s="46">
        <v>0.86404000000000003</v>
      </c>
      <c r="S252" s="46">
        <v>0.75875999999999999</v>
      </c>
      <c r="T252" s="47">
        <f t="shared" si="52"/>
        <v>0.81140000000000001</v>
      </c>
      <c r="U252" s="48">
        <v>0</v>
      </c>
      <c r="V252" s="45">
        <f t="shared" si="44"/>
        <v>0</v>
      </c>
      <c r="W252" s="49"/>
      <c r="X252" s="50"/>
      <c r="Y252" s="51"/>
      <c r="Z252" s="52"/>
      <c r="AA252" s="45" t="str">
        <f t="shared" si="45"/>
        <v/>
      </c>
      <c r="AB252" s="45">
        <f t="shared" si="46"/>
        <v>0.51476629980799771</v>
      </c>
      <c r="AC252" s="45" t="str">
        <f t="shared" si="47"/>
        <v/>
      </c>
      <c r="AD252" s="53" t="str">
        <f t="shared" si="53"/>
        <v/>
      </c>
      <c r="AE252" s="45" t="str">
        <f t="shared" si="48"/>
        <v/>
      </c>
      <c r="AF252" s="36">
        <f t="shared" si="54"/>
        <v>1</v>
      </c>
      <c r="AG252" s="54">
        <f t="shared" si="49"/>
        <v>0</v>
      </c>
      <c r="AH252" s="32" t="str">
        <f t="shared" si="55"/>
        <v/>
      </c>
      <c r="AI252" s="50"/>
      <c r="AJ252" s="50">
        <v>1</v>
      </c>
      <c r="AK252" s="50">
        <v>1</v>
      </c>
      <c r="AL252" s="50">
        <v>1</v>
      </c>
      <c r="AM252" s="50">
        <v>1</v>
      </c>
      <c r="AN252" s="50">
        <v>0</v>
      </c>
      <c r="AO252" s="50">
        <v>1</v>
      </c>
      <c r="AP252" s="50">
        <v>1</v>
      </c>
      <c r="AQ252" s="50">
        <v>0</v>
      </c>
      <c r="AR252" s="50">
        <v>0</v>
      </c>
      <c r="AU252" s="39"/>
      <c r="AW252" s="39"/>
    </row>
    <row r="253" spans="1:49" x14ac:dyDescent="0.25">
      <c r="A253" s="40" t="s">
        <v>289</v>
      </c>
      <c r="B253" s="41">
        <v>7701</v>
      </c>
      <c r="C253" s="40" t="s">
        <v>290</v>
      </c>
      <c r="D253" s="42">
        <v>13953703</v>
      </c>
      <c r="E253" s="42">
        <v>15572276</v>
      </c>
      <c r="F253" s="42">
        <v>20053044</v>
      </c>
      <c r="G253" s="42">
        <v>20631962</v>
      </c>
      <c r="H253" s="42">
        <f t="shared" si="50"/>
        <v>17552746</v>
      </c>
      <c r="I253" s="42">
        <v>4430650.1000000006</v>
      </c>
      <c r="J253" s="43">
        <f t="shared" si="42"/>
        <v>0.25241919982206779</v>
      </c>
      <c r="K253" s="44">
        <v>10142171.34</v>
      </c>
      <c r="L253" s="45">
        <f t="shared" si="43"/>
        <v>0.57781109234988071</v>
      </c>
      <c r="M253" s="42">
        <v>13855</v>
      </c>
      <c r="N253" s="45">
        <f t="shared" si="51"/>
        <v>6.715308994849835E-4</v>
      </c>
      <c r="O253" s="44">
        <v>256465</v>
      </c>
      <c r="P253" s="44">
        <v>185721</v>
      </c>
      <c r="Q253" s="44">
        <v>-116498</v>
      </c>
      <c r="R253" s="46">
        <v>0.83796000000000004</v>
      </c>
      <c r="S253" s="46">
        <v>0.75061999999999995</v>
      </c>
      <c r="T253" s="47">
        <f t="shared" si="52"/>
        <v>0.79430000000000001</v>
      </c>
      <c r="U253" s="48">
        <v>0</v>
      </c>
      <c r="V253" s="45">
        <f t="shared" si="44"/>
        <v>0</v>
      </c>
      <c r="W253" s="49"/>
      <c r="X253" s="50"/>
      <c r="Y253" s="51"/>
      <c r="Z253" s="52"/>
      <c r="AA253" s="45">
        <f t="shared" si="45"/>
        <v>0.25241919982206779</v>
      </c>
      <c r="AB253" s="45">
        <f t="shared" si="46"/>
        <v>0.57781109234988071</v>
      </c>
      <c r="AC253" s="45" t="str">
        <f t="shared" si="47"/>
        <v/>
      </c>
      <c r="AD253" s="53" t="str">
        <f t="shared" si="53"/>
        <v/>
      </c>
      <c r="AE253" s="45" t="str">
        <f t="shared" si="48"/>
        <v/>
      </c>
      <c r="AF253" s="36">
        <f t="shared" si="54"/>
        <v>2</v>
      </c>
      <c r="AG253" s="54">
        <f t="shared" si="49"/>
        <v>0</v>
      </c>
      <c r="AH253" s="32" t="str">
        <f t="shared" si="55"/>
        <v/>
      </c>
      <c r="AI253" s="50"/>
      <c r="AJ253" s="50">
        <v>0</v>
      </c>
      <c r="AK253" s="50">
        <v>0</v>
      </c>
      <c r="AL253" s="50">
        <v>0</v>
      </c>
      <c r="AM253" s="50">
        <v>0</v>
      </c>
      <c r="AN253" s="50">
        <v>0</v>
      </c>
      <c r="AO253" s="50">
        <v>0</v>
      </c>
      <c r="AP253" s="50">
        <v>0</v>
      </c>
      <c r="AQ253" s="50">
        <v>0</v>
      </c>
      <c r="AR253" s="50">
        <v>1</v>
      </c>
      <c r="AU253" s="39"/>
      <c r="AW253" s="39"/>
    </row>
    <row r="254" spans="1:49" x14ac:dyDescent="0.25">
      <c r="A254" s="40"/>
      <c r="B254" s="41">
        <v>7702</v>
      </c>
      <c r="C254" s="40" t="s">
        <v>291</v>
      </c>
      <c r="D254" s="42">
        <v>8996028</v>
      </c>
      <c r="E254" s="42">
        <v>10950999</v>
      </c>
      <c r="F254" s="42">
        <v>15532774</v>
      </c>
      <c r="G254" s="42">
        <v>13016086</v>
      </c>
      <c r="H254" s="42">
        <f t="shared" si="50"/>
        <v>12123972</v>
      </c>
      <c r="I254" s="42">
        <v>806751.84999999951</v>
      </c>
      <c r="J254" s="43">
        <f t="shared" si="42"/>
        <v>6.6541876705092984E-2</v>
      </c>
      <c r="K254" s="44">
        <v>7260984.1999999993</v>
      </c>
      <c r="L254" s="45">
        <f t="shared" si="43"/>
        <v>0.59889483413521571</v>
      </c>
      <c r="M254" s="42">
        <v>0</v>
      </c>
      <c r="N254" s="45">
        <f t="shared" si="51"/>
        <v>0</v>
      </c>
      <c r="O254" s="44">
        <v>2868013</v>
      </c>
      <c r="P254" s="44">
        <v>-3463009</v>
      </c>
      <c r="Q254" s="44">
        <v>-762080</v>
      </c>
      <c r="R254" s="46">
        <v>0.93777999999999995</v>
      </c>
      <c r="S254" s="46">
        <v>0.74714000000000003</v>
      </c>
      <c r="T254" s="47">
        <f t="shared" si="52"/>
        <v>0.84250000000000003</v>
      </c>
      <c r="U254" s="48">
        <v>0</v>
      </c>
      <c r="V254" s="45">
        <f t="shared" si="44"/>
        <v>0</v>
      </c>
      <c r="W254" s="49"/>
      <c r="X254" s="50"/>
      <c r="Y254" s="51"/>
      <c r="Z254" s="52"/>
      <c r="AA254" s="45" t="str">
        <f t="shared" si="45"/>
        <v/>
      </c>
      <c r="AB254" s="45">
        <f t="shared" si="46"/>
        <v>0.59889483413521571</v>
      </c>
      <c r="AC254" s="45" t="str">
        <f t="shared" si="47"/>
        <v/>
      </c>
      <c r="AD254" s="53" t="str">
        <f t="shared" si="53"/>
        <v/>
      </c>
      <c r="AE254" s="45" t="str">
        <f t="shared" si="48"/>
        <v/>
      </c>
      <c r="AF254" s="36">
        <f t="shared" si="54"/>
        <v>1</v>
      </c>
      <c r="AG254" s="54">
        <f t="shared" si="49"/>
        <v>0</v>
      </c>
      <c r="AH254" s="32" t="str">
        <f t="shared" si="55"/>
        <v/>
      </c>
      <c r="AI254" s="50"/>
      <c r="AJ254" s="50">
        <v>1</v>
      </c>
      <c r="AK254" s="50">
        <v>0</v>
      </c>
      <c r="AL254" s="50">
        <v>1</v>
      </c>
      <c r="AM254" s="50">
        <v>1</v>
      </c>
      <c r="AN254" s="50">
        <v>0</v>
      </c>
      <c r="AO254" s="50">
        <v>0</v>
      </c>
      <c r="AP254" s="50">
        <v>0</v>
      </c>
      <c r="AQ254" s="50">
        <v>0</v>
      </c>
      <c r="AR254" s="50">
        <v>1</v>
      </c>
      <c r="AU254" s="39"/>
      <c r="AW254" s="39"/>
    </row>
    <row r="255" spans="1:49" x14ac:dyDescent="0.25">
      <c r="A255" s="40"/>
      <c r="B255" s="41">
        <v>7703</v>
      </c>
      <c r="C255" s="40" t="s">
        <v>292</v>
      </c>
      <c r="D255" s="42">
        <v>11914552</v>
      </c>
      <c r="E255" s="42">
        <v>14617520</v>
      </c>
      <c r="F255" s="42">
        <v>16443203</v>
      </c>
      <c r="G255" s="42">
        <v>20757500</v>
      </c>
      <c r="H255" s="42">
        <f t="shared" si="50"/>
        <v>15933194</v>
      </c>
      <c r="I255" s="42">
        <v>111478.1800000018</v>
      </c>
      <c r="J255" s="43">
        <f t="shared" si="42"/>
        <v>6.9965996773780443E-3</v>
      </c>
      <c r="K255" s="44">
        <v>2083663.9299999997</v>
      </c>
      <c r="L255" s="45">
        <f t="shared" si="43"/>
        <v>0.13077503041763</v>
      </c>
      <c r="M255" s="42">
        <v>15635</v>
      </c>
      <c r="N255" s="45">
        <f t="shared" si="51"/>
        <v>7.5322172708659524E-4</v>
      </c>
      <c r="O255" s="44">
        <v>801694</v>
      </c>
      <c r="P255" s="44">
        <v>2304401</v>
      </c>
      <c r="Q255" s="44">
        <v>-3959551</v>
      </c>
      <c r="R255" s="46">
        <v>0.74439</v>
      </c>
      <c r="S255" s="46">
        <v>0.67344999999999999</v>
      </c>
      <c r="T255" s="47">
        <f t="shared" si="52"/>
        <v>0.70889999999999997</v>
      </c>
      <c r="U255" s="48">
        <v>0</v>
      </c>
      <c r="V255" s="45">
        <f t="shared" si="44"/>
        <v>0</v>
      </c>
      <c r="W255" s="49"/>
      <c r="X255" s="50"/>
      <c r="Y255" s="51"/>
      <c r="Z255" s="52"/>
      <c r="AA255" s="45" t="str">
        <f t="shared" si="45"/>
        <v/>
      </c>
      <c r="AB255" s="45" t="str">
        <f t="shared" si="46"/>
        <v/>
      </c>
      <c r="AC255" s="45" t="str">
        <f t="shared" si="47"/>
        <v/>
      </c>
      <c r="AD255" s="53" t="str">
        <f t="shared" si="53"/>
        <v/>
      </c>
      <c r="AE255" s="45">
        <f t="shared" si="48"/>
        <v>0.70889999999999997</v>
      </c>
      <c r="AF255" s="36">
        <f t="shared" si="54"/>
        <v>1</v>
      </c>
      <c r="AG255" s="54">
        <f t="shared" si="49"/>
        <v>0</v>
      </c>
      <c r="AH255" s="32" t="str">
        <f t="shared" si="55"/>
        <v/>
      </c>
      <c r="AI255" s="50"/>
      <c r="AJ255" s="50">
        <v>1</v>
      </c>
      <c r="AK255" s="50">
        <v>2</v>
      </c>
      <c r="AL255" s="50">
        <v>2</v>
      </c>
      <c r="AM255" s="50">
        <v>2</v>
      </c>
      <c r="AN255" s="50">
        <v>1</v>
      </c>
      <c r="AO255" s="50">
        <v>1</v>
      </c>
      <c r="AP255" s="50">
        <v>1</v>
      </c>
      <c r="AQ255" s="50">
        <v>1</v>
      </c>
      <c r="AR255" s="50">
        <v>1</v>
      </c>
      <c r="AU255" s="39"/>
      <c r="AW255" s="39"/>
    </row>
    <row r="256" spans="1:49" x14ac:dyDescent="0.25">
      <c r="A256" s="40"/>
      <c r="B256" s="41">
        <v>7704</v>
      </c>
      <c r="C256" s="40" t="s">
        <v>293</v>
      </c>
      <c r="D256" s="42">
        <v>15159680</v>
      </c>
      <c r="E256" s="42">
        <v>16177177</v>
      </c>
      <c r="F256" s="42">
        <v>23043293</v>
      </c>
      <c r="G256" s="42">
        <v>24481361</v>
      </c>
      <c r="H256" s="42">
        <f t="shared" si="50"/>
        <v>19715378</v>
      </c>
      <c r="I256" s="42">
        <v>211551.34999999905</v>
      </c>
      <c r="J256" s="43">
        <f t="shared" si="42"/>
        <v>1.0730271060488876E-2</v>
      </c>
      <c r="K256" s="44">
        <v>4560771.5199999996</v>
      </c>
      <c r="L256" s="45">
        <f t="shared" si="43"/>
        <v>0.23133066583861592</v>
      </c>
      <c r="M256" s="42">
        <v>0</v>
      </c>
      <c r="N256" s="45">
        <f t="shared" si="51"/>
        <v>0</v>
      </c>
      <c r="O256" s="44">
        <v>1954460</v>
      </c>
      <c r="P256" s="44">
        <v>-2633923</v>
      </c>
      <c r="Q256" s="44">
        <v>-970391</v>
      </c>
      <c r="R256" s="46">
        <v>0.67957000000000001</v>
      </c>
      <c r="S256" s="46">
        <v>0.59584999999999999</v>
      </c>
      <c r="T256" s="47">
        <f t="shared" si="52"/>
        <v>0.63770000000000004</v>
      </c>
      <c r="U256" s="48">
        <v>0</v>
      </c>
      <c r="V256" s="45">
        <f t="shared" si="44"/>
        <v>0</v>
      </c>
      <c r="W256" s="49"/>
      <c r="X256" s="50"/>
      <c r="Y256" s="51"/>
      <c r="Z256" s="52"/>
      <c r="AA256" s="45" t="str">
        <f t="shared" si="45"/>
        <v/>
      </c>
      <c r="AB256" s="45" t="str">
        <f t="shared" si="46"/>
        <v/>
      </c>
      <c r="AC256" s="45" t="str">
        <f t="shared" si="47"/>
        <v/>
      </c>
      <c r="AD256" s="53" t="str">
        <f t="shared" si="53"/>
        <v/>
      </c>
      <c r="AE256" s="45">
        <f t="shared" si="48"/>
        <v>0.63770000000000004</v>
      </c>
      <c r="AF256" s="36">
        <f t="shared" si="54"/>
        <v>1</v>
      </c>
      <c r="AG256" s="54">
        <f t="shared" si="49"/>
        <v>0</v>
      </c>
      <c r="AH256" s="32" t="str">
        <f t="shared" si="55"/>
        <v/>
      </c>
      <c r="AI256" s="50"/>
      <c r="AJ256" s="50">
        <v>1</v>
      </c>
      <c r="AK256" s="50">
        <v>1</v>
      </c>
      <c r="AL256" s="50">
        <v>1</v>
      </c>
      <c r="AM256" s="50">
        <v>1</v>
      </c>
      <c r="AN256" s="50">
        <v>1</v>
      </c>
      <c r="AO256" s="50">
        <v>1</v>
      </c>
      <c r="AP256" s="50">
        <v>1</v>
      </c>
      <c r="AQ256" s="50">
        <v>2</v>
      </c>
      <c r="AR256" s="50">
        <v>1</v>
      </c>
      <c r="AU256" s="39"/>
      <c r="AW256" s="39"/>
    </row>
    <row r="257" spans="1:49" x14ac:dyDescent="0.25">
      <c r="A257" s="40"/>
      <c r="B257" s="41">
        <v>7705</v>
      </c>
      <c r="C257" s="40" t="s">
        <v>294</v>
      </c>
      <c r="D257" s="42">
        <v>9874117</v>
      </c>
      <c r="E257" s="42">
        <v>12490621</v>
      </c>
      <c r="F257" s="42">
        <v>14340087</v>
      </c>
      <c r="G257" s="42">
        <v>16077061</v>
      </c>
      <c r="H257" s="42">
        <f t="shared" si="50"/>
        <v>13195472</v>
      </c>
      <c r="I257" s="42">
        <v>2091694.8399999989</v>
      </c>
      <c r="J257" s="43">
        <f t="shared" si="42"/>
        <v>0.15851610613095152</v>
      </c>
      <c r="K257" s="44">
        <v>8930332.1199999992</v>
      </c>
      <c r="L257" s="45">
        <f t="shared" si="43"/>
        <v>0.67677246558516435</v>
      </c>
      <c r="M257" s="42">
        <v>0</v>
      </c>
      <c r="N257" s="45">
        <f t="shared" si="51"/>
        <v>0</v>
      </c>
      <c r="O257" s="44">
        <v>-809647</v>
      </c>
      <c r="P257" s="44">
        <v>-370701</v>
      </c>
      <c r="Q257" s="44">
        <v>-774738</v>
      </c>
      <c r="R257" s="46">
        <v>0.85272000000000003</v>
      </c>
      <c r="S257" s="46">
        <v>0.67308000000000001</v>
      </c>
      <c r="T257" s="47">
        <f t="shared" si="52"/>
        <v>0.76290000000000002</v>
      </c>
      <c r="U257" s="48">
        <v>0</v>
      </c>
      <c r="V257" s="45">
        <f t="shared" si="44"/>
        <v>0</v>
      </c>
      <c r="W257" s="49"/>
      <c r="X257" s="50"/>
      <c r="Y257" s="51"/>
      <c r="Z257" s="52"/>
      <c r="AA257" s="45">
        <f t="shared" si="45"/>
        <v>0.15851610613095152</v>
      </c>
      <c r="AB257" s="45">
        <f t="shared" si="46"/>
        <v>0.67677246558516435</v>
      </c>
      <c r="AC257" s="45" t="str">
        <f t="shared" si="47"/>
        <v/>
      </c>
      <c r="AD257" s="53" t="str">
        <f t="shared" si="53"/>
        <v>да</v>
      </c>
      <c r="AE257" s="45" t="str">
        <f t="shared" si="48"/>
        <v/>
      </c>
      <c r="AF257" s="36">
        <f t="shared" si="54"/>
        <v>3</v>
      </c>
      <c r="AG257" s="54">
        <f t="shared" si="49"/>
        <v>0</v>
      </c>
      <c r="AH257" s="32">
        <f t="shared" si="55"/>
        <v>1</v>
      </c>
      <c r="AI257" s="50"/>
      <c r="AJ257" s="50">
        <v>1</v>
      </c>
      <c r="AK257" s="50">
        <v>1</v>
      </c>
      <c r="AL257" s="50">
        <v>0</v>
      </c>
      <c r="AM257" s="50">
        <v>0</v>
      </c>
      <c r="AN257" s="50">
        <v>1</v>
      </c>
      <c r="AO257" s="50">
        <v>0</v>
      </c>
      <c r="AP257" s="50">
        <v>1</v>
      </c>
      <c r="AQ257" s="50">
        <v>0</v>
      </c>
      <c r="AR257" s="50">
        <v>0</v>
      </c>
      <c r="AU257" s="39"/>
      <c r="AW257" s="39"/>
    </row>
    <row r="258" spans="1:49" x14ac:dyDescent="0.25">
      <c r="A258" s="40"/>
      <c r="B258" s="41">
        <v>7706</v>
      </c>
      <c r="C258" s="40" t="s">
        <v>295</v>
      </c>
      <c r="D258" s="42">
        <v>9240217</v>
      </c>
      <c r="E258" s="42">
        <v>14261710</v>
      </c>
      <c r="F258" s="42">
        <v>13157593</v>
      </c>
      <c r="G258" s="42">
        <v>14149447</v>
      </c>
      <c r="H258" s="42">
        <f t="shared" si="50"/>
        <v>12702242</v>
      </c>
      <c r="I258" s="42">
        <v>673598.41000000015</v>
      </c>
      <c r="J258" s="43">
        <f t="shared" si="42"/>
        <v>5.3029883228488339E-2</v>
      </c>
      <c r="K258" s="44">
        <v>5232895.53</v>
      </c>
      <c r="L258" s="45">
        <f t="shared" si="43"/>
        <v>0.41196629146256231</v>
      </c>
      <c r="M258" s="42">
        <v>0</v>
      </c>
      <c r="N258" s="45">
        <f t="shared" si="51"/>
        <v>0</v>
      </c>
      <c r="O258" s="44">
        <v>-2941087</v>
      </c>
      <c r="P258" s="44">
        <v>147189</v>
      </c>
      <c r="Q258" s="44">
        <v>-19275</v>
      </c>
      <c r="R258" s="46">
        <v>0.65434000000000003</v>
      </c>
      <c r="S258" s="46">
        <v>0.65783000000000003</v>
      </c>
      <c r="T258" s="47">
        <f t="shared" si="52"/>
        <v>0.65610000000000002</v>
      </c>
      <c r="U258" s="48">
        <v>0</v>
      </c>
      <c r="V258" s="45">
        <f t="shared" si="44"/>
        <v>0</v>
      </c>
      <c r="W258" s="49"/>
      <c r="X258" s="50"/>
      <c r="Y258" s="51">
        <v>0.1777</v>
      </c>
      <c r="Z258" s="52"/>
      <c r="AA258" s="45" t="str">
        <f t="shared" si="45"/>
        <v/>
      </c>
      <c r="AB258" s="45" t="str">
        <f t="shared" si="46"/>
        <v/>
      </c>
      <c r="AC258" s="45" t="str">
        <f t="shared" si="47"/>
        <v/>
      </c>
      <c r="AD258" s="53" t="str">
        <f t="shared" si="53"/>
        <v/>
      </c>
      <c r="AE258" s="45">
        <f t="shared" si="48"/>
        <v>0.65610000000000002</v>
      </c>
      <c r="AF258" s="36">
        <f t="shared" si="54"/>
        <v>2</v>
      </c>
      <c r="AG258" s="54">
        <f t="shared" si="49"/>
        <v>0</v>
      </c>
      <c r="AH258" s="32" t="str">
        <f t="shared" si="55"/>
        <v/>
      </c>
      <c r="AI258" s="50"/>
      <c r="AJ258" s="50">
        <v>1</v>
      </c>
      <c r="AK258" s="50">
        <v>1</v>
      </c>
      <c r="AL258" s="50">
        <v>1</v>
      </c>
      <c r="AM258" s="50">
        <v>1</v>
      </c>
      <c r="AN258" s="50">
        <v>1</v>
      </c>
      <c r="AO258" s="50">
        <v>1</v>
      </c>
      <c r="AP258" s="50">
        <v>1</v>
      </c>
      <c r="AQ258" s="50">
        <v>0</v>
      </c>
      <c r="AR258" s="50">
        <v>1</v>
      </c>
      <c r="AU258" s="39"/>
      <c r="AW258" s="39"/>
    </row>
    <row r="259" spans="1:49" x14ac:dyDescent="0.25">
      <c r="A259" s="40"/>
      <c r="B259" s="41">
        <v>7707</v>
      </c>
      <c r="C259" s="40" t="s">
        <v>296</v>
      </c>
      <c r="D259" s="42">
        <v>25452920</v>
      </c>
      <c r="E259" s="42">
        <v>31176958</v>
      </c>
      <c r="F259" s="42">
        <v>32797603</v>
      </c>
      <c r="G259" s="42">
        <v>36296337</v>
      </c>
      <c r="H259" s="42">
        <f t="shared" si="50"/>
        <v>31430955</v>
      </c>
      <c r="I259" s="42">
        <v>645143.87000000093</v>
      </c>
      <c r="J259" s="43">
        <f t="shared" ref="J259:J268" si="56">+I259/$H259</f>
        <v>2.0525748263137435E-2</v>
      </c>
      <c r="K259" s="44">
        <v>6949404.9900000002</v>
      </c>
      <c r="L259" s="45">
        <f t="shared" ref="L259:L268" si="57">+K259/$H259</f>
        <v>0.22110066302471562</v>
      </c>
      <c r="M259" s="42">
        <v>0</v>
      </c>
      <c r="N259" s="45">
        <f t="shared" si="51"/>
        <v>0</v>
      </c>
      <c r="O259" s="44">
        <v>-3695671</v>
      </c>
      <c r="P259" s="44">
        <v>-2672530</v>
      </c>
      <c r="Q259" s="44">
        <v>21150</v>
      </c>
      <c r="R259" s="46">
        <v>0.80752999999999997</v>
      </c>
      <c r="S259" s="46">
        <v>0.63222999999999996</v>
      </c>
      <c r="T259" s="47">
        <f t="shared" si="52"/>
        <v>0.71989999999999998</v>
      </c>
      <c r="U259" s="48">
        <v>0</v>
      </c>
      <c r="V259" s="45">
        <f t="shared" ref="V259:V268" si="58">+U259/G259</f>
        <v>0</v>
      </c>
      <c r="W259" s="49"/>
      <c r="X259" s="50"/>
      <c r="Y259" s="51"/>
      <c r="Z259" s="52"/>
      <c r="AA259" s="45" t="str">
        <f t="shared" ref="AA259:AA267" si="59">IF(J259&gt;15%,J259,"")</f>
        <v/>
      </c>
      <c r="AB259" s="45" t="str">
        <f t="shared" ref="AB259:AB267" si="60">IF(L259&gt;50%,L259,"")</f>
        <v/>
      </c>
      <c r="AC259" s="45" t="str">
        <f t="shared" ref="AC259:AC267" si="61">IF(N259&gt;5%,N259,"")</f>
        <v/>
      </c>
      <c r="AD259" s="53" t="str">
        <f t="shared" si="53"/>
        <v/>
      </c>
      <c r="AE259" s="45">
        <f t="shared" ref="AE259:AE267" si="62">IF(T259&lt;T$268,T259,"")</f>
        <v>0.71989999999999998</v>
      </c>
      <c r="AF259" s="36">
        <f t="shared" si="54"/>
        <v>1</v>
      </c>
      <c r="AG259" s="54">
        <f t="shared" ref="AG259:AG267" si="63">IF(V259&gt;50%,V259,0)</f>
        <v>0</v>
      </c>
      <c r="AH259" s="32" t="str">
        <f t="shared" si="55"/>
        <v/>
      </c>
      <c r="AI259" s="50"/>
      <c r="AJ259" s="50">
        <v>1</v>
      </c>
      <c r="AK259" s="50">
        <v>1</v>
      </c>
      <c r="AL259" s="50">
        <v>1</v>
      </c>
      <c r="AM259" s="50">
        <v>1</v>
      </c>
      <c r="AN259" s="50">
        <v>1</v>
      </c>
      <c r="AO259" s="50">
        <v>1</v>
      </c>
      <c r="AP259" s="50">
        <v>1</v>
      </c>
      <c r="AQ259" s="50">
        <v>1</v>
      </c>
      <c r="AR259" s="50">
        <v>2</v>
      </c>
      <c r="AU259" s="39"/>
      <c r="AW259" s="39"/>
    </row>
    <row r="260" spans="1:49" x14ac:dyDescent="0.25">
      <c r="A260" s="40"/>
      <c r="B260" s="41">
        <v>7708</v>
      </c>
      <c r="C260" s="40" t="s">
        <v>297</v>
      </c>
      <c r="D260" s="42">
        <v>9533933</v>
      </c>
      <c r="E260" s="42">
        <v>11222971</v>
      </c>
      <c r="F260" s="42">
        <v>15600839</v>
      </c>
      <c r="G260" s="42">
        <v>16625816</v>
      </c>
      <c r="H260" s="42">
        <f t="shared" ref="H260:H267" si="64">ROUND((+F260+E260+D260+G260)/4,0)</f>
        <v>13245890</v>
      </c>
      <c r="I260" s="42">
        <v>397028.30999999965</v>
      </c>
      <c r="J260" s="43">
        <f t="shared" si="56"/>
        <v>2.9973698256591262E-2</v>
      </c>
      <c r="K260" s="44">
        <v>4388059.93</v>
      </c>
      <c r="L260" s="45">
        <f t="shared" si="57"/>
        <v>0.33127709274348494</v>
      </c>
      <c r="M260" s="42">
        <v>0</v>
      </c>
      <c r="N260" s="45">
        <f t="shared" ref="N260:N268" si="65">+M260/G260</f>
        <v>0</v>
      </c>
      <c r="O260" s="44">
        <v>2044659</v>
      </c>
      <c r="P260" s="44">
        <v>-655429</v>
      </c>
      <c r="Q260" s="44">
        <v>419389</v>
      </c>
      <c r="R260" s="46">
        <v>0.86560999999999999</v>
      </c>
      <c r="S260" s="46">
        <v>0.72623000000000004</v>
      </c>
      <c r="T260" s="47">
        <f t="shared" ref="T260:T267" si="66">+ROUND(AVERAGE(R260:S260),4)</f>
        <v>0.79590000000000005</v>
      </c>
      <c r="U260" s="48">
        <v>0</v>
      </c>
      <c r="V260" s="45">
        <f t="shared" si="58"/>
        <v>0</v>
      </c>
      <c r="W260" s="49"/>
      <c r="X260" s="50"/>
      <c r="Y260" s="51"/>
      <c r="Z260" s="52"/>
      <c r="AA260" s="45" t="str">
        <f t="shared" si="59"/>
        <v/>
      </c>
      <c r="AB260" s="45" t="str">
        <f t="shared" si="60"/>
        <v/>
      </c>
      <c r="AC260" s="45" t="str">
        <f t="shared" si="61"/>
        <v/>
      </c>
      <c r="AD260" s="53" t="str">
        <f t="shared" ref="AD260:AD267" si="67">IF(AND(Q260&lt;0,O260&lt;0,P260&lt;0),"да","")</f>
        <v/>
      </c>
      <c r="AE260" s="45" t="str">
        <f t="shared" si="62"/>
        <v/>
      </c>
      <c r="AF260" s="36">
        <f t="shared" ref="AF260:AF267" si="68">COUNTIF(Y260:AC260,"&gt;0")+COUNTIF(AD260,"да")+COUNTIF(AE260,"&gt;0")</f>
        <v>0</v>
      </c>
      <c r="AG260" s="54">
        <f t="shared" si="63"/>
        <v>0</v>
      </c>
      <c r="AH260" s="32" t="str">
        <f t="shared" ref="AH260:AH267" si="69">+IF(OR(AF260&gt;2,AG260&gt;50%),1,"")</f>
        <v/>
      </c>
      <c r="AI260" s="50"/>
      <c r="AJ260" s="50">
        <v>0</v>
      </c>
      <c r="AK260" s="50">
        <v>0</v>
      </c>
      <c r="AL260" s="50">
        <v>0</v>
      </c>
      <c r="AM260" s="50">
        <v>0</v>
      </c>
      <c r="AN260" s="50">
        <v>0</v>
      </c>
      <c r="AO260" s="50">
        <v>0</v>
      </c>
      <c r="AP260" s="50">
        <v>0</v>
      </c>
      <c r="AQ260" s="50">
        <v>0</v>
      </c>
      <c r="AR260" s="50">
        <v>0</v>
      </c>
      <c r="AU260" s="39"/>
      <c r="AW260" s="39"/>
    </row>
    <row r="261" spans="1:49" x14ac:dyDescent="0.25">
      <c r="A261" s="40"/>
      <c r="B261" s="41">
        <v>7709</v>
      </c>
      <c r="C261" s="40" t="s">
        <v>298</v>
      </c>
      <c r="D261" s="42">
        <v>8216586</v>
      </c>
      <c r="E261" s="42">
        <v>9673511</v>
      </c>
      <c r="F261" s="42">
        <v>12861426</v>
      </c>
      <c r="G261" s="42">
        <v>11457202</v>
      </c>
      <c r="H261" s="42">
        <f t="shared" si="64"/>
        <v>10552181</v>
      </c>
      <c r="I261" s="42">
        <v>621213.89999999991</v>
      </c>
      <c r="J261" s="43">
        <f t="shared" si="56"/>
        <v>5.8870663799265754E-2</v>
      </c>
      <c r="K261" s="42">
        <v>12445869.759999998</v>
      </c>
      <c r="L261" s="45">
        <f t="shared" si="57"/>
        <v>1.1794594652991641</v>
      </c>
      <c r="M261" s="42">
        <v>0</v>
      </c>
      <c r="N261" s="45">
        <f t="shared" si="65"/>
        <v>0</v>
      </c>
      <c r="O261" s="44">
        <v>145336</v>
      </c>
      <c r="P261" s="44">
        <v>-603809</v>
      </c>
      <c r="Q261" s="44">
        <v>322051</v>
      </c>
      <c r="R261" s="46">
        <v>0.89002999999999999</v>
      </c>
      <c r="S261" s="46">
        <v>0.79256000000000004</v>
      </c>
      <c r="T261" s="47">
        <f t="shared" si="66"/>
        <v>0.84130000000000005</v>
      </c>
      <c r="U261" s="48">
        <v>0</v>
      </c>
      <c r="V261" s="45">
        <f t="shared" si="58"/>
        <v>0</v>
      </c>
      <c r="W261" s="49"/>
      <c r="X261" s="50"/>
      <c r="Y261" s="51"/>
      <c r="Z261" s="52"/>
      <c r="AA261" s="45" t="str">
        <f t="shared" si="59"/>
        <v/>
      </c>
      <c r="AB261" s="45">
        <f t="shared" si="60"/>
        <v>1.1794594652991641</v>
      </c>
      <c r="AC261" s="45" t="str">
        <f t="shared" si="61"/>
        <v/>
      </c>
      <c r="AD261" s="53" t="str">
        <f t="shared" si="67"/>
        <v/>
      </c>
      <c r="AE261" s="45" t="str">
        <f t="shared" si="62"/>
        <v/>
      </c>
      <c r="AF261" s="36">
        <f t="shared" si="68"/>
        <v>1</v>
      </c>
      <c r="AG261" s="54">
        <f t="shared" si="63"/>
        <v>0</v>
      </c>
      <c r="AH261" s="32" t="str">
        <f t="shared" si="69"/>
        <v/>
      </c>
      <c r="AI261" s="50"/>
      <c r="AJ261" s="50">
        <v>1</v>
      </c>
      <c r="AK261" s="50">
        <v>0</v>
      </c>
      <c r="AL261" s="50">
        <v>1</v>
      </c>
      <c r="AM261" s="50">
        <v>1</v>
      </c>
      <c r="AN261" s="50">
        <v>1</v>
      </c>
      <c r="AO261" s="50">
        <v>0</v>
      </c>
      <c r="AP261" s="50">
        <v>0</v>
      </c>
      <c r="AQ261" s="50">
        <v>0</v>
      </c>
      <c r="AR261" s="50">
        <v>1</v>
      </c>
      <c r="AU261" s="39"/>
      <c r="AW261" s="39"/>
    </row>
    <row r="262" spans="1:49" x14ac:dyDescent="0.25">
      <c r="A262" s="40"/>
      <c r="B262" s="41">
        <v>7710</v>
      </c>
      <c r="C262" s="40" t="s">
        <v>289</v>
      </c>
      <c r="D262" s="42">
        <v>103472088</v>
      </c>
      <c r="E262" s="42">
        <v>119091080</v>
      </c>
      <c r="F262" s="42">
        <v>152078431</v>
      </c>
      <c r="G262" s="42">
        <v>163663862</v>
      </c>
      <c r="H262" s="42">
        <f t="shared" si="64"/>
        <v>134576365</v>
      </c>
      <c r="I262" s="42">
        <v>3777651.8699999927</v>
      </c>
      <c r="J262" s="43">
        <f t="shared" si="56"/>
        <v>2.8070693319737033E-2</v>
      </c>
      <c r="K262" s="44">
        <v>76423211</v>
      </c>
      <c r="L262" s="45">
        <f t="shared" si="57"/>
        <v>0.56787988737844119</v>
      </c>
      <c r="M262" s="42">
        <v>0</v>
      </c>
      <c r="N262" s="45">
        <f t="shared" si="65"/>
        <v>0</v>
      </c>
      <c r="O262" s="44">
        <v>5686827</v>
      </c>
      <c r="P262" s="44">
        <v>-14594905</v>
      </c>
      <c r="Q262" s="44">
        <v>3202439</v>
      </c>
      <c r="R262" s="46">
        <v>0.87653000000000003</v>
      </c>
      <c r="S262" s="46">
        <v>0.77137</v>
      </c>
      <c r="T262" s="47">
        <f t="shared" si="66"/>
        <v>0.82399999999999995</v>
      </c>
      <c r="U262" s="48">
        <v>0</v>
      </c>
      <c r="V262" s="45">
        <f t="shared" si="58"/>
        <v>0</v>
      </c>
      <c r="W262" s="49"/>
      <c r="X262" s="50"/>
      <c r="Y262" s="51"/>
      <c r="Z262" s="52"/>
      <c r="AA262" s="45" t="str">
        <f t="shared" si="59"/>
        <v/>
      </c>
      <c r="AB262" s="45">
        <f t="shared" si="60"/>
        <v>0.56787988737844119</v>
      </c>
      <c r="AC262" s="45" t="str">
        <f t="shared" si="61"/>
        <v/>
      </c>
      <c r="AD262" s="53" t="str">
        <f t="shared" si="67"/>
        <v/>
      </c>
      <c r="AE262" s="45" t="str">
        <f t="shared" si="62"/>
        <v/>
      </c>
      <c r="AF262" s="36">
        <f t="shared" si="68"/>
        <v>1</v>
      </c>
      <c r="AG262" s="54">
        <f t="shared" si="63"/>
        <v>0</v>
      </c>
      <c r="AH262" s="32" t="str">
        <f t="shared" si="69"/>
        <v/>
      </c>
      <c r="AI262" s="50"/>
      <c r="AJ262" s="50">
        <v>1</v>
      </c>
      <c r="AK262" s="50">
        <v>0</v>
      </c>
      <c r="AL262" s="50">
        <v>0</v>
      </c>
      <c r="AM262" s="50">
        <v>0</v>
      </c>
      <c r="AN262" s="50">
        <v>0</v>
      </c>
      <c r="AO262" s="50">
        <v>0</v>
      </c>
      <c r="AP262" s="50">
        <v>0</v>
      </c>
      <c r="AQ262" s="50">
        <v>0</v>
      </c>
      <c r="AR262" s="50">
        <v>0</v>
      </c>
      <c r="AU262" s="39"/>
      <c r="AW262" s="39"/>
    </row>
    <row r="263" spans="1:49" x14ac:dyDescent="0.25">
      <c r="A263" s="40" t="s">
        <v>299</v>
      </c>
      <c r="B263" s="41">
        <v>7801</v>
      </c>
      <c r="C263" s="40" t="s">
        <v>300</v>
      </c>
      <c r="D263" s="42">
        <v>8808639</v>
      </c>
      <c r="E263" s="42">
        <v>9638092</v>
      </c>
      <c r="F263" s="42">
        <v>11965448</v>
      </c>
      <c r="G263" s="42">
        <v>20031994</v>
      </c>
      <c r="H263" s="42">
        <f t="shared" si="64"/>
        <v>12611043</v>
      </c>
      <c r="I263" s="42">
        <v>238931.55000000171</v>
      </c>
      <c r="J263" s="43">
        <f t="shared" si="56"/>
        <v>1.8946216423177821E-2</v>
      </c>
      <c r="K263" s="44">
        <v>11102568.029999999</v>
      </c>
      <c r="L263" s="45">
        <f t="shared" si="57"/>
        <v>0.88038459864104812</v>
      </c>
      <c r="M263" s="42">
        <v>0</v>
      </c>
      <c r="N263" s="45">
        <f t="shared" si="65"/>
        <v>0</v>
      </c>
      <c r="O263" s="44">
        <v>813024</v>
      </c>
      <c r="P263" s="44">
        <v>319732</v>
      </c>
      <c r="Q263" s="44">
        <v>-1658356</v>
      </c>
      <c r="R263" s="46">
        <v>0.81950000000000001</v>
      </c>
      <c r="S263" s="46">
        <v>0.65447</v>
      </c>
      <c r="T263" s="47">
        <f t="shared" si="66"/>
        <v>0.73699999999999999</v>
      </c>
      <c r="U263" s="48">
        <v>0</v>
      </c>
      <c r="V263" s="45">
        <f t="shared" si="58"/>
        <v>0</v>
      </c>
      <c r="W263" s="49"/>
      <c r="X263" s="50"/>
      <c r="Y263" s="51"/>
      <c r="Z263" s="52"/>
      <c r="AA263" s="45" t="str">
        <f t="shared" si="59"/>
        <v/>
      </c>
      <c r="AB263" s="45">
        <f t="shared" si="60"/>
        <v>0.88038459864104812</v>
      </c>
      <c r="AC263" s="45" t="str">
        <f t="shared" si="61"/>
        <v/>
      </c>
      <c r="AD263" s="53" t="str">
        <f t="shared" si="67"/>
        <v/>
      </c>
      <c r="AE263" s="45">
        <f t="shared" si="62"/>
        <v>0.73699999999999999</v>
      </c>
      <c r="AF263" s="36">
        <f t="shared" si="68"/>
        <v>2</v>
      </c>
      <c r="AG263" s="54">
        <f t="shared" si="63"/>
        <v>0</v>
      </c>
      <c r="AH263" s="32" t="str">
        <f t="shared" si="69"/>
        <v/>
      </c>
      <c r="AI263" s="50"/>
      <c r="AJ263" s="50">
        <v>0</v>
      </c>
      <c r="AK263" s="50">
        <v>0</v>
      </c>
      <c r="AL263" s="50">
        <v>0</v>
      </c>
      <c r="AM263" s="50">
        <v>0</v>
      </c>
      <c r="AN263" s="50">
        <v>0</v>
      </c>
      <c r="AO263" s="50">
        <v>0</v>
      </c>
      <c r="AP263" s="50">
        <v>0</v>
      </c>
      <c r="AQ263" s="50">
        <v>1</v>
      </c>
      <c r="AR263" s="50">
        <v>0</v>
      </c>
      <c r="AU263" s="39"/>
      <c r="AW263" s="39"/>
    </row>
    <row r="264" spans="1:49" x14ac:dyDescent="0.25">
      <c r="A264" s="40"/>
      <c r="B264" s="41">
        <v>7802</v>
      </c>
      <c r="C264" s="40" t="s">
        <v>301</v>
      </c>
      <c r="D264" s="42">
        <v>17336900</v>
      </c>
      <c r="E264" s="42">
        <v>18371396</v>
      </c>
      <c r="F264" s="42">
        <v>23081316</v>
      </c>
      <c r="G264" s="42">
        <v>25872345</v>
      </c>
      <c r="H264" s="42">
        <f t="shared" si="64"/>
        <v>21165489</v>
      </c>
      <c r="I264" s="42">
        <v>2744412.1700000013</v>
      </c>
      <c r="J264" s="43">
        <f t="shared" si="56"/>
        <v>0.12966448211992651</v>
      </c>
      <c r="K264" s="44">
        <v>6353743.6600000001</v>
      </c>
      <c r="L264" s="45">
        <f t="shared" si="57"/>
        <v>0.30019356793504748</v>
      </c>
      <c r="M264" s="42">
        <v>0</v>
      </c>
      <c r="N264" s="45">
        <f t="shared" si="65"/>
        <v>0</v>
      </c>
      <c r="O264" s="44">
        <v>1279047</v>
      </c>
      <c r="P264" s="44">
        <v>2915884</v>
      </c>
      <c r="Q264" s="44">
        <v>-110319</v>
      </c>
      <c r="R264" s="46">
        <v>0.77895000000000003</v>
      </c>
      <c r="S264" s="46">
        <v>0.75163999999999997</v>
      </c>
      <c r="T264" s="47">
        <f t="shared" si="66"/>
        <v>0.76529999999999998</v>
      </c>
      <c r="U264" s="48">
        <v>0</v>
      </c>
      <c r="V264" s="45">
        <f t="shared" si="58"/>
        <v>0</v>
      </c>
      <c r="W264" s="49"/>
      <c r="X264" s="50"/>
      <c r="Y264" s="51"/>
      <c r="Z264" s="52"/>
      <c r="AA264" s="45" t="str">
        <f t="shared" si="59"/>
        <v/>
      </c>
      <c r="AB264" s="45" t="str">
        <f t="shared" si="60"/>
        <v/>
      </c>
      <c r="AC264" s="45" t="str">
        <f t="shared" si="61"/>
        <v/>
      </c>
      <c r="AD264" s="53" t="str">
        <f t="shared" si="67"/>
        <v/>
      </c>
      <c r="AE264" s="45" t="str">
        <f t="shared" si="62"/>
        <v/>
      </c>
      <c r="AF264" s="36">
        <f t="shared" si="68"/>
        <v>0</v>
      </c>
      <c r="AG264" s="54">
        <f t="shared" si="63"/>
        <v>0</v>
      </c>
      <c r="AH264" s="32" t="str">
        <f t="shared" si="69"/>
        <v/>
      </c>
      <c r="AI264" s="50"/>
      <c r="AJ264" s="50">
        <v>0</v>
      </c>
      <c r="AK264" s="50">
        <v>0</v>
      </c>
      <c r="AL264" s="50">
        <v>1</v>
      </c>
      <c r="AM264" s="50">
        <v>0</v>
      </c>
      <c r="AN264" s="50">
        <v>0</v>
      </c>
      <c r="AO264" s="50">
        <v>0</v>
      </c>
      <c r="AP264" s="50">
        <v>0</v>
      </c>
      <c r="AQ264" s="50">
        <v>0</v>
      </c>
      <c r="AR264" s="50">
        <v>0</v>
      </c>
      <c r="AU264" s="39"/>
      <c r="AW264" s="39"/>
    </row>
    <row r="265" spans="1:49" x14ac:dyDescent="0.25">
      <c r="A265" s="40"/>
      <c r="B265" s="41">
        <v>7803</v>
      </c>
      <c r="C265" s="40" t="s">
        <v>302</v>
      </c>
      <c r="D265" s="42">
        <v>15222223</v>
      </c>
      <c r="E265" s="42">
        <v>17003571</v>
      </c>
      <c r="F265" s="42">
        <v>19828169</v>
      </c>
      <c r="G265" s="42">
        <v>20800339</v>
      </c>
      <c r="H265" s="42">
        <f t="shared" si="64"/>
        <v>18213576</v>
      </c>
      <c r="I265" s="42">
        <v>269736.80000000098</v>
      </c>
      <c r="J265" s="43">
        <f t="shared" si="56"/>
        <v>1.4809656269587091E-2</v>
      </c>
      <c r="K265" s="44">
        <v>7380502.8600000003</v>
      </c>
      <c r="L265" s="45">
        <f t="shared" si="57"/>
        <v>0.40521986786120423</v>
      </c>
      <c r="M265" s="42">
        <v>12989</v>
      </c>
      <c r="N265" s="45">
        <f t="shared" si="65"/>
        <v>6.2446097633312608E-4</v>
      </c>
      <c r="O265" s="44">
        <v>1176676</v>
      </c>
      <c r="P265" s="44">
        <v>785831</v>
      </c>
      <c r="Q265" s="44">
        <v>398603</v>
      </c>
      <c r="R265" s="46">
        <v>0.78425999999999996</v>
      </c>
      <c r="S265" s="46">
        <v>0.67349999999999999</v>
      </c>
      <c r="T265" s="47">
        <f t="shared" si="66"/>
        <v>0.72889999999999999</v>
      </c>
      <c r="U265" s="48">
        <v>0</v>
      </c>
      <c r="V265" s="45">
        <f t="shared" si="58"/>
        <v>0</v>
      </c>
      <c r="W265" s="49"/>
      <c r="X265" s="50"/>
      <c r="Y265" s="51"/>
      <c r="Z265" s="52"/>
      <c r="AA265" s="45" t="str">
        <f t="shared" si="59"/>
        <v/>
      </c>
      <c r="AB265" s="45" t="str">
        <f t="shared" si="60"/>
        <v/>
      </c>
      <c r="AC265" s="45" t="str">
        <f t="shared" si="61"/>
        <v/>
      </c>
      <c r="AD265" s="53" t="str">
        <f t="shared" si="67"/>
        <v/>
      </c>
      <c r="AE265" s="45">
        <f t="shared" si="62"/>
        <v>0.72889999999999999</v>
      </c>
      <c r="AF265" s="36">
        <f t="shared" si="68"/>
        <v>1</v>
      </c>
      <c r="AG265" s="54">
        <f t="shared" si="63"/>
        <v>0</v>
      </c>
      <c r="AH265" s="32" t="str">
        <f t="shared" si="69"/>
        <v/>
      </c>
      <c r="AI265" s="50"/>
      <c r="AJ265" s="50">
        <v>1</v>
      </c>
      <c r="AK265" s="50">
        <v>1</v>
      </c>
      <c r="AL265" s="50">
        <v>1</v>
      </c>
      <c r="AM265" s="50">
        <v>1</v>
      </c>
      <c r="AN265" s="50">
        <v>0</v>
      </c>
      <c r="AO265" s="50">
        <v>0</v>
      </c>
      <c r="AP265" s="50">
        <v>0</v>
      </c>
      <c r="AQ265" s="50">
        <v>0</v>
      </c>
      <c r="AR265" s="50">
        <v>0</v>
      </c>
      <c r="AU265" s="39"/>
      <c r="AW265" s="39"/>
    </row>
    <row r="266" spans="1:49" x14ac:dyDescent="0.25">
      <c r="A266" s="40"/>
      <c r="B266" s="41">
        <v>7804</v>
      </c>
      <c r="C266" s="40" t="s">
        <v>303</v>
      </c>
      <c r="D266" s="42">
        <v>24098745</v>
      </c>
      <c r="E266" s="42">
        <v>30447476</v>
      </c>
      <c r="F266" s="42">
        <v>36414828</v>
      </c>
      <c r="G266" s="42">
        <v>38464555</v>
      </c>
      <c r="H266" s="42">
        <f t="shared" si="64"/>
        <v>32356401</v>
      </c>
      <c r="I266" s="42">
        <v>391352.78000000096</v>
      </c>
      <c r="J266" s="43">
        <f t="shared" si="56"/>
        <v>1.2095065208272112E-2</v>
      </c>
      <c r="K266" s="44">
        <v>8740144.5199999996</v>
      </c>
      <c r="L266" s="45">
        <f t="shared" si="57"/>
        <v>0.27012103478381294</v>
      </c>
      <c r="M266" s="42">
        <v>0</v>
      </c>
      <c r="N266" s="45">
        <f t="shared" si="65"/>
        <v>0</v>
      </c>
      <c r="O266" s="44">
        <v>3689220</v>
      </c>
      <c r="P266" s="44">
        <v>-1747746</v>
      </c>
      <c r="Q266" s="44">
        <v>-2182188</v>
      </c>
      <c r="R266" s="46">
        <v>0.83830000000000005</v>
      </c>
      <c r="S266" s="46">
        <v>0.64834000000000003</v>
      </c>
      <c r="T266" s="47">
        <f t="shared" si="66"/>
        <v>0.74329999999999996</v>
      </c>
      <c r="U266" s="48">
        <v>0</v>
      </c>
      <c r="V266" s="45">
        <f t="shared" si="58"/>
        <v>0</v>
      </c>
      <c r="W266" s="49"/>
      <c r="X266" s="50"/>
      <c r="Y266" s="51"/>
      <c r="Z266" s="52"/>
      <c r="AA266" s="45" t="str">
        <f t="shared" si="59"/>
        <v/>
      </c>
      <c r="AB266" s="45" t="str">
        <f t="shared" si="60"/>
        <v/>
      </c>
      <c r="AC266" s="45" t="str">
        <f t="shared" si="61"/>
        <v/>
      </c>
      <c r="AD266" s="53" t="str">
        <f t="shared" si="67"/>
        <v/>
      </c>
      <c r="AE266" s="45">
        <f t="shared" si="62"/>
        <v>0.74329999999999996</v>
      </c>
      <c r="AF266" s="36">
        <f t="shared" si="68"/>
        <v>1</v>
      </c>
      <c r="AG266" s="54">
        <f t="shared" si="63"/>
        <v>0</v>
      </c>
      <c r="AH266" s="32" t="str">
        <f t="shared" si="69"/>
        <v/>
      </c>
      <c r="AI266" s="50"/>
      <c r="AJ266" s="50">
        <v>1</v>
      </c>
      <c r="AK266" s="50">
        <v>0</v>
      </c>
      <c r="AL266" s="50">
        <v>1</v>
      </c>
      <c r="AM266" s="50">
        <v>1</v>
      </c>
      <c r="AN266" s="50">
        <v>1</v>
      </c>
      <c r="AO266" s="50">
        <v>2</v>
      </c>
      <c r="AP266" s="50">
        <v>0</v>
      </c>
      <c r="AQ266" s="50">
        <v>0</v>
      </c>
      <c r="AR266" s="50">
        <v>1</v>
      </c>
      <c r="AU266" s="39"/>
      <c r="AW266" s="39"/>
    </row>
    <row r="267" spans="1:49" ht="16.5" thickBot="1" x14ac:dyDescent="0.3">
      <c r="A267" s="55"/>
      <c r="B267" s="56">
        <v>7805</v>
      </c>
      <c r="C267" s="55" t="s">
        <v>299</v>
      </c>
      <c r="D267" s="57">
        <v>77116066</v>
      </c>
      <c r="E267" s="57">
        <v>94589845</v>
      </c>
      <c r="F267" s="57">
        <v>114835281</v>
      </c>
      <c r="G267" s="57">
        <v>129068418</v>
      </c>
      <c r="H267" s="57">
        <f t="shared" si="64"/>
        <v>103902403</v>
      </c>
      <c r="I267" s="57">
        <v>1531395.9700000067</v>
      </c>
      <c r="J267" s="58">
        <f t="shared" si="56"/>
        <v>1.4738792614834968E-2</v>
      </c>
      <c r="K267" s="59">
        <v>47917185.590000004</v>
      </c>
      <c r="L267" s="60">
        <f t="shared" si="57"/>
        <v>0.46117495078530574</v>
      </c>
      <c r="M267" s="57">
        <v>694923</v>
      </c>
      <c r="N267" s="60">
        <f t="shared" si="65"/>
        <v>5.3841444000653979E-3</v>
      </c>
      <c r="O267" s="59">
        <v>5146110</v>
      </c>
      <c r="P267" s="59">
        <v>-15226552</v>
      </c>
      <c r="Q267" s="59">
        <v>-865370</v>
      </c>
      <c r="R267" s="61">
        <v>0.83265</v>
      </c>
      <c r="S267" s="61">
        <v>0.74236999999999997</v>
      </c>
      <c r="T267" s="62">
        <f t="shared" si="66"/>
        <v>0.78749999999999998</v>
      </c>
      <c r="U267" s="63">
        <v>0</v>
      </c>
      <c r="V267" s="60">
        <f t="shared" si="58"/>
        <v>0</v>
      </c>
      <c r="W267" s="64"/>
      <c r="X267" s="65"/>
      <c r="Y267" s="66"/>
      <c r="Z267" s="67"/>
      <c r="AA267" s="60" t="str">
        <f t="shared" si="59"/>
        <v/>
      </c>
      <c r="AB267" s="60" t="str">
        <f t="shared" si="60"/>
        <v/>
      </c>
      <c r="AC267" s="60" t="str">
        <f t="shared" si="61"/>
        <v/>
      </c>
      <c r="AD267" s="67" t="str">
        <f t="shared" si="67"/>
        <v/>
      </c>
      <c r="AE267" s="60" t="str">
        <f t="shared" si="62"/>
        <v/>
      </c>
      <c r="AF267" s="36">
        <f t="shared" si="68"/>
        <v>0</v>
      </c>
      <c r="AG267" s="68">
        <f t="shared" si="63"/>
        <v>0</v>
      </c>
      <c r="AH267" s="32" t="str">
        <f t="shared" si="69"/>
        <v/>
      </c>
      <c r="AI267" s="65"/>
      <c r="AJ267" s="65">
        <v>0</v>
      </c>
      <c r="AK267" s="65">
        <v>1</v>
      </c>
      <c r="AL267" s="65">
        <v>1</v>
      </c>
      <c r="AM267" s="65">
        <v>1</v>
      </c>
      <c r="AN267" s="65">
        <v>0</v>
      </c>
      <c r="AO267" s="65">
        <v>0</v>
      </c>
      <c r="AP267" s="65">
        <v>0</v>
      </c>
      <c r="AQ267" s="65">
        <v>0</v>
      </c>
      <c r="AR267" s="65">
        <v>1</v>
      </c>
      <c r="AU267" s="39"/>
      <c r="AW267" s="39"/>
    </row>
    <row r="268" spans="1:49" ht="16.5" thickBot="1" x14ac:dyDescent="0.3">
      <c r="A268" s="69" t="s">
        <v>304</v>
      </c>
      <c r="B268" s="69"/>
      <c r="C268" s="69"/>
      <c r="D268" s="70">
        <f>SUM(D3:D267)</f>
        <v>8728358107</v>
      </c>
      <c r="E268" s="70">
        <f t="shared" ref="E268:I268" si="70">SUM(E3:E267)</f>
        <v>10297707008</v>
      </c>
      <c r="F268" s="70">
        <f>SUM(F3:F267)</f>
        <v>12506390502</v>
      </c>
      <c r="G268" s="70">
        <f t="shared" si="70"/>
        <v>14724831022</v>
      </c>
      <c r="H268" s="70">
        <f t="shared" si="70"/>
        <v>11564321694</v>
      </c>
      <c r="I268" s="70">
        <f t="shared" si="70"/>
        <v>932754662.11999977</v>
      </c>
      <c r="J268" s="71">
        <f t="shared" si="56"/>
        <v>8.0657965663818193E-2</v>
      </c>
      <c r="K268" s="70">
        <f>SUM(K3:K267)</f>
        <v>6613132726.1300001</v>
      </c>
      <c r="L268" s="72">
        <f t="shared" si="57"/>
        <v>0.57185651706326535</v>
      </c>
      <c r="M268" s="70">
        <f>SUM(M3:M267)</f>
        <v>143017277</v>
      </c>
      <c r="N268" s="72">
        <f t="shared" si="65"/>
        <v>9.7126599813825692E-3</v>
      </c>
      <c r="O268" s="73">
        <f>SUM(O3:O267)</f>
        <v>492016810</v>
      </c>
      <c r="P268" s="73">
        <f t="shared" ref="P268:Q268" si="71">SUM(P3:P267)</f>
        <v>-202721209</v>
      </c>
      <c r="Q268" s="73">
        <f t="shared" si="71"/>
        <v>-298319383</v>
      </c>
      <c r="R268" s="74">
        <f>ROUND(AVERAGE(R3:R267),4)</f>
        <v>0.80249999999999999</v>
      </c>
      <c r="S268" s="74">
        <f t="shared" ref="S268:T268" si="72">ROUND(AVERAGE(S3:S267),4)</f>
        <v>0.71840000000000004</v>
      </c>
      <c r="T268" s="74">
        <f t="shared" si="72"/>
        <v>0.76039999999999996</v>
      </c>
      <c r="U268" s="70">
        <f t="shared" ref="U268" si="73">SUM(U3:U267)</f>
        <v>2557351</v>
      </c>
      <c r="V268" s="75">
        <f t="shared" si="58"/>
        <v>1.7367608471561584E-4</v>
      </c>
      <c r="W268" s="76"/>
      <c r="X268" s="77"/>
      <c r="Y268" s="78">
        <f>COUNTIF(Y3:Y267,"&gt;0")</f>
        <v>9</v>
      </c>
      <c r="Z268" s="78">
        <f>COUNTIF(Z3:Z267,"&gt;0")</f>
        <v>0</v>
      </c>
      <c r="AA268" s="78">
        <f t="shared" ref="AA268:AG268" si="74">COUNTIF(AA3:AA267,"&gt;0")</f>
        <v>42</v>
      </c>
      <c r="AB268" s="78">
        <f t="shared" si="74"/>
        <v>142</v>
      </c>
      <c r="AC268" s="78">
        <f t="shared" si="74"/>
        <v>15</v>
      </c>
      <c r="AD268" s="78">
        <f>COUNTIF(AD3:AD267,"да")</f>
        <v>7</v>
      </c>
      <c r="AE268" s="78">
        <f t="shared" si="74"/>
        <v>111</v>
      </c>
      <c r="AF268" s="77"/>
      <c r="AG268" s="78">
        <f t="shared" si="74"/>
        <v>0</v>
      </c>
      <c r="AH268" s="78">
        <f>COUNTIF(AH3:AH267,"&gt;0")</f>
        <v>17</v>
      </c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U268" s="39"/>
      <c r="AW268" s="39"/>
    </row>
    <row r="269" spans="1:49" ht="16.5" customHeight="1" x14ac:dyDescent="0.25">
      <c r="A269" s="22"/>
      <c r="B269" s="22"/>
      <c r="C269" s="79" t="s">
        <v>305</v>
      </c>
      <c r="D269" s="24"/>
      <c r="E269" s="24"/>
      <c r="F269" s="24"/>
      <c r="G269" s="24">
        <v>0</v>
      </c>
      <c r="H269" s="24"/>
      <c r="I269" s="24"/>
      <c r="J269" s="22"/>
      <c r="K269" s="26"/>
      <c r="L269" s="32"/>
      <c r="M269" s="24"/>
      <c r="N269" s="32"/>
      <c r="O269" s="26"/>
      <c r="P269" s="26"/>
      <c r="Q269" s="26"/>
      <c r="R269" s="80"/>
      <c r="S269" s="80"/>
      <c r="T269" s="80"/>
      <c r="U269" s="30"/>
      <c r="V269" s="27"/>
      <c r="W269" s="31"/>
      <c r="X269" s="32"/>
      <c r="Y269" s="32"/>
      <c r="Z269" s="32"/>
      <c r="AA269" s="32"/>
      <c r="AB269" s="32"/>
      <c r="AC269" s="32"/>
      <c r="AD269" s="32"/>
      <c r="AE269" s="81"/>
      <c r="AF269" s="82">
        <f>COUNTIF(AF3:AF267,"=2")</f>
        <v>68</v>
      </c>
      <c r="AG269" s="32"/>
      <c r="AH269" s="32"/>
      <c r="AI269" s="32"/>
      <c r="AJ269" s="83">
        <v>35</v>
      </c>
      <c r="AK269" s="83">
        <v>30</v>
      </c>
      <c r="AL269" s="83">
        <v>35</v>
      </c>
      <c r="AM269" s="83">
        <v>23</v>
      </c>
      <c r="AN269" s="83">
        <v>38</v>
      </c>
      <c r="AO269" s="83">
        <v>36</v>
      </c>
      <c r="AP269" s="83">
        <v>38</v>
      </c>
      <c r="AQ269" s="83">
        <v>34</v>
      </c>
      <c r="AR269" s="83">
        <v>42</v>
      </c>
    </row>
    <row r="270" spans="1:49" x14ac:dyDescent="0.25">
      <c r="A270" s="40"/>
      <c r="B270" s="40"/>
      <c r="C270" s="84" t="s">
        <v>306</v>
      </c>
      <c r="D270" s="42"/>
      <c r="E270" s="42"/>
      <c r="F270" s="42"/>
      <c r="G270" s="42">
        <v>0</v>
      </c>
      <c r="H270" s="42"/>
      <c r="I270" s="42"/>
      <c r="J270" s="40"/>
      <c r="K270" s="44"/>
      <c r="L270" s="50"/>
      <c r="M270" s="42"/>
      <c r="N270" s="50"/>
      <c r="O270" s="44"/>
      <c r="P270" s="44"/>
      <c r="Q270" s="44"/>
      <c r="R270" s="85"/>
      <c r="S270" s="85"/>
      <c r="T270" s="85"/>
      <c r="U270" s="48"/>
      <c r="V270" s="45"/>
      <c r="W270" s="49"/>
      <c r="X270" s="50"/>
      <c r="Y270" s="50"/>
      <c r="Z270" s="50"/>
      <c r="AA270" s="50"/>
      <c r="AB270" s="50"/>
      <c r="AC270" s="50"/>
      <c r="AD270" s="50"/>
      <c r="AE270" s="86"/>
      <c r="AF270" s="87">
        <f>COUNTIF(AF3:AF267,"=3")</f>
        <v>14</v>
      </c>
      <c r="AG270" s="50"/>
      <c r="AH270" s="50"/>
      <c r="AI270" s="50"/>
      <c r="AJ270" s="88">
        <v>8</v>
      </c>
      <c r="AK270" s="88">
        <v>6</v>
      </c>
      <c r="AL270" s="88">
        <v>5</v>
      </c>
      <c r="AM270" s="88">
        <v>9</v>
      </c>
      <c r="AN270" s="88">
        <v>13</v>
      </c>
      <c r="AO270" s="88">
        <v>14</v>
      </c>
      <c r="AP270" s="88">
        <v>9</v>
      </c>
      <c r="AQ270" s="88">
        <v>18</v>
      </c>
      <c r="AR270" s="88">
        <v>27</v>
      </c>
    </row>
    <row r="271" spans="1:49" x14ac:dyDescent="0.25">
      <c r="A271" s="40"/>
      <c r="B271" s="40"/>
      <c r="C271" s="84" t="s">
        <v>307</v>
      </c>
      <c r="D271" s="42"/>
      <c r="E271" s="42"/>
      <c r="F271" s="42"/>
      <c r="G271" s="42">
        <v>0</v>
      </c>
      <c r="H271" s="42"/>
      <c r="I271" s="42"/>
      <c r="J271" s="40"/>
      <c r="K271" s="44"/>
      <c r="L271" s="50"/>
      <c r="M271" s="42"/>
      <c r="N271" s="50"/>
      <c r="O271" s="44"/>
      <c r="P271" s="44"/>
      <c r="Q271" s="44"/>
      <c r="R271" s="85"/>
      <c r="S271" s="85"/>
      <c r="T271" s="85"/>
      <c r="U271" s="48"/>
      <c r="V271" s="45"/>
      <c r="W271" s="49"/>
      <c r="X271" s="50"/>
      <c r="Y271" s="50"/>
      <c r="Z271" s="50"/>
      <c r="AA271" s="50"/>
      <c r="AB271" s="50"/>
      <c r="AC271" s="50"/>
      <c r="AD271" s="50"/>
      <c r="AE271" s="86"/>
      <c r="AF271" s="87">
        <f>COUNTIF(AF3:AF267,"=4")</f>
        <v>2</v>
      </c>
      <c r="AG271" s="50"/>
      <c r="AH271" s="50"/>
      <c r="AI271" s="50"/>
      <c r="AJ271" s="88">
        <v>3</v>
      </c>
      <c r="AK271" s="88">
        <v>3</v>
      </c>
      <c r="AL271" s="88">
        <v>2</v>
      </c>
      <c r="AM271" s="88">
        <v>0</v>
      </c>
      <c r="AN271" s="88">
        <v>3</v>
      </c>
      <c r="AO271" s="88">
        <v>2</v>
      </c>
      <c r="AP271" s="88">
        <v>3</v>
      </c>
      <c r="AQ271" s="88">
        <v>13</v>
      </c>
      <c r="AR271" s="88">
        <v>4</v>
      </c>
    </row>
    <row r="272" spans="1:49" x14ac:dyDescent="0.25">
      <c r="A272" s="40"/>
      <c r="B272" s="40"/>
      <c r="C272" s="84" t="s">
        <v>308</v>
      </c>
      <c r="D272" s="42"/>
      <c r="E272" s="42"/>
      <c r="F272" s="42"/>
      <c r="G272" s="42">
        <v>0</v>
      </c>
      <c r="H272" s="42"/>
      <c r="I272" s="42"/>
      <c r="J272" s="40"/>
      <c r="K272" s="44"/>
      <c r="L272" s="50"/>
      <c r="M272" s="42"/>
      <c r="N272" s="50"/>
      <c r="O272" s="44"/>
      <c r="P272" s="44"/>
      <c r="Q272" s="44"/>
      <c r="R272" s="85"/>
      <c r="S272" s="85"/>
      <c r="T272" s="85"/>
      <c r="U272" s="48"/>
      <c r="V272" s="45"/>
      <c r="W272" s="49"/>
      <c r="X272" s="50"/>
      <c r="Y272" s="50"/>
      <c r="Z272" s="50"/>
      <c r="AA272" s="50"/>
      <c r="AB272" s="50"/>
      <c r="AC272" s="50"/>
      <c r="AD272" s="50"/>
      <c r="AE272" s="86"/>
      <c r="AF272" s="87">
        <f>COUNTIF(AF3:AF267,"=5")</f>
        <v>1</v>
      </c>
      <c r="AG272" s="50"/>
      <c r="AH272" s="50"/>
      <c r="AI272" s="50"/>
      <c r="AJ272" s="88">
        <v>1</v>
      </c>
      <c r="AK272" s="88">
        <v>0</v>
      </c>
      <c r="AL272" s="88">
        <v>0</v>
      </c>
      <c r="AM272" s="88">
        <v>0</v>
      </c>
      <c r="AN272" s="88">
        <v>0</v>
      </c>
      <c r="AO272" s="88">
        <v>1</v>
      </c>
      <c r="AP272" s="88">
        <v>1</v>
      </c>
      <c r="AQ272" s="88">
        <v>1</v>
      </c>
      <c r="AR272" s="88">
        <v>5</v>
      </c>
    </row>
    <row r="273" spans="1:44" x14ac:dyDescent="0.25">
      <c r="A273" s="89"/>
      <c r="B273" s="89"/>
      <c r="C273" s="90" t="s">
        <v>309</v>
      </c>
      <c r="D273" s="91"/>
      <c r="E273" s="91"/>
      <c r="F273" s="91"/>
      <c r="G273" s="91"/>
      <c r="H273" s="91"/>
      <c r="I273" s="91"/>
      <c r="J273" s="89"/>
      <c r="K273" s="92"/>
      <c r="L273" s="93"/>
      <c r="M273" s="91"/>
      <c r="N273" s="93"/>
      <c r="O273" s="92"/>
      <c r="P273" s="92"/>
      <c r="Q273" s="92"/>
      <c r="R273" s="94"/>
      <c r="S273" s="94"/>
      <c r="T273" s="94"/>
      <c r="U273" s="95"/>
      <c r="V273" s="94"/>
      <c r="W273" s="96"/>
      <c r="X273" s="93"/>
      <c r="Y273" s="93"/>
      <c r="Z273" s="93"/>
      <c r="AA273" s="93"/>
      <c r="AB273" s="93"/>
      <c r="AC273" s="93"/>
      <c r="AD273" s="93"/>
      <c r="AE273" s="97"/>
      <c r="AF273" s="98">
        <f>SUM(AF270:AF272)</f>
        <v>17</v>
      </c>
      <c r="AG273" s="93"/>
      <c r="AH273" s="93"/>
      <c r="AI273" s="93"/>
      <c r="AJ273" s="99">
        <v>12</v>
      </c>
      <c r="AK273" s="99">
        <v>9</v>
      </c>
      <c r="AL273" s="99">
        <v>7</v>
      </c>
      <c r="AM273" s="99">
        <v>9</v>
      </c>
      <c r="AN273" s="99">
        <v>16</v>
      </c>
      <c r="AO273" s="99">
        <v>17</v>
      </c>
      <c r="AP273" s="99">
        <v>13</v>
      </c>
      <c r="AQ273" s="99">
        <v>32</v>
      </c>
      <c r="AR273" s="99">
        <v>36</v>
      </c>
    </row>
    <row r="274" spans="1:44" x14ac:dyDescent="0.25">
      <c r="R274" s="103"/>
      <c r="S274" s="103"/>
      <c r="T274" s="103"/>
      <c r="U274" s="104"/>
      <c r="V274" s="103"/>
      <c r="AE274" s="105"/>
    </row>
    <row r="275" spans="1:44" x14ac:dyDescent="0.25">
      <c r="R275" s="106"/>
      <c r="S275" s="106"/>
      <c r="T275" s="106"/>
      <c r="U275" s="107"/>
      <c r="V275" s="106"/>
    </row>
    <row r="276" spans="1:44" x14ac:dyDescent="0.25">
      <c r="R276" s="103"/>
      <c r="S276" s="103"/>
      <c r="T276" s="103"/>
      <c r="U276" s="104"/>
      <c r="V276" s="103"/>
    </row>
    <row r="277" spans="1:44" x14ac:dyDescent="0.25">
      <c r="C277" s="108" t="s">
        <v>310</v>
      </c>
      <c r="D277" s="107"/>
      <c r="E277" s="107"/>
      <c r="F277" s="107"/>
      <c r="G277" s="107"/>
      <c r="H277" s="107"/>
      <c r="I277" s="107"/>
      <c r="J277" s="109"/>
      <c r="K277" s="110"/>
      <c r="L277" s="111"/>
      <c r="M277" s="107"/>
      <c r="N277" s="111"/>
      <c r="O277" s="110"/>
      <c r="P277" s="110"/>
      <c r="Q277" s="110"/>
      <c r="R277" s="106"/>
      <c r="S277" s="106"/>
      <c r="T277" s="106"/>
      <c r="U277" s="107"/>
      <c r="V277" s="106"/>
      <c r="W277" s="109"/>
      <c r="X277" s="111"/>
      <c r="Y277" s="112">
        <f>+Y268/265</f>
        <v>3.3962264150943396E-2</v>
      </c>
      <c r="Z277" s="112">
        <f>+Z268/265</f>
        <v>0</v>
      </c>
      <c r="AA277" s="112">
        <f>+AA268/265</f>
        <v>0.15849056603773584</v>
      </c>
      <c r="AB277" s="112">
        <f t="shared" ref="AB277:AE277" si="75">+AB268/265</f>
        <v>0.53584905660377358</v>
      </c>
      <c r="AC277" s="112">
        <f t="shared" si="75"/>
        <v>5.6603773584905662E-2</v>
      </c>
      <c r="AD277" s="112">
        <f t="shared" si="75"/>
        <v>2.6415094339622643E-2</v>
      </c>
      <c r="AE277" s="112">
        <f t="shared" si="75"/>
        <v>0.4188679245283019</v>
      </c>
      <c r="AF277" s="112">
        <f>+AF273/265</f>
        <v>6.4150943396226415E-2</v>
      </c>
      <c r="AG277" s="112"/>
      <c r="AH277" s="112">
        <f>+AH268/265</f>
        <v>6.4150943396226415E-2</v>
      </c>
      <c r="AI277" s="111"/>
      <c r="AJ277" s="112">
        <v>4.5283018867924525E-2</v>
      </c>
      <c r="AK277" s="112">
        <v>3.3962264150943396E-2</v>
      </c>
      <c r="AL277" s="112">
        <v>2.6415094339622643E-2</v>
      </c>
      <c r="AM277" s="112">
        <v>3.3962264150943396E-2</v>
      </c>
      <c r="AN277" s="112">
        <f>+AN273/265</f>
        <v>6.0377358490566038E-2</v>
      </c>
      <c r="AO277" s="112">
        <f>+AO273/265</f>
        <v>6.4150943396226415E-2</v>
      </c>
      <c r="AP277" s="112">
        <f t="shared" ref="AP277:AR277" si="76">+AP273/265</f>
        <v>4.9056603773584909E-2</v>
      </c>
      <c r="AQ277" s="112">
        <f t="shared" si="76"/>
        <v>0.12075471698113208</v>
      </c>
      <c r="AR277" s="112">
        <f t="shared" si="76"/>
        <v>0.13584905660377358</v>
      </c>
    </row>
    <row r="279" spans="1:44" x14ac:dyDescent="0.25">
      <c r="R279" s="106"/>
      <c r="S279" s="106"/>
      <c r="T279" s="106"/>
      <c r="U279" s="107"/>
      <c r="V279" s="106"/>
    </row>
    <row r="280" spans="1:44" x14ac:dyDescent="0.25">
      <c r="R280" s="103"/>
      <c r="S280" s="103"/>
      <c r="T280" s="103"/>
      <c r="U280" s="104"/>
      <c r="V280" s="103"/>
    </row>
    <row r="281" spans="1:44" x14ac:dyDescent="0.25">
      <c r="R281" s="106"/>
      <c r="S281" s="106"/>
      <c r="T281" s="106"/>
      <c r="U281" s="107"/>
      <c r="V281" s="106"/>
    </row>
    <row r="282" spans="1:44" x14ac:dyDescent="0.25">
      <c r="R282" s="103"/>
      <c r="S282" s="103"/>
      <c r="T282" s="103"/>
      <c r="U282" s="104"/>
      <c r="V282" s="103"/>
    </row>
    <row r="283" spans="1:44" x14ac:dyDescent="0.25">
      <c r="R283" s="106"/>
      <c r="S283" s="106"/>
      <c r="T283" s="106"/>
      <c r="U283" s="107"/>
      <c r="V283" s="106"/>
    </row>
    <row r="284" spans="1:44" x14ac:dyDescent="0.25">
      <c r="R284" s="103"/>
      <c r="S284" s="103"/>
      <c r="T284" s="103"/>
      <c r="U284" s="104"/>
      <c r="V284" s="103"/>
    </row>
    <row r="285" spans="1:44" x14ac:dyDescent="0.25">
      <c r="R285" s="106"/>
      <c r="S285" s="106"/>
      <c r="T285" s="106"/>
      <c r="U285" s="107"/>
      <c r="V285" s="106"/>
    </row>
    <row r="286" spans="1:44" x14ac:dyDescent="0.25">
      <c r="R286" s="103"/>
      <c r="S286" s="103"/>
      <c r="T286" s="103"/>
      <c r="U286" s="104"/>
      <c r="V286" s="103"/>
    </row>
    <row r="287" spans="1:44" x14ac:dyDescent="0.25">
      <c r="R287" s="106"/>
      <c r="S287" s="106"/>
      <c r="T287" s="106"/>
      <c r="U287" s="107"/>
      <c r="V287" s="106"/>
    </row>
    <row r="288" spans="1:44" x14ac:dyDescent="0.25">
      <c r="R288" s="103"/>
      <c r="S288" s="103"/>
      <c r="T288" s="103"/>
      <c r="U288" s="104"/>
      <c r="V288" s="103"/>
    </row>
    <row r="289" spans="18:22" x14ac:dyDescent="0.25">
      <c r="R289" s="106"/>
      <c r="S289" s="106"/>
      <c r="T289" s="106"/>
      <c r="U289" s="107"/>
      <c r="V289" s="106"/>
    </row>
    <row r="290" spans="18:22" x14ac:dyDescent="0.25">
      <c r="R290" s="103"/>
      <c r="S290" s="103"/>
      <c r="T290" s="103"/>
      <c r="U290" s="104"/>
      <c r="V290" s="103"/>
    </row>
    <row r="291" spans="18:22" x14ac:dyDescent="0.25">
      <c r="R291" s="106"/>
      <c r="S291" s="106"/>
      <c r="T291" s="106"/>
      <c r="U291" s="107"/>
      <c r="V291" s="106"/>
    </row>
    <row r="292" spans="18:22" x14ac:dyDescent="0.25">
      <c r="R292" s="103"/>
      <c r="S292" s="103"/>
      <c r="T292" s="103"/>
      <c r="U292" s="104"/>
      <c r="V292" s="103"/>
    </row>
    <row r="293" spans="18:22" x14ac:dyDescent="0.25">
      <c r="R293" s="106"/>
      <c r="S293" s="106"/>
      <c r="T293" s="106"/>
      <c r="U293" s="107"/>
      <c r="V293" s="106"/>
    </row>
    <row r="294" spans="18:22" x14ac:dyDescent="0.25">
      <c r="R294" s="103"/>
      <c r="S294" s="103"/>
      <c r="T294" s="103"/>
      <c r="U294" s="104"/>
      <c r="V294" s="103"/>
    </row>
    <row r="295" spans="18:22" x14ac:dyDescent="0.25">
      <c r="R295" s="106"/>
      <c r="S295" s="106"/>
      <c r="T295" s="106"/>
      <c r="U295" s="107"/>
      <c r="V295" s="106"/>
    </row>
    <row r="296" spans="18:22" x14ac:dyDescent="0.25">
      <c r="R296" s="103"/>
      <c r="S296" s="103"/>
      <c r="T296" s="103"/>
      <c r="U296" s="104"/>
      <c r="V296" s="103"/>
    </row>
    <row r="297" spans="18:22" x14ac:dyDescent="0.25">
      <c r="R297" s="106"/>
      <c r="S297" s="106"/>
      <c r="T297" s="106"/>
      <c r="U297" s="107"/>
      <c r="V297" s="106"/>
    </row>
    <row r="298" spans="18:22" x14ac:dyDescent="0.25">
      <c r="R298" s="103"/>
      <c r="S298" s="103"/>
      <c r="T298" s="103"/>
      <c r="U298" s="104"/>
      <c r="V298" s="103"/>
    </row>
    <row r="299" spans="18:22" x14ac:dyDescent="0.25">
      <c r="R299" s="106"/>
      <c r="S299" s="106"/>
      <c r="T299" s="106"/>
      <c r="U299" s="107"/>
      <c r="V299" s="106"/>
    </row>
    <row r="300" spans="18:22" x14ac:dyDescent="0.25">
      <c r="R300" s="103"/>
      <c r="S300" s="103"/>
      <c r="T300" s="103"/>
      <c r="U300" s="104"/>
      <c r="V300" s="103"/>
    </row>
    <row r="301" spans="18:22" x14ac:dyDescent="0.25">
      <c r="R301" s="106"/>
      <c r="S301" s="106"/>
      <c r="T301" s="106"/>
      <c r="U301" s="107"/>
      <c r="V301" s="106"/>
    </row>
    <row r="302" spans="18:22" x14ac:dyDescent="0.25">
      <c r="R302" s="103"/>
      <c r="S302" s="103"/>
      <c r="T302" s="103"/>
      <c r="U302" s="104"/>
      <c r="V302" s="103"/>
    </row>
    <row r="303" spans="18:22" x14ac:dyDescent="0.25">
      <c r="R303" s="106"/>
      <c r="S303" s="106"/>
      <c r="T303" s="106"/>
      <c r="U303" s="107"/>
      <c r="V303" s="106"/>
    </row>
    <row r="304" spans="18:22" x14ac:dyDescent="0.25">
      <c r="R304" s="103"/>
      <c r="S304" s="103"/>
      <c r="T304" s="103"/>
      <c r="U304" s="104"/>
      <c r="V304" s="103"/>
    </row>
    <row r="305" spans="18:22" x14ac:dyDescent="0.25">
      <c r="R305" s="106"/>
      <c r="S305" s="106"/>
      <c r="T305" s="106"/>
      <c r="U305" s="107"/>
      <c r="V305" s="106"/>
    </row>
    <row r="306" spans="18:22" x14ac:dyDescent="0.25">
      <c r="R306" s="103"/>
      <c r="S306" s="103"/>
      <c r="T306" s="103"/>
      <c r="U306" s="104"/>
      <c r="V306" s="103"/>
    </row>
    <row r="307" spans="18:22" x14ac:dyDescent="0.25">
      <c r="R307" s="106"/>
      <c r="S307" s="106"/>
      <c r="T307" s="106"/>
      <c r="U307" s="107"/>
      <c r="V307" s="106"/>
    </row>
    <row r="308" spans="18:22" x14ac:dyDescent="0.25">
      <c r="R308" s="103"/>
      <c r="S308" s="103"/>
      <c r="T308" s="103"/>
      <c r="U308" s="104"/>
      <c r="V308" s="103"/>
    </row>
    <row r="309" spans="18:22" x14ac:dyDescent="0.25">
      <c r="R309" s="106"/>
      <c r="S309" s="106"/>
      <c r="T309" s="106"/>
      <c r="U309" s="107"/>
      <c r="V309" s="106"/>
    </row>
    <row r="310" spans="18:22" x14ac:dyDescent="0.25">
      <c r="R310" s="103"/>
      <c r="S310" s="103"/>
      <c r="T310" s="103"/>
      <c r="U310" s="104"/>
      <c r="V310" s="103"/>
    </row>
    <row r="311" spans="18:22" x14ac:dyDescent="0.25">
      <c r="R311" s="106"/>
      <c r="S311" s="106"/>
      <c r="T311" s="106"/>
      <c r="U311" s="107"/>
      <c r="V311" s="106"/>
    </row>
    <row r="312" spans="18:22" x14ac:dyDescent="0.25">
      <c r="R312" s="103"/>
      <c r="S312" s="103"/>
      <c r="T312" s="103"/>
      <c r="U312" s="104"/>
      <c r="V312" s="103"/>
    </row>
    <row r="313" spans="18:22" x14ac:dyDescent="0.25">
      <c r="R313" s="106"/>
      <c r="S313" s="106"/>
      <c r="T313" s="106"/>
      <c r="U313" s="107"/>
      <c r="V313" s="106"/>
    </row>
    <row r="314" spans="18:22" x14ac:dyDescent="0.25">
      <c r="R314" s="103"/>
      <c r="S314" s="103"/>
      <c r="T314" s="103"/>
      <c r="U314" s="104"/>
      <c r="V314" s="103"/>
    </row>
    <row r="315" spans="18:22" x14ac:dyDescent="0.25">
      <c r="R315" s="106"/>
      <c r="S315" s="106"/>
      <c r="T315" s="106"/>
      <c r="U315" s="107"/>
      <c r="V315" s="106"/>
    </row>
    <row r="316" spans="18:22" x14ac:dyDescent="0.25">
      <c r="R316" s="103"/>
      <c r="S316" s="103"/>
      <c r="T316" s="103"/>
      <c r="U316" s="104"/>
      <c r="V316" s="103"/>
    </row>
    <row r="317" spans="18:22" x14ac:dyDescent="0.25">
      <c r="R317" s="106"/>
      <c r="S317" s="106"/>
      <c r="T317" s="106"/>
      <c r="U317" s="107"/>
      <c r="V317" s="106"/>
    </row>
    <row r="318" spans="18:22" x14ac:dyDescent="0.25">
      <c r="R318" s="103"/>
      <c r="S318" s="103"/>
      <c r="T318" s="103"/>
      <c r="U318" s="104"/>
      <c r="V318" s="103"/>
    </row>
    <row r="319" spans="18:22" x14ac:dyDescent="0.25">
      <c r="R319" s="106"/>
      <c r="S319" s="106"/>
      <c r="T319" s="106"/>
      <c r="U319" s="107"/>
      <c r="V319" s="106"/>
    </row>
    <row r="320" spans="18:22" x14ac:dyDescent="0.25">
      <c r="R320" s="103"/>
      <c r="S320" s="103"/>
      <c r="T320" s="103"/>
      <c r="U320" s="104"/>
      <c r="V320" s="103"/>
    </row>
    <row r="321" spans="18:22" x14ac:dyDescent="0.25">
      <c r="R321" s="106"/>
      <c r="S321" s="106"/>
      <c r="T321" s="106"/>
      <c r="U321" s="107"/>
      <c r="V321" s="106"/>
    </row>
    <row r="322" spans="18:22" x14ac:dyDescent="0.25">
      <c r="R322" s="103"/>
      <c r="S322" s="103"/>
      <c r="T322" s="103"/>
      <c r="U322" s="104"/>
      <c r="V322" s="103"/>
    </row>
    <row r="323" spans="18:22" x14ac:dyDescent="0.25">
      <c r="R323" s="106"/>
      <c r="S323" s="106"/>
      <c r="T323" s="106"/>
      <c r="U323" s="107"/>
      <c r="V323" s="106"/>
    </row>
    <row r="324" spans="18:22" x14ac:dyDescent="0.25">
      <c r="R324" s="113"/>
      <c r="S324" s="113"/>
      <c r="T324" s="113"/>
      <c r="U324" s="104"/>
      <c r="V324" s="113"/>
    </row>
    <row r="325" spans="18:22" x14ac:dyDescent="0.25">
      <c r="R325" s="114"/>
      <c r="S325" s="114"/>
      <c r="T325" s="114"/>
      <c r="U325" s="107"/>
      <c r="V325" s="114"/>
    </row>
    <row r="326" spans="18:22" x14ac:dyDescent="0.25">
      <c r="R326" s="115"/>
      <c r="S326" s="115"/>
      <c r="T326" s="115"/>
      <c r="U326" s="116"/>
      <c r="V326" s="117"/>
    </row>
  </sheetData>
  <autoFilter ref="A2:AW273"/>
  <pageMargins left="0.70866141732283472" right="0.31496062992125984" top="0.55118110236220474" bottom="0.35433070866141736" header="0.11811023622047245" footer="0.31496062992125984"/>
  <pageSetup paperSize="9" scale="17" fitToHeight="0" orientation="landscape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S274"/>
  <sheetViews>
    <sheetView showGridLines="0" zoomScaleNormal="100" workbookViewId="0">
      <pane xSplit="2" ySplit="2" topLeftCell="C248" activePane="bottomRight" state="frozen"/>
      <selection sqref="A1:XFD2"/>
      <selection pane="topRight" sqref="A1:XFD2"/>
      <selection pane="bottomLeft" sqref="A1:XFD2"/>
      <selection pane="bottomRight" activeCell="T270" sqref="T270"/>
    </sheetView>
  </sheetViews>
  <sheetFormatPr defaultColWidth="25.7109375" defaultRowHeight="11.25" x14ac:dyDescent="0.2"/>
  <cols>
    <col min="1" max="1" width="5" style="137" bestFit="1" customWidth="1"/>
    <col min="2" max="2" width="27" style="137" customWidth="1"/>
    <col min="3" max="8" width="11.42578125" style="137" customWidth="1"/>
    <col min="9" max="10" width="17.7109375" style="137" customWidth="1"/>
    <col min="11" max="12" width="11.42578125" style="137" customWidth="1"/>
    <col min="13" max="14" width="17.7109375" style="137" customWidth="1"/>
    <col min="15" max="16" width="11.42578125" style="182" customWidth="1"/>
    <col min="17" max="18" width="11.42578125" style="183" customWidth="1"/>
    <col min="19" max="33" width="11.42578125" style="137" customWidth="1"/>
    <col min="34" max="34" width="14" style="137" customWidth="1"/>
    <col min="35" max="35" width="11.42578125" style="137" customWidth="1"/>
    <col min="36" max="36" width="15.140625" style="137" customWidth="1"/>
    <col min="37" max="45" width="12" style="137" customWidth="1"/>
    <col min="46" max="16384" width="25.7109375" style="137"/>
  </cols>
  <sheetData>
    <row r="1" spans="1:45" ht="90.75" thickBot="1" x14ac:dyDescent="0.25">
      <c r="A1" s="132" t="s">
        <v>316</v>
      </c>
      <c r="B1" s="132"/>
      <c r="C1" s="133" t="s">
        <v>317</v>
      </c>
      <c r="D1" s="135"/>
      <c r="E1" s="133" t="s">
        <v>318</v>
      </c>
      <c r="F1" s="135"/>
      <c r="G1" s="133" t="s">
        <v>319</v>
      </c>
      <c r="H1" s="135"/>
      <c r="I1" s="133" t="s">
        <v>388</v>
      </c>
      <c r="J1" s="135" t="s">
        <v>388</v>
      </c>
      <c r="K1" s="133" t="s">
        <v>320</v>
      </c>
      <c r="L1" s="135"/>
      <c r="M1" s="133" t="s">
        <v>389</v>
      </c>
      <c r="N1" s="135" t="s">
        <v>389</v>
      </c>
      <c r="O1" s="133" t="s">
        <v>321</v>
      </c>
      <c r="P1" s="135"/>
      <c r="Q1" s="133" t="s">
        <v>322</v>
      </c>
      <c r="R1" s="135"/>
      <c r="S1" s="133" t="s">
        <v>323</v>
      </c>
      <c r="T1" s="135"/>
      <c r="U1" s="133" t="s">
        <v>324</v>
      </c>
      <c r="V1" s="135"/>
      <c r="W1" s="133" t="s">
        <v>325</v>
      </c>
      <c r="X1" s="135"/>
      <c r="Y1" s="133" t="s">
        <v>326</v>
      </c>
      <c r="Z1" s="135"/>
      <c r="AA1" s="136" t="s">
        <v>327</v>
      </c>
      <c r="AB1" s="136"/>
      <c r="AC1" s="133" t="s">
        <v>328</v>
      </c>
      <c r="AD1" s="135"/>
      <c r="AE1" s="133" t="s">
        <v>329</v>
      </c>
      <c r="AF1" s="135"/>
      <c r="AG1" s="133" t="s">
        <v>330</v>
      </c>
      <c r="AH1" s="135"/>
      <c r="AI1" s="133" t="s">
        <v>331</v>
      </c>
      <c r="AJ1" s="135"/>
      <c r="AK1" s="133" t="s">
        <v>390</v>
      </c>
      <c r="AL1" s="135" t="s">
        <v>390</v>
      </c>
      <c r="AM1" s="133" t="s">
        <v>391</v>
      </c>
      <c r="AN1" s="135" t="s">
        <v>391</v>
      </c>
      <c r="AO1" s="133" t="s">
        <v>392</v>
      </c>
      <c r="AP1" s="135" t="s">
        <v>392</v>
      </c>
      <c r="AQ1" s="133" t="s">
        <v>332</v>
      </c>
      <c r="AR1" s="134" t="s">
        <v>333</v>
      </c>
      <c r="AS1" s="135" t="s">
        <v>334</v>
      </c>
    </row>
    <row r="2" spans="1:45" s="143" customFormat="1" ht="23.25" thickBot="1" x14ac:dyDescent="0.3">
      <c r="A2" s="138" t="s">
        <v>335</v>
      </c>
      <c r="B2" s="139"/>
      <c r="C2" s="140" t="s">
        <v>393</v>
      </c>
      <c r="D2" s="142" t="s">
        <v>394</v>
      </c>
      <c r="E2" s="140" t="s">
        <v>393</v>
      </c>
      <c r="F2" s="142" t="s">
        <v>394</v>
      </c>
      <c r="G2" s="140" t="s">
        <v>393</v>
      </c>
      <c r="H2" s="142" t="s">
        <v>394</v>
      </c>
      <c r="I2" s="140" t="s">
        <v>393</v>
      </c>
      <c r="J2" s="142" t="s">
        <v>394</v>
      </c>
      <c r="K2" s="140" t="s">
        <v>393</v>
      </c>
      <c r="L2" s="142" t="s">
        <v>394</v>
      </c>
      <c r="M2" s="140" t="s">
        <v>393</v>
      </c>
      <c r="N2" s="142" t="s">
        <v>394</v>
      </c>
      <c r="O2" s="140" t="s">
        <v>393</v>
      </c>
      <c r="P2" s="142" t="s">
        <v>394</v>
      </c>
      <c r="Q2" s="140" t="s">
        <v>393</v>
      </c>
      <c r="R2" s="142" t="s">
        <v>394</v>
      </c>
      <c r="S2" s="140" t="s">
        <v>393</v>
      </c>
      <c r="T2" s="142" t="s">
        <v>394</v>
      </c>
      <c r="U2" s="140" t="s">
        <v>393</v>
      </c>
      <c r="V2" s="142" t="s">
        <v>394</v>
      </c>
      <c r="W2" s="140" t="s">
        <v>393</v>
      </c>
      <c r="X2" s="142" t="s">
        <v>394</v>
      </c>
      <c r="Y2" s="140" t="s">
        <v>393</v>
      </c>
      <c r="Z2" s="142" t="s">
        <v>394</v>
      </c>
      <c r="AA2" s="140" t="s">
        <v>393</v>
      </c>
      <c r="AB2" s="142" t="s">
        <v>394</v>
      </c>
      <c r="AC2" s="140" t="s">
        <v>393</v>
      </c>
      <c r="AD2" s="142" t="s">
        <v>394</v>
      </c>
      <c r="AE2" s="140" t="s">
        <v>393</v>
      </c>
      <c r="AF2" s="142" t="s">
        <v>394</v>
      </c>
      <c r="AG2" s="140" t="s">
        <v>393</v>
      </c>
      <c r="AH2" s="142" t="s">
        <v>394</v>
      </c>
      <c r="AI2" s="140" t="s">
        <v>393</v>
      </c>
      <c r="AJ2" s="142" t="s">
        <v>394</v>
      </c>
      <c r="AK2" s="140" t="s">
        <v>393</v>
      </c>
      <c r="AL2" s="142" t="s">
        <v>394</v>
      </c>
      <c r="AM2" s="140" t="s">
        <v>393</v>
      </c>
      <c r="AN2" s="142" t="s">
        <v>394</v>
      </c>
      <c r="AO2" s="140" t="s">
        <v>393</v>
      </c>
      <c r="AP2" s="142" t="s">
        <v>394</v>
      </c>
      <c r="AQ2" s="140" t="s">
        <v>394</v>
      </c>
      <c r="AR2" s="141" t="s">
        <v>394</v>
      </c>
      <c r="AS2" s="142" t="s">
        <v>394</v>
      </c>
    </row>
    <row r="3" spans="1:45" x14ac:dyDescent="0.2">
      <c r="A3" s="144">
        <v>5101</v>
      </c>
      <c r="B3" s="145" t="s">
        <v>39</v>
      </c>
      <c r="C3" s="146">
        <v>0.33195668598940253</v>
      </c>
      <c r="D3" s="148">
        <v>0.3182966478306567</v>
      </c>
      <c r="E3" s="146">
        <v>0.40681288055386483</v>
      </c>
      <c r="F3" s="148">
        <v>0.69676344931863488</v>
      </c>
      <c r="G3" s="146">
        <v>-0.28243201123049849</v>
      </c>
      <c r="H3" s="148">
        <v>3.5197034173441694E-2</v>
      </c>
      <c r="I3" s="146">
        <v>0.1460762430514661</v>
      </c>
      <c r="J3" s="148">
        <v>9.2846364751686894E-2</v>
      </c>
      <c r="K3" s="149">
        <v>168</v>
      </c>
      <c r="L3" s="150">
        <v>112</v>
      </c>
      <c r="M3" s="146">
        <v>0</v>
      </c>
      <c r="N3" s="148">
        <v>0</v>
      </c>
      <c r="O3" s="149">
        <v>101.36507936507937</v>
      </c>
      <c r="P3" s="150">
        <v>110.59663865546219</v>
      </c>
      <c r="Q3" s="146">
        <v>0.33313650057746486</v>
      </c>
      <c r="R3" s="148">
        <v>0.47545074011964539</v>
      </c>
      <c r="S3" s="146">
        <v>0.45961258199722338</v>
      </c>
      <c r="T3" s="148">
        <v>0.2530306319795263</v>
      </c>
      <c r="U3" s="149">
        <v>14541836</v>
      </c>
      <c r="V3" s="150">
        <v>15745165</v>
      </c>
      <c r="W3" s="149">
        <v>56316846</v>
      </c>
      <c r="X3" s="150">
        <v>46281436</v>
      </c>
      <c r="Y3" s="149">
        <v>-12372337</v>
      </c>
      <c r="Z3" s="150">
        <v>1741090</v>
      </c>
      <c r="AA3" s="151">
        <v>5576957</v>
      </c>
      <c r="AB3" s="151">
        <v>6621362</v>
      </c>
      <c r="AC3" s="149">
        <v>2144200</v>
      </c>
      <c r="AD3" s="150">
        <v>1474592</v>
      </c>
      <c r="AE3" s="149">
        <v>0</v>
      </c>
      <c r="AF3" s="150">
        <v>0</v>
      </c>
      <c r="AG3" s="149">
        <v>635136.99999999907</v>
      </c>
      <c r="AH3" s="150">
        <v>5412499.79</v>
      </c>
      <c r="AI3" s="149">
        <v>11215328.440000001</v>
      </c>
      <c r="AJ3" s="150">
        <v>24622020.630000003</v>
      </c>
      <c r="AK3" s="146">
        <v>0</v>
      </c>
      <c r="AL3" s="148">
        <v>0</v>
      </c>
      <c r="AM3" s="146">
        <v>1.8576793411650604E-2</v>
      </c>
      <c r="AN3" s="148">
        <v>0.13487544436009555</v>
      </c>
      <c r="AO3" s="146">
        <v>0.32803133729209599</v>
      </c>
      <c r="AP3" s="148">
        <v>0.61356232838111391</v>
      </c>
      <c r="AQ3" s="146">
        <v>0.72069000000000005</v>
      </c>
      <c r="AR3" s="147">
        <v>0.78759000000000001</v>
      </c>
      <c r="AS3" s="148">
        <v>0.75409999999999999</v>
      </c>
    </row>
    <row r="4" spans="1:45" x14ac:dyDescent="0.2">
      <c r="A4" s="152">
        <v>5102</v>
      </c>
      <c r="B4" s="153" t="s">
        <v>40</v>
      </c>
      <c r="C4" s="154">
        <v>6.4945902061363178E-2</v>
      </c>
      <c r="D4" s="156">
        <v>5.6411103120748193E-2</v>
      </c>
      <c r="E4" s="154">
        <v>0.16415420072510836</v>
      </c>
      <c r="F4" s="156">
        <v>0.13787179081926068</v>
      </c>
      <c r="G4" s="154">
        <v>0.16192197946239206</v>
      </c>
      <c r="H4" s="156">
        <v>0.13541654268266154</v>
      </c>
      <c r="I4" s="154">
        <v>0</v>
      </c>
      <c r="J4" s="156">
        <v>0</v>
      </c>
      <c r="K4" s="157">
        <v>0</v>
      </c>
      <c r="L4" s="158">
        <v>0</v>
      </c>
      <c r="M4" s="154">
        <v>0</v>
      </c>
      <c r="N4" s="156">
        <v>0</v>
      </c>
      <c r="O4" s="157">
        <v>237.63157894736841</v>
      </c>
      <c r="P4" s="158">
        <v>219.02439024390245</v>
      </c>
      <c r="Q4" s="154">
        <v>0.49391284500597282</v>
      </c>
      <c r="R4" s="156">
        <v>0.48143576007043204</v>
      </c>
      <c r="S4" s="154">
        <v>0.2775435505320924</v>
      </c>
      <c r="T4" s="156">
        <v>0.29638462965000834</v>
      </c>
      <c r="U4" s="157">
        <v>1583840</v>
      </c>
      <c r="V4" s="158">
        <v>1663546</v>
      </c>
      <c r="W4" s="157">
        <v>20600839</v>
      </c>
      <c r="X4" s="158">
        <v>25144229</v>
      </c>
      <c r="Y4" s="157">
        <v>3948802</v>
      </c>
      <c r="Z4" s="158">
        <v>3993392</v>
      </c>
      <c r="AA4" s="159">
        <v>11212025</v>
      </c>
      <c r="AB4" s="159">
        <v>15159941</v>
      </c>
      <c r="AC4" s="157">
        <v>0</v>
      </c>
      <c r="AD4" s="158">
        <v>0</v>
      </c>
      <c r="AE4" s="157">
        <v>0</v>
      </c>
      <c r="AF4" s="158">
        <v>0</v>
      </c>
      <c r="AG4" s="157">
        <v>46047.349999999555</v>
      </c>
      <c r="AH4" s="158">
        <v>674713.73999999906</v>
      </c>
      <c r="AI4" s="157">
        <v>11339366.419999998</v>
      </c>
      <c r="AJ4" s="158">
        <v>25221801.549999997</v>
      </c>
      <c r="AK4" s="154">
        <v>0</v>
      </c>
      <c r="AL4" s="156">
        <v>0</v>
      </c>
      <c r="AM4" s="154">
        <v>3.1190978006893268E-3</v>
      </c>
      <c r="AN4" s="156">
        <v>3.7051438782352029E-2</v>
      </c>
      <c r="AO4" s="154">
        <v>0.7680918198730815</v>
      </c>
      <c r="AP4" s="156">
        <v>1.3850378030102923</v>
      </c>
      <c r="AQ4" s="154">
        <v>0.82013999999999998</v>
      </c>
      <c r="AR4" s="155">
        <v>0.77202999999999999</v>
      </c>
      <c r="AS4" s="156">
        <v>0.79610000000000003</v>
      </c>
    </row>
    <row r="5" spans="1:45" x14ac:dyDescent="0.2">
      <c r="A5" s="152">
        <v>5103</v>
      </c>
      <c r="B5" s="153" t="s">
        <v>38</v>
      </c>
      <c r="C5" s="154">
        <v>0.23666942082127373</v>
      </c>
      <c r="D5" s="156">
        <v>0.22726865442417232</v>
      </c>
      <c r="E5" s="154">
        <v>0.84417195792018374</v>
      </c>
      <c r="F5" s="156">
        <v>0.75835184937197153</v>
      </c>
      <c r="G5" s="154">
        <v>1.4820459200344661E-3</v>
      </c>
      <c r="H5" s="156">
        <v>-1.0776328089410449E-2</v>
      </c>
      <c r="I5" s="154">
        <v>0.83443529602846778</v>
      </c>
      <c r="J5" s="156">
        <v>0.58694849253637027</v>
      </c>
      <c r="K5" s="157">
        <v>393</v>
      </c>
      <c r="L5" s="158">
        <v>321</v>
      </c>
      <c r="M5" s="154">
        <v>0.15238775502670698</v>
      </c>
      <c r="N5" s="156">
        <v>5.7633277436160382E-2</v>
      </c>
      <c r="O5" s="157">
        <v>370.94623655913978</v>
      </c>
      <c r="P5" s="158">
        <v>423.40490797546011</v>
      </c>
      <c r="Q5" s="154">
        <v>0.68880639249854203</v>
      </c>
      <c r="R5" s="156">
        <v>0.68486671869172955</v>
      </c>
      <c r="S5" s="154">
        <v>6.9211850457392629E-2</v>
      </c>
      <c r="T5" s="156">
        <v>0.10883541194766409</v>
      </c>
      <c r="U5" s="157">
        <v>29779660</v>
      </c>
      <c r="V5" s="158">
        <v>34997316</v>
      </c>
      <c r="W5" s="157">
        <v>128684957</v>
      </c>
      <c r="X5" s="158">
        <v>160512380</v>
      </c>
      <c r="Y5" s="157">
        <v>186483</v>
      </c>
      <c r="Z5" s="158">
        <v>-1659457</v>
      </c>
      <c r="AA5" s="159">
        <v>12201919</v>
      </c>
      <c r="AB5" s="159">
        <v>8501244</v>
      </c>
      <c r="AC5" s="157">
        <v>27126123</v>
      </c>
      <c r="AD5" s="158">
        <v>22143463</v>
      </c>
      <c r="AE5" s="157">
        <v>4953876</v>
      </c>
      <c r="AF5" s="158">
        <v>2174297</v>
      </c>
      <c r="AG5" s="157">
        <v>6879728.2100000028</v>
      </c>
      <c r="AH5" s="158">
        <v>5823154.6999999993</v>
      </c>
      <c r="AI5" s="157">
        <v>44608594.539999999</v>
      </c>
      <c r="AJ5" s="158">
        <v>42307273.850000001</v>
      </c>
      <c r="AK5" s="154">
        <v>3.8496154604924025E-2</v>
      </c>
      <c r="AL5" s="156">
        <v>1.3545976952058152E-2</v>
      </c>
      <c r="AM5" s="154">
        <v>6.723407834860172E-2</v>
      </c>
      <c r="AN5" s="156">
        <v>4.7092860966934776E-2</v>
      </c>
      <c r="AO5" s="154">
        <v>0.43595003302076168</v>
      </c>
      <c r="AP5" s="156">
        <v>0.34214625369786</v>
      </c>
      <c r="AQ5" s="154">
        <v>0.85255000000000003</v>
      </c>
      <c r="AR5" s="155">
        <v>0.68218000000000001</v>
      </c>
      <c r="AS5" s="156">
        <v>0.76739999999999997</v>
      </c>
    </row>
    <row r="6" spans="1:45" x14ac:dyDescent="0.2">
      <c r="A6" s="152">
        <v>5104</v>
      </c>
      <c r="B6" s="153" t="s">
        <v>41</v>
      </c>
      <c r="C6" s="154">
        <v>0.1517977972479497</v>
      </c>
      <c r="D6" s="156">
        <v>0.14684057963048935</v>
      </c>
      <c r="E6" s="154">
        <v>0.4731718580697804</v>
      </c>
      <c r="F6" s="156">
        <v>0.45987052257820549</v>
      </c>
      <c r="G6" s="154">
        <v>-1.8611991192141707E-2</v>
      </c>
      <c r="H6" s="156">
        <v>-6.7722208269973081E-3</v>
      </c>
      <c r="I6" s="154">
        <v>0.7350139518863783</v>
      </c>
      <c r="J6" s="156">
        <v>0.39925076115436325</v>
      </c>
      <c r="K6" s="157">
        <v>311</v>
      </c>
      <c r="L6" s="158">
        <v>175</v>
      </c>
      <c r="M6" s="154">
        <v>2.9664448436348433E-2</v>
      </c>
      <c r="N6" s="156">
        <v>2.8945646003087064E-2</v>
      </c>
      <c r="O6" s="157">
        <v>276.28571428571428</v>
      </c>
      <c r="P6" s="158">
        <v>273.70476190476188</v>
      </c>
      <c r="Q6" s="154">
        <v>0.62670267424167347</v>
      </c>
      <c r="R6" s="156">
        <v>0.67118865000158079</v>
      </c>
      <c r="S6" s="154">
        <v>8.1162934782535417E-2</v>
      </c>
      <c r="T6" s="156">
        <v>8.5792057820803388E-2</v>
      </c>
      <c r="U6" s="157">
        <v>9098501</v>
      </c>
      <c r="V6" s="158">
        <v>9404234</v>
      </c>
      <c r="W6" s="157">
        <v>59331960</v>
      </c>
      <c r="X6" s="158">
        <v>66517789</v>
      </c>
      <c r="Y6" s="157">
        <v>-1115571</v>
      </c>
      <c r="Z6" s="158">
        <v>-433719</v>
      </c>
      <c r="AA6" s="159">
        <v>7414647</v>
      </c>
      <c r="AB6" s="159">
        <v>3116703</v>
      </c>
      <c r="AC6" s="157">
        <v>9022591</v>
      </c>
      <c r="AD6" s="158">
        <v>5022668</v>
      </c>
      <c r="AE6" s="157">
        <v>364143</v>
      </c>
      <c r="AF6" s="158">
        <v>364143</v>
      </c>
      <c r="AG6" s="157">
        <v>4583379.7299999977</v>
      </c>
      <c r="AH6" s="158">
        <v>3909845.0699999966</v>
      </c>
      <c r="AI6" s="157">
        <v>21476499.030000001</v>
      </c>
      <c r="AJ6" s="158">
        <v>29581352.720000003</v>
      </c>
      <c r="AK6" s="154">
        <v>6.1373836293289489E-3</v>
      </c>
      <c r="AL6" s="156">
        <v>5.4743701718648523E-3</v>
      </c>
      <c r="AM6" s="154">
        <v>9.6924008441481052E-2</v>
      </c>
      <c r="AN6" s="156">
        <v>7.0858334675798523E-2</v>
      </c>
      <c r="AO6" s="154">
        <v>0.45416013856595311</v>
      </c>
      <c r="AP6" s="156">
        <v>0.53610446288006108</v>
      </c>
      <c r="AQ6" s="154">
        <v>0.83928000000000003</v>
      </c>
      <c r="AR6" s="155">
        <v>0.75285999999999997</v>
      </c>
      <c r="AS6" s="156">
        <v>0.79610000000000003</v>
      </c>
    </row>
    <row r="7" spans="1:45" x14ac:dyDescent="0.2">
      <c r="A7" s="152">
        <v>5105</v>
      </c>
      <c r="B7" s="153" t="s">
        <v>42</v>
      </c>
      <c r="C7" s="154">
        <v>0.10823390830473112</v>
      </c>
      <c r="D7" s="156">
        <v>0.10226832638365817</v>
      </c>
      <c r="E7" s="154">
        <v>0.28562078933091445</v>
      </c>
      <c r="F7" s="156">
        <v>0.38609968941682304</v>
      </c>
      <c r="G7" s="154">
        <v>-6.3906989864717087E-2</v>
      </c>
      <c r="H7" s="156">
        <v>1.6086687761843577E-2</v>
      </c>
      <c r="I7" s="154">
        <v>0</v>
      </c>
      <c r="J7" s="156">
        <v>0</v>
      </c>
      <c r="K7" s="157">
        <v>0</v>
      </c>
      <c r="L7" s="158">
        <v>0</v>
      </c>
      <c r="M7" s="154">
        <v>0</v>
      </c>
      <c r="N7" s="156">
        <v>0</v>
      </c>
      <c r="O7" s="157">
        <v>250.35593220338984</v>
      </c>
      <c r="P7" s="158">
        <v>250.37288135593221</v>
      </c>
      <c r="Q7" s="154">
        <v>0.55503538093348181</v>
      </c>
      <c r="R7" s="156">
        <v>0.56199974744448566</v>
      </c>
      <c r="S7" s="154">
        <v>0.25079365672485215</v>
      </c>
      <c r="T7" s="156">
        <v>0.26128048787672004</v>
      </c>
      <c r="U7" s="157">
        <v>3283566</v>
      </c>
      <c r="V7" s="158">
        <v>3988504</v>
      </c>
      <c r="W7" s="157">
        <v>32649506</v>
      </c>
      <c r="X7" s="158">
        <v>38193583</v>
      </c>
      <c r="Y7" s="157">
        <v>-1938790</v>
      </c>
      <c r="Z7" s="158">
        <v>627387</v>
      </c>
      <c r="AA7" s="159">
        <v>2862145</v>
      </c>
      <c r="AB7" s="159">
        <v>3607052</v>
      </c>
      <c r="AC7" s="157">
        <v>0</v>
      </c>
      <c r="AD7" s="158">
        <v>0</v>
      </c>
      <c r="AE7" s="157">
        <v>0</v>
      </c>
      <c r="AF7" s="158">
        <v>0</v>
      </c>
      <c r="AG7" s="157">
        <v>179857.92000000045</v>
      </c>
      <c r="AH7" s="158">
        <v>718068.17000000039</v>
      </c>
      <c r="AI7" s="157">
        <v>14738277.219999999</v>
      </c>
      <c r="AJ7" s="158">
        <v>21128916.460000001</v>
      </c>
      <c r="AK7" s="154">
        <v>0</v>
      </c>
      <c r="AL7" s="156">
        <v>0</v>
      </c>
      <c r="AM7" s="154">
        <v>6.9306026561246686E-3</v>
      </c>
      <c r="AN7" s="156">
        <v>2.3086783145470427E-2</v>
      </c>
      <c r="AO7" s="154">
        <v>0.56792129725303964</v>
      </c>
      <c r="AP7" s="156">
        <v>0.67932089568986243</v>
      </c>
      <c r="AQ7" s="154">
        <v>0.80613000000000001</v>
      </c>
      <c r="AR7" s="155">
        <v>0.72360000000000002</v>
      </c>
      <c r="AS7" s="156">
        <v>0.76490000000000002</v>
      </c>
    </row>
    <row r="8" spans="1:45" x14ac:dyDescent="0.2">
      <c r="A8" s="152">
        <v>5106</v>
      </c>
      <c r="B8" s="153" t="s">
        <v>43</v>
      </c>
      <c r="C8" s="154">
        <v>9.9968029257128596E-2</v>
      </c>
      <c r="D8" s="156">
        <v>8.6320675427150467E-2</v>
      </c>
      <c r="E8" s="154">
        <v>0.14179314177758837</v>
      </c>
      <c r="F8" s="156">
        <v>0.12691188662697034</v>
      </c>
      <c r="G8" s="154">
        <v>-0.1699984550723338</v>
      </c>
      <c r="H8" s="156">
        <v>-0.12047738622200826</v>
      </c>
      <c r="I8" s="154">
        <v>0</v>
      </c>
      <c r="J8" s="156">
        <v>1.2904907066720035</v>
      </c>
      <c r="K8" s="157">
        <v>0</v>
      </c>
      <c r="L8" s="158">
        <v>772</v>
      </c>
      <c r="M8" s="154">
        <v>0.12592757815160716</v>
      </c>
      <c r="N8" s="156">
        <v>0.14745932543771889</v>
      </c>
      <c r="O8" s="157">
        <v>143.60655737704917</v>
      </c>
      <c r="P8" s="158">
        <v>152.28070175438597</v>
      </c>
      <c r="Q8" s="154">
        <v>0.32436834119280528</v>
      </c>
      <c r="R8" s="156">
        <v>0.33562693113463477</v>
      </c>
      <c r="S8" s="154">
        <v>0.52428382636471671</v>
      </c>
      <c r="T8" s="156">
        <v>0.53696190554875767</v>
      </c>
      <c r="U8" s="157">
        <v>1640976</v>
      </c>
      <c r="V8" s="158">
        <v>1734687</v>
      </c>
      <c r="W8" s="157">
        <v>19490071</v>
      </c>
      <c r="X8" s="158">
        <v>23105911</v>
      </c>
      <c r="Y8" s="157">
        <v>-2790526</v>
      </c>
      <c r="Z8" s="158">
        <v>-2421095</v>
      </c>
      <c r="AA8" s="159">
        <v>3001531</v>
      </c>
      <c r="AB8" s="159">
        <v>3942046</v>
      </c>
      <c r="AC8" s="157">
        <v>0</v>
      </c>
      <c r="AD8" s="158">
        <v>3349839</v>
      </c>
      <c r="AE8" s="157">
        <v>315030</v>
      </c>
      <c r="AF8" s="158">
        <v>382773</v>
      </c>
      <c r="AG8" s="157">
        <v>3059697.0200000009</v>
      </c>
      <c r="AH8" s="158">
        <v>2177354.7400000012</v>
      </c>
      <c r="AI8" s="157">
        <v>5334187.2300000004</v>
      </c>
      <c r="AJ8" s="158">
        <v>33784723.18</v>
      </c>
      <c r="AK8" s="154">
        <v>1.6163614796477651E-2</v>
      </c>
      <c r="AL8" s="156">
        <v>1.6566020703533395E-2</v>
      </c>
      <c r="AM8" s="154">
        <v>0.28285425803910275</v>
      </c>
      <c r="AN8" s="156">
        <v>0.14775484780201451</v>
      </c>
      <c r="AO8" s="154">
        <v>0.49311992701267732</v>
      </c>
      <c r="AP8" s="156">
        <v>2.2926244124529238</v>
      </c>
      <c r="AQ8" s="154">
        <v>0.85704000000000002</v>
      </c>
      <c r="AR8" s="155">
        <v>0.75251000000000001</v>
      </c>
      <c r="AS8" s="156">
        <v>0.80479999999999996</v>
      </c>
    </row>
    <row r="9" spans="1:45" x14ac:dyDescent="0.2">
      <c r="A9" s="152">
        <v>5107</v>
      </c>
      <c r="B9" s="153" t="s">
        <v>44</v>
      </c>
      <c r="C9" s="154">
        <v>0.17194509143025807</v>
      </c>
      <c r="D9" s="156">
        <v>0.18754402794776551</v>
      </c>
      <c r="E9" s="154">
        <v>0.60180636474385008</v>
      </c>
      <c r="F9" s="156">
        <v>0.47227893389593739</v>
      </c>
      <c r="G9" s="154">
        <v>-4.0222957949770537E-2</v>
      </c>
      <c r="H9" s="156">
        <v>-9.0020447132596465E-2</v>
      </c>
      <c r="I9" s="154">
        <v>0.77041534565510961</v>
      </c>
      <c r="J9" s="156">
        <v>0.42444333846076926</v>
      </c>
      <c r="K9" s="157">
        <v>292</v>
      </c>
      <c r="L9" s="158">
        <v>171</v>
      </c>
      <c r="M9" s="154">
        <v>0</v>
      </c>
      <c r="N9" s="156">
        <v>0</v>
      </c>
      <c r="O9" s="157">
        <v>336.32974910394267</v>
      </c>
      <c r="P9" s="158">
        <v>333.62857142857143</v>
      </c>
      <c r="Q9" s="154">
        <v>0.6045458790583047</v>
      </c>
      <c r="R9" s="156">
        <v>0.5632545868005302</v>
      </c>
      <c r="S9" s="154">
        <v>0.12194011219853486</v>
      </c>
      <c r="T9" s="156">
        <v>0.20199864585919175</v>
      </c>
      <c r="U9" s="157">
        <v>14078959</v>
      </c>
      <c r="V9" s="158">
        <v>15073867</v>
      </c>
      <c r="W9" s="157">
        <v>77393524</v>
      </c>
      <c r="X9" s="158">
        <v>97735774</v>
      </c>
      <c r="Y9" s="157">
        <v>-3293478</v>
      </c>
      <c r="Z9" s="158">
        <v>-7235401</v>
      </c>
      <c r="AA9" s="159">
        <v>16907550</v>
      </c>
      <c r="AB9" s="159">
        <v>4841629</v>
      </c>
      <c r="AC9" s="157">
        <v>13703038</v>
      </c>
      <c r="AD9" s="158">
        <v>7971329</v>
      </c>
      <c r="AE9" s="157">
        <v>0</v>
      </c>
      <c r="AF9" s="158">
        <v>0</v>
      </c>
      <c r="AG9" s="157">
        <v>451427.88000000134</v>
      </c>
      <c r="AH9" s="158">
        <v>1016715.9600000009</v>
      </c>
      <c r="AI9" s="157">
        <v>24314616.82</v>
      </c>
      <c r="AJ9" s="158">
        <v>34841981.060000002</v>
      </c>
      <c r="AK9" s="154">
        <v>0</v>
      </c>
      <c r="AL9" s="156">
        <v>0</v>
      </c>
      <c r="AM9" s="154">
        <v>7.4271294538801004E-3</v>
      </c>
      <c r="AN9" s="156">
        <v>1.3736814918354864E-2</v>
      </c>
      <c r="AO9" s="154">
        <v>0.40003689347594124</v>
      </c>
      <c r="AP9" s="156">
        <v>0.47074882665365581</v>
      </c>
      <c r="AQ9" s="154">
        <v>0.80256000000000005</v>
      </c>
      <c r="AR9" s="155">
        <v>0.47442000000000001</v>
      </c>
      <c r="AS9" s="156">
        <v>0.63849999999999996</v>
      </c>
    </row>
    <row r="10" spans="1:45" x14ac:dyDescent="0.2">
      <c r="A10" s="152">
        <v>5108</v>
      </c>
      <c r="B10" s="153" t="s">
        <v>45</v>
      </c>
      <c r="C10" s="154">
        <v>0.26495060302532819</v>
      </c>
      <c r="D10" s="156">
        <v>0.23797417435156626</v>
      </c>
      <c r="E10" s="154">
        <v>0.44079794429931396</v>
      </c>
      <c r="F10" s="156">
        <v>0.5349929445732784</v>
      </c>
      <c r="G10" s="154">
        <v>-0.20038294459469655</v>
      </c>
      <c r="H10" s="156">
        <v>-7.793631464264332E-2</v>
      </c>
      <c r="I10" s="154">
        <v>0.44528742349661055</v>
      </c>
      <c r="J10" s="156">
        <v>0.63231493645112191</v>
      </c>
      <c r="K10" s="157">
        <v>296</v>
      </c>
      <c r="L10" s="158">
        <v>407</v>
      </c>
      <c r="M10" s="154">
        <v>0</v>
      </c>
      <c r="N10" s="156">
        <v>0</v>
      </c>
      <c r="O10" s="157">
        <v>139.9624060150376</v>
      </c>
      <c r="P10" s="158">
        <v>138.66917293233084</v>
      </c>
      <c r="Q10" s="154">
        <v>0.44168107953107921</v>
      </c>
      <c r="R10" s="156">
        <v>0.53361878309076449</v>
      </c>
      <c r="S10" s="154">
        <v>0.241600019278148</v>
      </c>
      <c r="T10" s="156">
        <v>0.14202072140875274</v>
      </c>
      <c r="U10" s="157">
        <v>10936640</v>
      </c>
      <c r="V10" s="158">
        <v>10417893</v>
      </c>
      <c r="W10" s="157">
        <v>49548328</v>
      </c>
      <c r="X10" s="158">
        <v>47779570</v>
      </c>
      <c r="Y10" s="157">
        <v>-8271414</v>
      </c>
      <c r="Z10" s="158">
        <v>-3411850</v>
      </c>
      <c r="AA10" s="159">
        <v>2563566</v>
      </c>
      <c r="AB10" s="159">
        <v>1958704</v>
      </c>
      <c r="AC10" s="157">
        <v>5516372</v>
      </c>
      <c r="AD10" s="158">
        <v>7510253</v>
      </c>
      <c r="AE10" s="157">
        <v>0</v>
      </c>
      <c r="AF10" s="158">
        <v>0</v>
      </c>
      <c r="AG10" s="157">
        <v>1694947.0500000014</v>
      </c>
      <c r="AH10" s="158">
        <v>4267816.9200000018</v>
      </c>
      <c r="AI10" s="157">
        <v>25853183.609999999</v>
      </c>
      <c r="AJ10" s="158">
        <v>23982333.520000003</v>
      </c>
      <c r="AK10" s="154">
        <v>0</v>
      </c>
      <c r="AL10" s="156">
        <v>0</v>
      </c>
      <c r="AM10" s="154">
        <v>4.9902207754415333E-2</v>
      </c>
      <c r="AN10" s="156">
        <v>0.10576836329571312</v>
      </c>
      <c r="AO10" s="154">
        <v>0.76116297533853006</v>
      </c>
      <c r="AP10" s="156">
        <v>0.59434887015310811</v>
      </c>
      <c r="AQ10" s="154">
        <v>0.77766000000000002</v>
      </c>
      <c r="AR10" s="155">
        <v>0.76785000000000003</v>
      </c>
      <c r="AS10" s="156">
        <v>0.77280000000000004</v>
      </c>
    </row>
    <row r="11" spans="1:45" x14ac:dyDescent="0.2">
      <c r="A11" s="152">
        <v>5109</v>
      </c>
      <c r="B11" s="153" t="s">
        <v>46</v>
      </c>
      <c r="C11" s="154">
        <v>0.15424957832937677</v>
      </c>
      <c r="D11" s="156">
        <v>0.16134508105261017</v>
      </c>
      <c r="E11" s="154">
        <v>0.32545421935018826</v>
      </c>
      <c r="F11" s="156">
        <v>0.44008614824150005</v>
      </c>
      <c r="G11" s="154">
        <v>-7.4672141516225962E-2</v>
      </c>
      <c r="H11" s="156">
        <v>1.4710703660102874E-2</v>
      </c>
      <c r="I11" s="154">
        <v>0.23524804640225638</v>
      </c>
      <c r="J11" s="156">
        <v>0.15419390331064628</v>
      </c>
      <c r="K11" s="157">
        <v>97</v>
      </c>
      <c r="L11" s="158">
        <v>71</v>
      </c>
      <c r="M11" s="154">
        <v>0.23057687145776046</v>
      </c>
      <c r="N11" s="156">
        <v>0.17785371943119496</v>
      </c>
      <c r="O11" s="157">
        <v>335.86666666666667</v>
      </c>
      <c r="P11" s="158">
        <v>333.67619047619047</v>
      </c>
      <c r="Q11" s="154">
        <v>0.57243483585276056</v>
      </c>
      <c r="R11" s="156">
        <v>0.6575472731232479</v>
      </c>
      <c r="S11" s="154">
        <v>0.22194121962060695</v>
      </c>
      <c r="T11" s="156">
        <v>0.12857076633640982</v>
      </c>
      <c r="U11" s="157">
        <v>10743992</v>
      </c>
      <c r="V11" s="158">
        <v>12286087</v>
      </c>
      <c r="W11" s="157">
        <v>74890568</v>
      </c>
      <c r="X11" s="158">
        <v>75307749</v>
      </c>
      <c r="Y11" s="157">
        <v>-5201161</v>
      </c>
      <c r="Z11" s="158">
        <v>1120189</v>
      </c>
      <c r="AA11" s="159">
        <v>6289799</v>
      </c>
      <c r="AB11" s="159">
        <v>6360194</v>
      </c>
      <c r="AC11" s="157">
        <v>3425045</v>
      </c>
      <c r="AD11" s="158">
        <v>2482489</v>
      </c>
      <c r="AE11" s="157">
        <v>3357036</v>
      </c>
      <c r="AF11" s="158">
        <v>2863407</v>
      </c>
      <c r="AG11" s="157">
        <v>3503820.2099999995</v>
      </c>
      <c r="AH11" s="158">
        <v>2969543.0900000012</v>
      </c>
      <c r="AI11" s="157">
        <v>33081493.599999998</v>
      </c>
      <c r="AJ11" s="158">
        <v>37765832.379999995</v>
      </c>
      <c r="AK11" s="154">
        <v>4.4825885150183396E-2</v>
      </c>
      <c r="AL11" s="156">
        <v>3.8022740528335271E-2</v>
      </c>
      <c r="AM11" s="154">
        <v>6.3698783863462935E-2</v>
      </c>
      <c r="AN11" s="156">
        <v>4.6058523830143673E-2</v>
      </c>
      <c r="AO11" s="154">
        <v>0.60141525090036863</v>
      </c>
      <c r="AP11" s="156">
        <v>0.58575963975637768</v>
      </c>
      <c r="AQ11" s="154">
        <v>0.83550999999999997</v>
      </c>
      <c r="AR11" s="155">
        <v>0.72274000000000005</v>
      </c>
      <c r="AS11" s="156">
        <v>0.77910000000000001</v>
      </c>
    </row>
    <row r="12" spans="1:45" x14ac:dyDescent="0.2">
      <c r="A12" s="152">
        <v>5110</v>
      </c>
      <c r="B12" s="153" t="s">
        <v>47</v>
      </c>
      <c r="C12" s="154">
        <v>7.0760586205324258E-2</v>
      </c>
      <c r="D12" s="156">
        <v>6.437869320070029E-2</v>
      </c>
      <c r="E12" s="154">
        <v>0.30882513475205953</v>
      </c>
      <c r="F12" s="156">
        <v>0.23675630933477482</v>
      </c>
      <c r="G12" s="154">
        <v>4.2495294423690121E-2</v>
      </c>
      <c r="H12" s="156">
        <v>-0.12682398572150888</v>
      </c>
      <c r="I12" s="154">
        <v>0.11233449068485199</v>
      </c>
      <c r="J12" s="156">
        <v>0.21262575270878425</v>
      </c>
      <c r="K12" s="157">
        <v>33</v>
      </c>
      <c r="L12" s="158">
        <v>65</v>
      </c>
      <c r="M12" s="154">
        <v>0.22211880999964173</v>
      </c>
      <c r="N12" s="156">
        <v>8.4796746353114169E-2</v>
      </c>
      <c r="O12" s="157">
        <v>178.38095238095238</v>
      </c>
      <c r="P12" s="158">
        <v>176.1360544217687</v>
      </c>
      <c r="Q12" s="154">
        <v>0.72431562580612363</v>
      </c>
      <c r="R12" s="156">
        <v>0.65957675978198704</v>
      </c>
      <c r="S12" s="154">
        <v>7.1954920838922798E-2</v>
      </c>
      <c r="T12" s="156">
        <v>0.15370256477394517</v>
      </c>
      <c r="U12" s="157">
        <v>1773798</v>
      </c>
      <c r="V12" s="158">
        <v>1850046</v>
      </c>
      <c r="W12" s="157">
        <v>23996010</v>
      </c>
      <c r="X12" s="158">
        <v>32141936</v>
      </c>
      <c r="Y12" s="157">
        <v>1065255</v>
      </c>
      <c r="Z12" s="158">
        <v>-3644532</v>
      </c>
      <c r="AA12" s="159">
        <v>5886107</v>
      </c>
      <c r="AB12" s="159">
        <v>3123589</v>
      </c>
      <c r="AC12" s="157">
        <v>432701</v>
      </c>
      <c r="AD12" s="158">
        <v>835225</v>
      </c>
      <c r="AE12" s="157">
        <v>855579</v>
      </c>
      <c r="AF12" s="158">
        <v>333094</v>
      </c>
      <c r="AG12" s="157">
        <v>1024919.6599999998</v>
      </c>
      <c r="AH12" s="158">
        <v>443706.56000000035</v>
      </c>
      <c r="AI12" s="157">
        <v>3144507.6499999994</v>
      </c>
      <c r="AJ12" s="158">
        <v>5375827.4000000004</v>
      </c>
      <c r="AK12" s="154">
        <v>3.5655052652503481E-2</v>
      </c>
      <c r="AL12" s="156">
        <v>1.0363221431341286E-2</v>
      </c>
      <c r="AM12" s="154">
        <v>5.2997806959824555E-2</v>
      </c>
      <c r="AN12" s="156">
        <v>1.8871716839795927E-2</v>
      </c>
      <c r="AO12" s="154">
        <v>0.1626000709347224</v>
      </c>
      <c r="AP12" s="156">
        <v>0.22864456291206575</v>
      </c>
      <c r="AQ12" s="154">
        <v>0.86123000000000005</v>
      </c>
      <c r="AR12" s="155">
        <v>0.79227999999999998</v>
      </c>
      <c r="AS12" s="156">
        <v>0.82679999999999998</v>
      </c>
    </row>
    <row r="13" spans="1:45" x14ac:dyDescent="0.2">
      <c r="A13" s="152">
        <v>5111</v>
      </c>
      <c r="B13" s="153" t="s">
        <v>48</v>
      </c>
      <c r="C13" s="154">
        <v>0.13635311376312445</v>
      </c>
      <c r="D13" s="156">
        <v>0.12713506306611486</v>
      </c>
      <c r="E13" s="154">
        <v>0.39737112480076897</v>
      </c>
      <c r="F13" s="156">
        <v>0.28983880855659561</v>
      </c>
      <c r="G13" s="154">
        <v>4.2048983479671719E-3</v>
      </c>
      <c r="H13" s="156">
        <v>-1.7754713735014242E-2</v>
      </c>
      <c r="I13" s="154">
        <v>0.93473059746269871</v>
      </c>
      <c r="J13" s="156">
        <v>0.89641679822760878</v>
      </c>
      <c r="K13" s="157">
        <v>394</v>
      </c>
      <c r="L13" s="158">
        <v>429</v>
      </c>
      <c r="M13" s="154">
        <v>0.38786939712445084</v>
      </c>
      <c r="N13" s="156">
        <v>0.15426714042317238</v>
      </c>
      <c r="O13" s="157">
        <v>165.03846153846155</v>
      </c>
      <c r="P13" s="158">
        <v>198.578125</v>
      </c>
      <c r="Q13" s="154">
        <v>0.56436613449397521</v>
      </c>
      <c r="R13" s="156">
        <v>0.50432009136468614</v>
      </c>
      <c r="S13" s="154">
        <v>0.15690994805811243</v>
      </c>
      <c r="T13" s="156">
        <v>0.27763978318717342</v>
      </c>
      <c r="U13" s="157">
        <v>3690119</v>
      </c>
      <c r="V13" s="158">
        <v>4332565</v>
      </c>
      <c r="W13" s="157">
        <v>26857322</v>
      </c>
      <c r="X13" s="158">
        <v>34772297</v>
      </c>
      <c r="Y13" s="157">
        <v>113797</v>
      </c>
      <c r="Z13" s="158">
        <v>-605053</v>
      </c>
      <c r="AA13" s="159">
        <v>434246</v>
      </c>
      <c r="AB13" s="159">
        <v>66545</v>
      </c>
      <c r="AC13" s="157">
        <v>5077007</v>
      </c>
      <c r="AD13" s="158">
        <v>5448121</v>
      </c>
      <c r="AE13" s="157">
        <v>2106720</v>
      </c>
      <c r="AF13" s="158">
        <v>937584</v>
      </c>
      <c r="AG13" s="157">
        <v>645224.85000000033</v>
      </c>
      <c r="AH13" s="158">
        <v>1269228.7400000023</v>
      </c>
      <c r="AI13" s="157">
        <v>16596802.489999998</v>
      </c>
      <c r="AJ13" s="158">
        <v>19003113.48</v>
      </c>
      <c r="AK13" s="154">
        <v>7.8441178908306639E-2</v>
      </c>
      <c r="AL13" s="156">
        <v>2.6963533642888188E-2</v>
      </c>
      <c r="AM13" s="154">
        <v>2.924019126119029E-2</v>
      </c>
      <c r="AN13" s="156">
        <v>4.8121239878683622E-2</v>
      </c>
      <c r="AO13" s="154">
        <v>0.7521311045781931</v>
      </c>
      <c r="AP13" s="156">
        <v>0.72047957424358722</v>
      </c>
      <c r="AQ13" s="154">
        <v>0.89251000000000003</v>
      </c>
      <c r="AR13" s="155">
        <v>0.74034</v>
      </c>
      <c r="AS13" s="156">
        <v>0.81640000000000001</v>
      </c>
    </row>
    <row r="14" spans="1:45" x14ac:dyDescent="0.2">
      <c r="A14" s="152">
        <v>5112</v>
      </c>
      <c r="B14" s="153" t="s">
        <v>49</v>
      </c>
      <c r="C14" s="154">
        <v>6.5229536143456737E-2</v>
      </c>
      <c r="D14" s="156">
        <v>9.3891262607435078E-2</v>
      </c>
      <c r="E14" s="154">
        <v>0.12682351288157706</v>
      </c>
      <c r="F14" s="156">
        <v>0.15500004028879005</v>
      </c>
      <c r="G14" s="154">
        <v>-4.0244320658070143E-4</v>
      </c>
      <c r="H14" s="156">
        <v>-0.36806983837223989</v>
      </c>
      <c r="I14" s="154">
        <v>0.13446870587605481</v>
      </c>
      <c r="J14" s="156">
        <v>0</v>
      </c>
      <c r="K14" s="157">
        <v>67</v>
      </c>
      <c r="L14" s="158">
        <v>0</v>
      </c>
      <c r="M14" s="154">
        <v>1.6601118420025385</v>
      </c>
      <c r="N14" s="156">
        <v>1.5694963367351562</v>
      </c>
      <c r="O14" s="157">
        <v>124.36111111111111</v>
      </c>
      <c r="P14" s="158">
        <v>121.32432432432432</v>
      </c>
      <c r="Q14" s="154">
        <v>0.42095055503947593</v>
      </c>
      <c r="R14" s="156">
        <v>0.48476178821221599</v>
      </c>
      <c r="S14" s="154">
        <v>0.32822887216218249</v>
      </c>
      <c r="T14" s="156">
        <v>0.23259821387923921</v>
      </c>
      <c r="U14" s="157">
        <v>1088555</v>
      </c>
      <c r="V14" s="158">
        <v>1231112</v>
      </c>
      <c r="W14" s="157">
        <v>16182903</v>
      </c>
      <c r="X14" s="158">
        <v>17748408</v>
      </c>
      <c r="Y14" s="157">
        <v>-6716</v>
      </c>
      <c r="Z14" s="158">
        <v>-4826170</v>
      </c>
      <c r="AA14" s="159">
        <v>5433218</v>
      </c>
      <c r="AB14" s="159">
        <v>511845</v>
      </c>
      <c r="AC14" s="157">
        <v>301419</v>
      </c>
      <c r="AD14" s="158">
        <v>0</v>
      </c>
      <c r="AE14" s="157">
        <v>3721232</v>
      </c>
      <c r="AF14" s="158">
        <v>3742012</v>
      </c>
      <c r="AG14" s="157">
        <v>4465458.67</v>
      </c>
      <c r="AH14" s="158">
        <v>4319588.28</v>
      </c>
      <c r="AI14" s="157">
        <v>15022779.25</v>
      </c>
      <c r="AJ14" s="158">
        <v>13548910.149999999</v>
      </c>
      <c r="AK14" s="154">
        <v>0.2299483596978861</v>
      </c>
      <c r="AL14" s="156">
        <v>0.21083648741904062</v>
      </c>
      <c r="AM14" s="154">
        <v>0.44609272600892014</v>
      </c>
      <c r="AN14" s="156">
        <v>0.33652139424442151</v>
      </c>
      <c r="AO14" s="154">
        <v>1.5007534596357019</v>
      </c>
      <c r="AP14" s="156">
        <v>1.0555399817341835</v>
      </c>
      <c r="AQ14" s="154">
        <v>0.77259999999999995</v>
      </c>
      <c r="AR14" s="155">
        <v>0.79547999999999996</v>
      </c>
      <c r="AS14" s="156">
        <v>0.78400000000000003</v>
      </c>
    </row>
    <row r="15" spans="1:45" x14ac:dyDescent="0.2">
      <c r="A15" s="152">
        <v>5113</v>
      </c>
      <c r="B15" s="153" t="s">
        <v>50</v>
      </c>
      <c r="C15" s="154">
        <v>0.10117821564244317</v>
      </c>
      <c r="D15" s="156">
        <v>0.14119508236612471</v>
      </c>
      <c r="E15" s="154">
        <v>0.35884613285188594</v>
      </c>
      <c r="F15" s="156">
        <v>0.57841632117876229</v>
      </c>
      <c r="G15" s="154">
        <v>-3.8283441967057352E-2</v>
      </c>
      <c r="H15" s="156">
        <v>2.4242651719641149E-3</v>
      </c>
      <c r="I15" s="154">
        <v>5.5837617143703326E-2</v>
      </c>
      <c r="J15" s="156">
        <v>6.5310354754840949E-3</v>
      </c>
      <c r="K15" s="157">
        <v>21</v>
      </c>
      <c r="L15" s="158">
        <v>3</v>
      </c>
      <c r="M15" s="154">
        <v>0</v>
      </c>
      <c r="N15" s="156">
        <v>0</v>
      </c>
      <c r="O15" s="157">
        <v>186.32608695652175</v>
      </c>
      <c r="P15" s="158">
        <v>184.56521739130434</v>
      </c>
      <c r="Q15" s="154">
        <v>0.51990939418867976</v>
      </c>
      <c r="R15" s="156">
        <v>0.63555923808272541</v>
      </c>
      <c r="S15" s="154">
        <v>0.2742591502259622</v>
      </c>
      <c r="T15" s="156">
        <v>0.15632893483662202</v>
      </c>
      <c r="U15" s="157">
        <v>1742128</v>
      </c>
      <c r="V15" s="158">
        <v>2452705</v>
      </c>
      <c r="W15" s="157">
        <v>17471727</v>
      </c>
      <c r="X15" s="158">
        <v>17384197</v>
      </c>
      <c r="Y15" s="157">
        <v>-659180</v>
      </c>
      <c r="Z15" s="158">
        <v>42112</v>
      </c>
      <c r="AA15" s="159">
        <v>1987084</v>
      </c>
      <c r="AB15" s="159">
        <v>2176989</v>
      </c>
      <c r="AC15" s="157">
        <v>179486</v>
      </c>
      <c r="AD15" s="158">
        <v>25635</v>
      </c>
      <c r="AE15" s="157">
        <v>0</v>
      </c>
      <c r="AF15" s="158">
        <v>0</v>
      </c>
      <c r="AG15" s="157">
        <v>155022.76999999981</v>
      </c>
      <c r="AH15" s="158">
        <v>231993.79999999984</v>
      </c>
      <c r="AI15" s="157">
        <v>4705735.5599999996</v>
      </c>
      <c r="AJ15" s="158">
        <v>10985704.09</v>
      </c>
      <c r="AK15" s="154">
        <v>0</v>
      </c>
      <c r="AL15" s="156">
        <v>0</v>
      </c>
      <c r="AM15" s="154">
        <v>1.2182142486399835E-2</v>
      </c>
      <c r="AN15" s="156">
        <v>1.5697906289926684E-2</v>
      </c>
      <c r="AO15" s="154">
        <v>0.36979045784847336</v>
      </c>
      <c r="AP15" s="156">
        <v>0.74334983664944676</v>
      </c>
      <c r="AQ15" s="154">
        <v>0.82135999999999998</v>
      </c>
      <c r="AR15" s="155">
        <v>0.78098999999999996</v>
      </c>
      <c r="AS15" s="156">
        <v>0.80120000000000002</v>
      </c>
    </row>
    <row r="16" spans="1:45" x14ac:dyDescent="0.2">
      <c r="A16" s="152">
        <v>5114</v>
      </c>
      <c r="B16" s="153" t="s">
        <v>51</v>
      </c>
      <c r="C16" s="154">
        <v>9.143375269395039E-2</v>
      </c>
      <c r="D16" s="156">
        <v>9.1059899951719939E-2</v>
      </c>
      <c r="E16" s="154">
        <v>0.42924918970636589</v>
      </c>
      <c r="F16" s="156">
        <v>0.25423464231672549</v>
      </c>
      <c r="G16" s="154">
        <v>0.12326701284670276</v>
      </c>
      <c r="H16" s="156">
        <v>-3.2890783184552214E-2</v>
      </c>
      <c r="I16" s="154">
        <v>0.40250823416844755</v>
      </c>
      <c r="J16" s="156">
        <v>0.27608083408049261</v>
      </c>
      <c r="K16" s="157">
        <v>131</v>
      </c>
      <c r="L16" s="158">
        <v>100</v>
      </c>
      <c r="M16" s="154">
        <v>0</v>
      </c>
      <c r="N16" s="156">
        <v>0</v>
      </c>
      <c r="O16" s="157">
        <v>240.28205128205127</v>
      </c>
      <c r="P16" s="158">
        <v>231.22499999999999</v>
      </c>
      <c r="Q16" s="154">
        <v>0.66491325269537926</v>
      </c>
      <c r="R16" s="156">
        <v>0.57444061858318352</v>
      </c>
      <c r="S16" s="154">
        <v>5.274771936379459E-2</v>
      </c>
      <c r="T16" s="156">
        <v>0.22940746668193121</v>
      </c>
      <c r="U16" s="157">
        <v>1562616</v>
      </c>
      <c r="V16" s="158">
        <v>1869668</v>
      </c>
      <c r="W16" s="157">
        <v>14982771</v>
      </c>
      <c r="X16" s="158">
        <v>21138305</v>
      </c>
      <c r="Y16" s="157">
        <v>2106651</v>
      </c>
      <c r="Z16" s="158">
        <v>-675323</v>
      </c>
      <c r="AA16" s="159">
        <v>2261835</v>
      </c>
      <c r="AB16" s="159">
        <v>1318356</v>
      </c>
      <c r="AC16" s="157">
        <v>1225000</v>
      </c>
      <c r="AD16" s="158">
        <v>925000</v>
      </c>
      <c r="AE16" s="157">
        <v>0</v>
      </c>
      <c r="AF16" s="158">
        <v>0</v>
      </c>
      <c r="AG16" s="157">
        <v>30529.409999999996</v>
      </c>
      <c r="AH16" s="158">
        <v>515769.94000000006</v>
      </c>
      <c r="AI16" s="157">
        <v>1108702.4000000001</v>
      </c>
      <c r="AJ16" s="158">
        <v>10655093.73</v>
      </c>
      <c r="AK16" s="154">
        <v>0</v>
      </c>
      <c r="AL16" s="156">
        <v>0</v>
      </c>
      <c r="AM16" s="154">
        <v>2.3181824187409341E-3</v>
      </c>
      <c r="AN16" s="156">
        <v>3.2635221175988063E-2</v>
      </c>
      <c r="AO16" s="154">
        <v>8.4186835294094431E-2</v>
      </c>
      <c r="AP16" s="156">
        <v>0.67419854001075297</v>
      </c>
      <c r="AQ16" s="154">
        <v>0.87834999999999996</v>
      </c>
      <c r="AR16" s="155">
        <v>0.81738</v>
      </c>
      <c r="AS16" s="156">
        <v>0.84789999999999999</v>
      </c>
    </row>
    <row r="17" spans="1:45" x14ac:dyDescent="0.2">
      <c r="A17" s="152">
        <v>5201</v>
      </c>
      <c r="B17" s="153" t="s">
        <v>53</v>
      </c>
      <c r="C17" s="154">
        <v>0.21866390726396315</v>
      </c>
      <c r="D17" s="156">
        <v>0.12379071393758559</v>
      </c>
      <c r="E17" s="154">
        <v>0.78121378322061008</v>
      </c>
      <c r="F17" s="156">
        <v>0.34876011441712929</v>
      </c>
      <c r="G17" s="154">
        <v>3.0809118336463812E-2</v>
      </c>
      <c r="H17" s="156">
        <v>3.2241278120498457E-2</v>
      </c>
      <c r="I17" s="154">
        <v>0</v>
      </c>
      <c r="J17" s="156">
        <v>0</v>
      </c>
      <c r="K17" s="157">
        <v>0</v>
      </c>
      <c r="L17" s="158">
        <v>0</v>
      </c>
      <c r="M17" s="154">
        <v>0</v>
      </c>
      <c r="N17" s="156">
        <v>0</v>
      </c>
      <c r="O17" s="157">
        <v>288.13793103448273</v>
      </c>
      <c r="P17" s="158">
        <v>286.97701149425285</v>
      </c>
      <c r="Q17" s="154">
        <v>0.62114393810681046</v>
      </c>
      <c r="R17" s="156">
        <v>0.56302358657565055</v>
      </c>
      <c r="S17" s="154">
        <v>0.12045217411780669</v>
      </c>
      <c r="T17" s="156">
        <v>0.21821052547224523</v>
      </c>
      <c r="U17" s="157">
        <v>9466076</v>
      </c>
      <c r="V17" s="158">
        <v>6816386</v>
      </c>
      <c r="W17" s="157">
        <v>41447662</v>
      </c>
      <c r="X17" s="158">
        <v>52909588</v>
      </c>
      <c r="Y17" s="157">
        <v>1333743</v>
      </c>
      <c r="Z17" s="158">
        <v>1775327</v>
      </c>
      <c r="AA17" s="159">
        <v>11528175</v>
      </c>
      <c r="AB17" s="159">
        <v>13326323</v>
      </c>
      <c r="AC17" s="157">
        <v>0</v>
      </c>
      <c r="AD17" s="158">
        <v>0</v>
      </c>
      <c r="AE17" s="157">
        <v>0</v>
      </c>
      <c r="AF17" s="158">
        <v>0</v>
      </c>
      <c r="AG17" s="157">
        <v>276126.16999999731</v>
      </c>
      <c r="AH17" s="158">
        <v>6133854.4500000011</v>
      </c>
      <c r="AI17" s="157">
        <v>15553057.09</v>
      </c>
      <c r="AJ17" s="158">
        <v>24420678.010000002</v>
      </c>
      <c r="AK17" s="154">
        <v>0</v>
      </c>
      <c r="AL17" s="156">
        <v>0</v>
      </c>
      <c r="AM17" s="154">
        <v>8.2981420474819503E-3</v>
      </c>
      <c r="AN17" s="156">
        <v>0.15314710920357072</v>
      </c>
      <c r="AO17" s="154">
        <v>0.46740038079482837</v>
      </c>
      <c r="AP17" s="156">
        <v>0.60972366927009614</v>
      </c>
      <c r="AQ17" s="154">
        <v>0.82138999999999995</v>
      </c>
      <c r="AR17" s="155">
        <v>0.77695999999999998</v>
      </c>
      <c r="AS17" s="156">
        <v>0.79920000000000002</v>
      </c>
    </row>
    <row r="18" spans="1:45" x14ac:dyDescent="0.2">
      <c r="A18" s="152">
        <v>5202</v>
      </c>
      <c r="B18" s="153" t="s">
        <v>52</v>
      </c>
      <c r="C18" s="154">
        <v>0.33485061286254858</v>
      </c>
      <c r="D18" s="156">
        <v>0.27864787804071028</v>
      </c>
      <c r="E18" s="154">
        <v>0.94535942615991031</v>
      </c>
      <c r="F18" s="156">
        <v>0.66184204397583313</v>
      </c>
      <c r="G18" s="154">
        <v>-1.0574507051665682E-2</v>
      </c>
      <c r="H18" s="156">
        <v>-1.1159313612347156E-2</v>
      </c>
      <c r="I18" s="154">
        <v>0.48561813115539054</v>
      </c>
      <c r="J18" s="156">
        <v>0.36533921265548891</v>
      </c>
      <c r="K18" s="157">
        <v>315</v>
      </c>
      <c r="L18" s="158">
        <v>265</v>
      </c>
      <c r="M18" s="154">
        <v>0</v>
      </c>
      <c r="N18" s="156">
        <v>0</v>
      </c>
      <c r="O18" s="157">
        <v>472.13801452784503</v>
      </c>
      <c r="P18" s="158">
        <v>489.46984924623115</v>
      </c>
      <c r="Q18" s="154">
        <v>0.55958964280590739</v>
      </c>
      <c r="R18" s="156">
        <v>0.48739995609091924</v>
      </c>
      <c r="S18" s="154">
        <v>7.8830584065739728E-2</v>
      </c>
      <c r="T18" s="156">
        <v>0.19616159832475233</v>
      </c>
      <c r="U18" s="157">
        <v>126150835</v>
      </c>
      <c r="V18" s="158">
        <v>139491867</v>
      </c>
      <c r="W18" s="157">
        <v>374119821</v>
      </c>
      <c r="X18" s="158">
        <v>514426620</v>
      </c>
      <c r="Y18" s="157">
        <v>-3983815</v>
      </c>
      <c r="Z18" s="158">
        <v>-5586382</v>
      </c>
      <c r="AA18" s="159">
        <v>35050471</v>
      </c>
      <c r="AB18" s="159">
        <v>32565093</v>
      </c>
      <c r="AC18" s="157">
        <v>61348544</v>
      </c>
      <c r="AD18" s="158">
        <v>51653984</v>
      </c>
      <c r="AE18" s="157">
        <v>0</v>
      </c>
      <c r="AF18" s="158">
        <v>0</v>
      </c>
      <c r="AG18" s="157">
        <v>14672078.240000028</v>
      </c>
      <c r="AH18" s="158">
        <v>27021489.469999984</v>
      </c>
      <c r="AI18" s="157">
        <v>186256902.80000001</v>
      </c>
      <c r="AJ18" s="158">
        <v>416911696.73000002</v>
      </c>
      <c r="AK18" s="154">
        <v>0</v>
      </c>
      <c r="AL18" s="156">
        <v>0</v>
      </c>
      <c r="AM18" s="154">
        <v>4.982597217383726E-2</v>
      </c>
      <c r="AN18" s="156">
        <v>7.4160992757752092E-2</v>
      </c>
      <c r="AO18" s="154">
        <v>0.63252329385737338</v>
      </c>
      <c r="AP18" s="156">
        <v>1.1442220961262091</v>
      </c>
      <c r="AQ18" s="154">
        <v>0.86656999999999995</v>
      </c>
      <c r="AR18" s="155">
        <v>0.76312999999999998</v>
      </c>
      <c r="AS18" s="156">
        <v>0.81489999999999996</v>
      </c>
    </row>
    <row r="19" spans="1:45" x14ac:dyDescent="0.2">
      <c r="A19" s="152">
        <v>5203</v>
      </c>
      <c r="B19" s="153" t="s">
        <v>54</v>
      </c>
      <c r="C19" s="154">
        <v>0.30385917199325124</v>
      </c>
      <c r="D19" s="156">
        <v>0.22781890523438519</v>
      </c>
      <c r="E19" s="154">
        <v>0.8692792847890396</v>
      </c>
      <c r="F19" s="156">
        <v>0.86635145175153294</v>
      </c>
      <c r="G19" s="154">
        <v>-1.7786803436304902E-2</v>
      </c>
      <c r="H19" s="156">
        <v>4.2170094650556975E-2</v>
      </c>
      <c r="I19" s="154">
        <v>0</v>
      </c>
      <c r="J19" s="156">
        <v>0</v>
      </c>
      <c r="K19" s="157">
        <v>0</v>
      </c>
      <c r="L19" s="158">
        <v>0</v>
      </c>
      <c r="M19" s="154">
        <v>0</v>
      </c>
      <c r="N19" s="156">
        <v>0</v>
      </c>
      <c r="O19" s="157">
        <v>199.02127659574469</v>
      </c>
      <c r="P19" s="158">
        <v>193.6875</v>
      </c>
      <c r="Q19" s="154">
        <v>0.54558137128312212</v>
      </c>
      <c r="R19" s="156">
        <v>0.46011276419039887</v>
      </c>
      <c r="S19" s="154">
        <v>0.18054441680618796</v>
      </c>
      <c r="T19" s="156">
        <v>0.31320466336748187</v>
      </c>
      <c r="U19" s="157">
        <v>6310832</v>
      </c>
      <c r="V19" s="158">
        <v>6839052</v>
      </c>
      <c r="W19" s="157">
        <v>20718464</v>
      </c>
      <c r="X19" s="158">
        <v>28806308</v>
      </c>
      <c r="Y19" s="157">
        <v>-369413</v>
      </c>
      <c r="Z19" s="158">
        <v>1265933</v>
      </c>
      <c r="AA19" s="159">
        <v>2250140</v>
      </c>
      <c r="AB19" s="159">
        <v>3523439</v>
      </c>
      <c r="AC19" s="157">
        <v>0</v>
      </c>
      <c r="AD19" s="158">
        <v>0</v>
      </c>
      <c r="AE19" s="157">
        <v>0</v>
      </c>
      <c r="AF19" s="158">
        <v>0</v>
      </c>
      <c r="AG19" s="157">
        <v>206597.61999999825</v>
      </c>
      <c r="AH19" s="158">
        <v>1559624.6199999987</v>
      </c>
      <c r="AI19" s="157">
        <v>7488279.8399999989</v>
      </c>
      <c r="AJ19" s="158">
        <v>14164744.289999999</v>
      </c>
      <c r="AK19" s="154">
        <v>0</v>
      </c>
      <c r="AL19" s="156">
        <v>0</v>
      </c>
      <c r="AM19" s="154">
        <v>1.2527753903082958E-2</v>
      </c>
      <c r="AN19" s="156">
        <v>7.5256389056071668E-2</v>
      </c>
      <c r="AO19" s="154">
        <v>0.45407748159411615</v>
      </c>
      <c r="AP19" s="156">
        <v>0.6834897920295786</v>
      </c>
      <c r="AQ19" s="154">
        <v>0.91188999999999998</v>
      </c>
      <c r="AR19" s="155">
        <v>0.72663</v>
      </c>
      <c r="AS19" s="156">
        <v>0.81930000000000003</v>
      </c>
    </row>
    <row r="20" spans="1:45" x14ac:dyDescent="0.2">
      <c r="A20" s="152">
        <v>5204</v>
      </c>
      <c r="B20" s="153" t="s">
        <v>55</v>
      </c>
      <c r="C20" s="154">
        <v>0.19499041818818805</v>
      </c>
      <c r="D20" s="156">
        <v>0.16734672872583262</v>
      </c>
      <c r="E20" s="154">
        <v>0.77029723576896747</v>
      </c>
      <c r="F20" s="156">
        <v>0.58343125960075359</v>
      </c>
      <c r="G20" s="154">
        <v>5.3647307659674418E-2</v>
      </c>
      <c r="H20" s="156">
        <v>6.3294521309422936E-3</v>
      </c>
      <c r="I20" s="154">
        <v>0</v>
      </c>
      <c r="J20" s="156">
        <v>0</v>
      </c>
      <c r="K20" s="157">
        <v>0</v>
      </c>
      <c r="L20" s="158">
        <v>0</v>
      </c>
      <c r="M20" s="154">
        <v>0</v>
      </c>
      <c r="N20" s="156">
        <v>0</v>
      </c>
      <c r="O20" s="157">
        <v>222.39344262295083</v>
      </c>
      <c r="P20" s="158">
        <v>220.15300546448088</v>
      </c>
      <c r="Q20" s="154">
        <v>0.66674874286153318</v>
      </c>
      <c r="R20" s="156">
        <v>0.64715087464741694</v>
      </c>
      <c r="S20" s="154">
        <v>0.10624758397314886</v>
      </c>
      <c r="T20" s="156">
        <v>0.15319298971532419</v>
      </c>
      <c r="U20" s="157">
        <v>8275656</v>
      </c>
      <c r="V20" s="158">
        <v>8051555</v>
      </c>
      <c r="W20" s="157">
        <v>39776048</v>
      </c>
      <c r="X20" s="158">
        <v>47736264</v>
      </c>
      <c r="Y20" s="157">
        <v>2276864</v>
      </c>
      <c r="Z20" s="158">
        <v>304529</v>
      </c>
      <c r="AA20" s="159">
        <v>13530285</v>
      </c>
      <c r="AB20" s="159">
        <v>13844698</v>
      </c>
      <c r="AC20" s="157">
        <v>0</v>
      </c>
      <c r="AD20" s="158">
        <v>0</v>
      </c>
      <c r="AE20" s="157">
        <v>0</v>
      </c>
      <c r="AF20" s="158">
        <v>0</v>
      </c>
      <c r="AG20" s="157">
        <v>674860.97000000032</v>
      </c>
      <c r="AH20" s="158">
        <v>790505.67000000016</v>
      </c>
      <c r="AI20" s="157">
        <v>3577150.2799999984</v>
      </c>
      <c r="AJ20" s="158">
        <v>4281220.7999999989</v>
      </c>
      <c r="AK20" s="154">
        <v>0</v>
      </c>
      <c r="AL20" s="156">
        <v>0</v>
      </c>
      <c r="AM20" s="154">
        <v>2.0554507651933378E-2</v>
      </c>
      <c r="AN20" s="156">
        <v>2.0839528556039034E-2</v>
      </c>
      <c r="AO20" s="154">
        <v>0.10895068180098719</v>
      </c>
      <c r="AP20" s="156">
        <v>0.11286272382626709</v>
      </c>
      <c r="AQ20" s="154">
        <v>0.83613000000000004</v>
      </c>
      <c r="AR20" s="155">
        <v>0.77664999999999995</v>
      </c>
      <c r="AS20" s="156">
        <v>0.80640000000000001</v>
      </c>
    </row>
    <row r="21" spans="1:45" x14ac:dyDescent="0.2">
      <c r="A21" s="152">
        <v>5205</v>
      </c>
      <c r="B21" s="153" t="s">
        <v>56</v>
      </c>
      <c r="C21" s="154">
        <v>0.19257636671675146</v>
      </c>
      <c r="D21" s="156">
        <v>0.1704442725809415</v>
      </c>
      <c r="E21" s="154">
        <v>0.40845590770518647</v>
      </c>
      <c r="F21" s="156">
        <v>0.42201678411584648</v>
      </c>
      <c r="G21" s="154">
        <v>7.1682726377273687E-2</v>
      </c>
      <c r="H21" s="156">
        <v>8.7660559950825598E-3</v>
      </c>
      <c r="I21" s="154">
        <v>0.61549128031546607</v>
      </c>
      <c r="J21" s="156">
        <v>0.36103111689027134</v>
      </c>
      <c r="K21" s="157">
        <v>675</v>
      </c>
      <c r="L21" s="158">
        <v>341</v>
      </c>
      <c r="M21" s="154">
        <v>0.13469545273875747</v>
      </c>
      <c r="N21" s="156">
        <v>0</v>
      </c>
      <c r="O21" s="157">
        <v>84.2</v>
      </c>
      <c r="P21" s="158">
        <v>94.740740740740748</v>
      </c>
      <c r="Q21" s="154">
        <v>0.4686492000817028</v>
      </c>
      <c r="R21" s="156">
        <v>0.56402989624679323</v>
      </c>
      <c r="S21" s="154">
        <v>0.23711919820918975</v>
      </c>
      <c r="T21" s="156">
        <v>7.2910475976390526E-2</v>
      </c>
      <c r="U21" s="157">
        <v>2037597</v>
      </c>
      <c r="V21" s="158">
        <v>1675383</v>
      </c>
      <c r="W21" s="157">
        <v>10584706</v>
      </c>
      <c r="X21" s="158">
        <v>9804709</v>
      </c>
      <c r="Y21" s="157">
        <v>758455</v>
      </c>
      <c r="Z21" s="158">
        <v>86166</v>
      </c>
      <c r="AA21" s="159">
        <v>596015</v>
      </c>
      <c r="AB21" s="159">
        <v>181514</v>
      </c>
      <c r="AC21" s="157">
        <v>1704909</v>
      </c>
      <c r="AD21" s="158">
        <v>872931</v>
      </c>
      <c r="AE21" s="157">
        <v>373106</v>
      </c>
      <c r="AF21" s="158">
        <v>0</v>
      </c>
      <c r="AG21" s="157">
        <v>300582.09999999998</v>
      </c>
      <c r="AH21" s="158">
        <v>363395.81999999954</v>
      </c>
      <c r="AI21" s="157">
        <v>1475488.6400000001</v>
      </c>
      <c r="AJ21" s="158">
        <v>8759732.4499999993</v>
      </c>
      <c r="AK21" s="154">
        <v>3.5249538343341796E-2</v>
      </c>
      <c r="AL21" s="156">
        <v>0</v>
      </c>
      <c r="AM21" s="154">
        <v>3.7271917558437374E-2</v>
      </c>
      <c r="AN21" s="156">
        <v>4.0231603406152512E-2</v>
      </c>
      <c r="AO21" s="154">
        <v>0.18295930113100844</v>
      </c>
      <c r="AP21" s="156">
        <v>0.96979123720356797</v>
      </c>
      <c r="AQ21" s="154">
        <v>0.85829999999999995</v>
      </c>
      <c r="AR21" s="155">
        <v>0.77500000000000002</v>
      </c>
      <c r="AS21" s="156">
        <v>0.81669999999999998</v>
      </c>
    </row>
    <row r="22" spans="1:45" x14ac:dyDescent="0.2">
      <c r="A22" s="152">
        <v>5206</v>
      </c>
      <c r="B22" s="153" t="s">
        <v>57</v>
      </c>
      <c r="C22" s="154">
        <v>0.70998434700677215</v>
      </c>
      <c r="D22" s="156">
        <v>0.69118681517488145</v>
      </c>
      <c r="E22" s="154">
        <v>0.81054772150368437</v>
      </c>
      <c r="F22" s="156">
        <v>1.0639665702303247</v>
      </c>
      <c r="G22" s="154">
        <v>-0.21805743432054528</v>
      </c>
      <c r="H22" s="156">
        <v>3.1894642696393027E-2</v>
      </c>
      <c r="I22" s="154">
        <v>9.1653312809654969E-2</v>
      </c>
      <c r="J22" s="156">
        <v>5.6591199276797927E-2</v>
      </c>
      <c r="K22" s="157">
        <v>243</v>
      </c>
      <c r="L22" s="158">
        <v>148</v>
      </c>
      <c r="M22" s="154">
        <v>0</v>
      </c>
      <c r="N22" s="156">
        <v>0</v>
      </c>
      <c r="O22" s="157">
        <v>109.97844827586206</v>
      </c>
      <c r="P22" s="158">
        <v>131.66086956521738</v>
      </c>
      <c r="Q22" s="154">
        <v>0.37676572626837557</v>
      </c>
      <c r="R22" s="156">
        <v>0.44750254930528705</v>
      </c>
      <c r="S22" s="154">
        <v>0.24995327699007255</v>
      </c>
      <c r="T22" s="156">
        <v>0.13983437850820021</v>
      </c>
      <c r="U22" s="157">
        <v>67475530</v>
      </c>
      <c r="V22" s="158">
        <v>79046609</v>
      </c>
      <c r="W22" s="157">
        <v>113380966</v>
      </c>
      <c r="X22" s="158">
        <v>109385683</v>
      </c>
      <c r="Y22" s="157">
        <v>-20723754</v>
      </c>
      <c r="Z22" s="158">
        <v>3647586</v>
      </c>
      <c r="AA22" s="159">
        <v>14310003</v>
      </c>
      <c r="AB22" s="159">
        <v>16452540</v>
      </c>
      <c r="AC22" s="157">
        <v>6193677</v>
      </c>
      <c r="AD22" s="158">
        <v>4479143</v>
      </c>
      <c r="AE22" s="157">
        <v>0</v>
      </c>
      <c r="AF22" s="158">
        <v>0</v>
      </c>
      <c r="AG22" s="157">
        <v>1537722.019999997</v>
      </c>
      <c r="AH22" s="158">
        <v>1957634.8099999989</v>
      </c>
      <c r="AI22" s="157">
        <v>26587550.770000011</v>
      </c>
      <c r="AJ22" s="158">
        <v>59647044.170000002</v>
      </c>
      <c r="AK22" s="154">
        <v>0</v>
      </c>
      <c r="AL22" s="156">
        <v>0</v>
      </c>
      <c r="AM22" s="154">
        <v>2.0467153391151873E-2</v>
      </c>
      <c r="AN22" s="156">
        <v>2.1920497127789599E-2</v>
      </c>
      <c r="AO22" s="154">
        <v>0.35388156820738603</v>
      </c>
      <c r="AP22" s="156">
        <v>0.66789416173572491</v>
      </c>
      <c r="AQ22" s="154">
        <v>0.75322</v>
      </c>
      <c r="AR22" s="155">
        <v>0.68284</v>
      </c>
      <c r="AS22" s="156">
        <v>0.71799999999999997</v>
      </c>
    </row>
    <row r="23" spans="1:45" x14ac:dyDescent="0.2">
      <c r="A23" s="152">
        <v>5207</v>
      </c>
      <c r="B23" s="153" t="s">
        <v>58</v>
      </c>
      <c r="C23" s="154">
        <v>0.39135372811765989</v>
      </c>
      <c r="D23" s="156">
        <v>0.40360189677624964</v>
      </c>
      <c r="E23" s="154">
        <v>1.0246738113666429</v>
      </c>
      <c r="F23" s="156">
        <v>0.7128683299092633</v>
      </c>
      <c r="G23" s="154">
        <v>0.11178273818111419</v>
      </c>
      <c r="H23" s="156">
        <v>-0.12434960093562347</v>
      </c>
      <c r="I23" s="154">
        <v>0.76593529467935351</v>
      </c>
      <c r="J23" s="156">
        <v>0.62992169159684031</v>
      </c>
      <c r="K23" s="157">
        <v>682</v>
      </c>
      <c r="L23" s="158">
        <v>579</v>
      </c>
      <c r="M23" s="154">
        <v>1.906739180466159E-2</v>
      </c>
      <c r="N23" s="156">
        <v>5.4088805967475152E-2</v>
      </c>
      <c r="O23" s="157">
        <v>200.85826771653544</v>
      </c>
      <c r="P23" s="158">
        <v>210.5</v>
      </c>
      <c r="Q23" s="154">
        <v>0.53256890202298846</v>
      </c>
      <c r="R23" s="156">
        <v>0.46874297444065466</v>
      </c>
      <c r="S23" s="154">
        <v>0.10366490351301512</v>
      </c>
      <c r="T23" s="156">
        <v>0.24839678791371422</v>
      </c>
      <c r="U23" s="157">
        <v>22596070</v>
      </c>
      <c r="V23" s="158">
        <v>23872134</v>
      </c>
      <c r="W23" s="157">
        <v>50801774</v>
      </c>
      <c r="X23" s="158">
        <v>67801541</v>
      </c>
      <c r="Y23" s="157">
        <v>6454137</v>
      </c>
      <c r="Z23" s="158">
        <v>-7354996</v>
      </c>
      <c r="AA23" s="159">
        <v>13117839</v>
      </c>
      <c r="AB23" s="159">
        <v>2811434</v>
      </c>
      <c r="AC23" s="157">
        <v>17405780</v>
      </c>
      <c r="AD23" s="158">
        <v>15118268</v>
      </c>
      <c r="AE23" s="157">
        <v>433304</v>
      </c>
      <c r="AF23" s="158">
        <v>1298144</v>
      </c>
      <c r="AG23" s="157">
        <v>1262168.4899999974</v>
      </c>
      <c r="AH23" s="158">
        <v>3130685.3000000017</v>
      </c>
      <c r="AI23" s="157">
        <v>32909871.609999996</v>
      </c>
      <c r="AJ23" s="158">
        <v>52301121.079999998</v>
      </c>
      <c r="AK23" s="154">
        <v>8.5293084450161136E-3</v>
      </c>
      <c r="AL23" s="156">
        <v>1.9146231499369608E-2</v>
      </c>
      <c r="AM23" s="154">
        <v>3.2571860590504674E-2</v>
      </c>
      <c r="AN23" s="156">
        <v>6.4342658873441455E-2</v>
      </c>
      <c r="AO23" s="154">
        <v>0.84928102596851374</v>
      </c>
      <c r="AP23" s="156">
        <v>1.0749062489126568</v>
      </c>
      <c r="AQ23" s="154">
        <v>0.80908999999999998</v>
      </c>
      <c r="AR23" s="155">
        <v>0.77073000000000003</v>
      </c>
      <c r="AS23" s="156">
        <v>0.78990000000000005</v>
      </c>
    </row>
    <row r="24" spans="1:45" x14ac:dyDescent="0.2">
      <c r="A24" s="152">
        <v>5208</v>
      </c>
      <c r="B24" s="153" t="s">
        <v>59</v>
      </c>
      <c r="C24" s="154">
        <v>0.47044213461915169</v>
      </c>
      <c r="D24" s="156">
        <v>0.59170573030216889</v>
      </c>
      <c r="E24" s="154">
        <v>0.67377084589205505</v>
      </c>
      <c r="F24" s="156">
        <v>0.70880032008543448</v>
      </c>
      <c r="G24" s="154">
        <v>3.3825497512696909E-3</v>
      </c>
      <c r="H24" s="156">
        <v>-0.24118968259451248</v>
      </c>
      <c r="I24" s="154">
        <v>1.840746436150963E-2</v>
      </c>
      <c r="J24" s="156">
        <v>0.30623160454548271</v>
      </c>
      <c r="K24" s="157">
        <v>43</v>
      </c>
      <c r="L24" s="158">
        <v>624</v>
      </c>
      <c r="M24" s="154">
        <v>1.8710069497957834E-2</v>
      </c>
      <c r="N24" s="156">
        <v>0.17505795368061716</v>
      </c>
      <c r="O24" s="157">
        <v>97.189655172413794</v>
      </c>
      <c r="P24" s="158">
        <v>128.625</v>
      </c>
      <c r="Q24" s="154">
        <v>0.42522871104604243</v>
      </c>
      <c r="R24" s="156">
        <v>0.48741596555395689</v>
      </c>
      <c r="S24" s="154">
        <v>0.23156706480217776</v>
      </c>
      <c r="T24" s="156">
        <v>0.20113013859787157</v>
      </c>
      <c r="U24" s="157">
        <v>13098335</v>
      </c>
      <c r="V24" s="158">
        <v>12538874</v>
      </c>
      <c r="W24" s="157">
        <v>27750518</v>
      </c>
      <c r="X24" s="158">
        <v>26393046</v>
      </c>
      <c r="Y24" s="157">
        <v>94179</v>
      </c>
      <c r="Z24" s="158">
        <v>-5111066</v>
      </c>
      <c r="AA24" s="159">
        <v>7484451</v>
      </c>
      <c r="AB24" s="159">
        <v>6018436</v>
      </c>
      <c r="AC24" s="157">
        <v>241860</v>
      </c>
      <c r="AD24" s="158">
        <v>3852355</v>
      </c>
      <c r="AE24" s="157">
        <v>245836</v>
      </c>
      <c r="AF24" s="158">
        <v>2202207</v>
      </c>
      <c r="AG24" s="157">
        <v>1076469.429999999</v>
      </c>
      <c r="AH24" s="158">
        <v>3642885.2500000019</v>
      </c>
      <c r="AI24" s="157">
        <v>11528378.220000001</v>
      </c>
      <c r="AJ24" s="158">
        <v>6776897.8000000017</v>
      </c>
      <c r="AK24" s="154">
        <v>8.8587895908825917E-3</v>
      </c>
      <c r="AL24" s="156">
        <v>8.3438910385712967E-2</v>
      </c>
      <c r="AM24" s="154">
        <v>5.5227268587966609E-2</v>
      </c>
      <c r="AN24" s="156">
        <v>0.15968812054794529</v>
      </c>
      <c r="AO24" s="154">
        <v>0.59145278314090632</v>
      </c>
      <c r="AP24" s="156">
        <v>0.29706949260273979</v>
      </c>
      <c r="AQ24" s="154">
        <v>0.83228000000000002</v>
      </c>
      <c r="AR24" s="155">
        <v>0.77622000000000002</v>
      </c>
      <c r="AS24" s="156">
        <v>0.80430000000000001</v>
      </c>
    </row>
    <row r="25" spans="1:45" x14ac:dyDescent="0.2">
      <c r="A25" s="152">
        <v>5209</v>
      </c>
      <c r="B25" s="153" t="s">
        <v>60</v>
      </c>
      <c r="C25" s="154">
        <v>9.5821827847472646E-2</v>
      </c>
      <c r="D25" s="156">
        <v>0.11097144424661121</v>
      </c>
      <c r="E25" s="154">
        <v>0.39694219653468993</v>
      </c>
      <c r="F25" s="156">
        <v>0.36348214099067855</v>
      </c>
      <c r="G25" s="154">
        <v>4.921484007555188E-2</v>
      </c>
      <c r="H25" s="156">
        <v>-7.7307315270890228E-2</v>
      </c>
      <c r="I25" s="154">
        <v>0</v>
      </c>
      <c r="J25" s="156">
        <v>0</v>
      </c>
      <c r="K25" s="157">
        <v>0</v>
      </c>
      <c r="L25" s="158">
        <v>0</v>
      </c>
      <c r="M25" s="154">
        <v>0</v>
      </c>
      <c r="N25" s="156">
        <v>0</v>
      </c>
      <c r="O25" s="157">
        <v>205.16535433070865</v>
      </c>
      <c r="P25" s="158">
        <v>205.4126984126984</v>
      </c>
      <c r="Q25" s="154">
        <v>0.65851269069609075</v>
      </c>
      <c r="R25" s="156">
        <v>0.63976173624674215</v>
      </c>
      <c r="S25" s="154">
        <v>0.11330207467167165</v>
      </c>
      <c r="T25" s="156">
        <v>0.16078509053293921</v>
      </c>
      <c r="U25" s="157">
        <v>3958643</v>
      </c>
      <c r="V25" s="158">
        <v>4781653</v>
      </c>
      <c r="W25" s="157">
        <v>39058614</v>
      </c>
      <c r="X25" s="158">
        <v>45944714</v>
      </c>
      <c r="Y25" s="157">
        <v>2033190</v>
      </c>
      <c r="Z25" s="158">
        <v>-3331098</v>
      </c>
      <c r="AA25" s="159">
        <v>11099646</v>
      </c>
      <c r="AB25" s="159">
        <v>7836954</v>
      </c>
      <c r="AC25" s="157">
        <v>0</v>
      </c>
      <c r="AD25" s="158">
        <v>0</v>
      </c>
      <c r="AE25" s="157">
        <v>0</v>
      </c>
      <c r="AF25" s="158">
        <v>0</v>
      </c>
      <c r="AG25" s="157">
        <v>105289.13999999997</v>
      </c>
      <c r="AH25" s="158">
        <v>170019.92999999964</v>
      </c>
      <c r="AI25" s="157">
        <v>6010549.1699999999</v>
      </c>
      <c r="AJ25" s="158">
        <v>8162382.6500000004</v>
      </c>
      <c r="AK25" s="154">
        <v>0</v>
      </c>
      <c r="AL25" s="156">
        <v>0</v>
      </c>
      <c r="AM25" s="154">
        <v>3.408999229253589E-3</v>
      </c>
      <c r="AN25" s="156">
        <v>4.6312856851509383E-3</v>
      </c>
      <c r="AO25" s="154">
        <v>0.19460656139769786</v>
      </c>
      <c r="AP25" s="156">
        <v>0.22234055691982385</v>
      </c>
      <c r="AQ25" s="154">
        <v>0.83974000000000004</v>
      </c>
      <c r="AR25" s="155">
        <v>0.81361000000000006</v>
      </c>
      <c r="AS25" s="156">
        <v>0.82669999999999999</v>
      </c>
    </row>
    <row r="26" spans="1:45" x14ac:dyDescent="0.2">
      <c r="A26" s="152">
        <v>5210</v>
      </c>
      <c r="B26" s="153" t="s">
        <v>61</v>
      </c>
      <c r="C26" s="154">
        <v>0.56896030868155001</v>
      </c>
      <c r="D26" s="156">
        <v>0.56312975674989985</v>
      </c>
      <c r="E26" s="154">
        <v>1.057703075173785</v>
      </c>
      <c r="F26" s="156">
        <v>0.97542876835394254</v>
      </c>
      <c r="G26" s="154">
        <v>3.5967318439042696E-2</v>
      </c>
      <c r="H26" s="156">
        <v>8.7285617907660699E-3</v>
      </c>
      <c r="I26" s="154">
        <v>0.81569141974917414</v>
      </c>
      <c r="J26" s="156">
        <v>0.66938043445979245</v>
      </c>
      <c r="K26" s="157">
        <v>1416</v>
      </c>
      <c r="L26" s="158">
        <v>1193</v>
      </c>
      <c r="M26" s="154">
        <v>0</v>
      </c>
      <c r="N26" s="156">
        <v>0</v>
      </c>
      <c r="O26" s="157">
        <v>105.92035398230088</v>
      </c>
      <c r="P26" s="158">
        <v>103.80165289256199</v>
      </c>
      <c r="Q26" s="154">
        <v>0.455478098934674</v>
      </c>
      <c r="R26" s="156">
        <v>0.45563373870944429</v>
      </c>
      <c r="S26" s="154">
        <v>0.11300625973739456</v>
      </c>
      <c r="T26" s="156">
        <v>0.11564307692369748</v>
      </c>
      <c r="U26" s="157">
        <v>20636117</v>
      </c>
      <c r="V26" s="158">
        <v>22247355</v>
      </c>
      <c r="W26" s="157">
        <v>34058777</v>
      </c>
      <c r="X26" s="158">
        <v>39667113</v>
      </c>
      <c r="Y26" s="157">
        <v>1304530</v>
      </c>
      <c r="Z26" s="158">
        <v>344836</v>
      </c>
      <c r="AA26" s="159">
        <v>3496101</v>
      </c>
      <c r="AB26" s="159">
        <v>2327924</v>
      </c>
      <c r="AC26" s="157">
        <v>16950000</v>
      </c>
      <c r="AD26" s="158">
        <v>14988268</v>
      </c>
      <c r="AE26" s="157">
        <v>0</v>
      </c>
      <c r="AF26" s="158">
        <v>0</v>
      </c>
      <c r="AG26" s="157">
        <v>841741.8900000006</v>
      </c>
      <c r="AH26" s="158">
        <v>1830433.7299999984</v>
      </c>
      <c r="AI26" s="157">
        <v>7917767.5199999996</v>
      </c>
      <c r="AJ26" s="158">
        <v>34515783.239999995</v>
      </c>
      <c r="AK26" s="154">
        <v>0</v>
      </c>
      <c r="AL26" s="156">
        <v>0</v>
      </c>
      <c r="AM26" s="154">
        <v>3.0787539497949993E-2</v>
      </c>
      <c r="AN26" s="156">
        <v>5.8926577080218034E-2</v>
      </c>
      <c r="AO26" s="154">
        <v>0.28960015315096815</v>
      </c>
      <c r="AP26" s="156">
        <v>1.1111557486301125</v>
      </c>
      <c r="AQ26" s="154">
        <v>0.85863</v>
      </c>
      <c r="AR26" s="155">
        <v>0.73860000000000003</v>
      </c>
      <c r="AS26" s="156">
        <v>0.79859999999999998</v>
      </c>
    </row>
    <row r="27" spans="1:45" x14ac:dyDescent="0.2">
      <c r="A27" s="152">
        <v>5211</v>
      </c>
      <c r="B27" s="153" t="s">
        <v>62</v>
      </c>
      <c r="C27" s="154">
        <v>0.22258294622488264</v>
      </c>
      <c r="D27" s="156">
        <v>0.19908969564093643</v>
      </c>
      <c r="E27" s="154">
        <v>0.54124593828281697</v>
      </c>
      <c r="F27" s="156">
        <v>0.45172854706148247</v>
      </c>
      <c r="G27" s="154">
        <v>3.0749789408534036E-2</v>
      </c>
      <c r="H27" s="156">
        <v>-7.7360708962167679E-2</v>
      </c>
      <c r="I27" s="154">
        <v>1.3447876413029264E-3</v>
      </c>
      <c r="J27" s="156">
        <v>5.7060613630686074E-3</v>
      </c>
      <c r="K27" s="157">
        <v>1</v>
      </c>
      <c r="L27" s="158">
        <v>4</v>
      </c>
      <c r="M27" s="154">
        <v>7.890788634938746E-2</v>
      </c>
      <c r="N27" s="156">
        <v>7.3728567210955415E-2</v>
      </c>
      <c r="O27" s="157">
        <v>152.74556213017752</v>
      </c>
      <c r="P27" s="158">
        <v>219.30508474576271</v>
      </c>
      <c r="Q27" s="154">
        <v>0.57970731770775841</v>
      </c>
      <c r="R27" s="156">
        <v>0.61122132949040464</v>
      </c>
      <c r="S27" s="154">
        <v>0.1842654580378032</v>
      </c>
      <c r="T27" s="156">
        <v>0.16964698371772707</v>
      </c>
      <c r="U27" s="157">
        <v>7969342</v>
      </c>
      <c r="V27" s="158">
        <v>7235300</v>
      </c>
      <c r="W27" s="157">
        <v>34745047</v>
      </c>
      <c r="X27" s="158">
        <v>38831495</v>
      </c>
      <c r="Y27" s="157">
        <v>1100963</v>
      </c>
      <c r="Z27" s="158">
        <v>-2811436</v>
      </c>
      <c r="AA27" s="159">
        <v>5723815</v>
      </c>
      <c r="AB27" s="159">
        <v>3085584</v>
      </c>
      <c r="AC27" s="157">
        <v>12814</v>
      </c>
      <c r="AD27" s="158">
        <v>50251</v>
      </c>
      <c r="AE27" s="157">
        <v>751885</v>
      </c>
      <c r="AF27" s="158">
        <v>649298</v>
      </c>
      <c r="AG27" s="157">
        <v>1363781.0200000007</v>
      </c>
      <c r="AH27" s="158">
        <v>8734143.8400000017</v>
      </c>
      <c r="AI27" s="157">
        <v>14738553.25</v>
      </c>
      <c r="AJ27" s="158">
        <v>9258680.0400000028</v>
      </c>
      <c r="AK27" s="154">
        <v>2.1640062826796581E-2</v>
      </c>
      <c r="AL27" s="156">
        <v>1.6720911723846842E-2</v>
      </c>
      <c r="AM27" s="154">
        <v>5.0676531448963592E-2</v>
      </c>
      <c r="AN27" s="156">
        <v>0.27420333892792281</v>
      </c>
      <c r="AO27" s="154">
        <v>0.547667658027569</v>
      </c>
      <c r="AP27" s="156">
        <v>0.29067084622610412</v>
      </c>
      <c r="AQ27" s="154">
        <v>0.90017999999999998</v>
      </c>
      <c r="AR27" s="155">
        <v>0.72016000000000002</v>
      </c>
      <c r="AS27" s="156">
        <v>0.81020000000000003</v>
      </c>
    </row>
    <row r="28" spans="1:45" x14ac:dyDescent="0.2">
      <c r="A28" s="152">
        <v>5212</v>
      </c>
      <c r="B28" s="153" t="s">
        <v>63</v>
      </c>
      <c r="C28" s="154">
        <v>0.1311287486233379</v>
      </c>
      <c r="D28" s="156">
        <v>0.13885464379481322</v>
      </c>
      <c r="E28" s="154">
        <v>0.29485748719622884</v>
      </c>
      <c r="F28" s="156">
        <v>0.22213528476036298</v>
      </c>
      <c r="G28" s="154">
        <v>-3.7102523261405376E-3</v>
      </c>
      <c r="H28" s="156">
        <v>-0.19838694693957504</v>
      </c>
      <c r="I28" s="154">
        <v>0.27118640447031922</v>
      </c>
      <c r="J28" s="156">
        <v>0.30268784673512739</v>
      </c>
      <c r="K28" s="157">
        <v>146</v>
      </c>
      <c r="L28" s="158">
        <v>177</v>
      </c>
      <c r="M28" s="154">
        <v>0.17711800847272818</v>
      </c>
      <c r="N28" s="156">
        <v>0.14191770155392014</v>
      </c>
      <c r="O28" s="157">
        <v>151.01449275362319</v>
      </c>
      <c r="P28" s="158">
        <v>162.171875</v>
      </c>
      <c r="Q28" s="154">
        <v>0.50898992146551369</v>
      </c>
      <c r="R28" s="156">
        <v>0.43845274963987901</v>
      </c>
      <c r="S28" s="154">
        <v>0.29380949597280792</v>
      </c>
      <c r="T28" s="156">
        <v>0.38075798102715536</v>
      </c>
      <c r="U28" s="157">
        <v>3854817</v>
      </c>
      <c r="V28" s="158">
        <v>4294298</v>
      </c>
      <c r="W28" s="157">
        <v>29064047</v>
      </c>
      <c r="X28" s="158">
        <v>36665456</v>
      </c>
      <c r="Y28" s="157">
        <v>-109071</v>
      </c>
      <c r="Z28" s="158">
        <v>-6135428</v>
      </c>
      <c r="AA28" s="159">
        <v>9254382</v>
      </c>
      <c r="AB28" s="159">
        <v>3179832</v>
      </c>
      <c r="AC28" s="157">
        <v>1523340</v>
      </c>
      <c r="AD28" s="158">
        <v>1837920</v>
      </c>
      <c r="AE28" s="157">
        <v>994928</v>
      </c>
      <c r="AF28" s="158">
        <v>861724</v>
      </c>
      <c r="AG28" s="157">
        <v>2471097.4800000004</v>
      </c>
      <c r="AH28" s="158">
        <v>2186279.61</v>
      </c>
      <c r="AI28" s="157">
        <v>10825881.539999999</v>
      </c>
      <c r="AJ28" s="158">
        <v>16874753.73</v>
      </c>
      <c r="AK28" s="154">
        <v>3.4232259533574248E-2</v>
      </c>
      <c r="AL28" s="156">
        <v>2.3502339640887052E-2</v>
      </c>
      <c r="AM28" s="154">
        <v>0.12088283745196859</v>
      </c>
      <c r="AN28" s="156">
        <v>8.4677898544760544E-2</v>
      </c>
      <c r="AO28" s="154">
        <v>0.5295878811199658</v>
      </c>
      <c r="AP28" s="156">
        <v>0.65358459996649731</v>
      </c>
      <c r="AQ28" s="154">
        <v>0.80613000000000001</v>
      </c>
      <c r="AR28" s="155">
        <v>0.75126000000000004</v>
      </c>
      <c r="AS28" s="156">
        <v>0.77869999999999995</v>
      </c>
    </row>
    <row r="29" spans="1:45" x14ac:dyDescent="0.2">
      <c r="A29" s="152">
        <v>5213</v>
      </c>
      <c r="B29" s="153" t="s">
        <v>64</v>
      </c>
      <c r="C29" s="154">
        <v>0.18280483219769467</v>
      </c>
      <c r="D29" s="156">
        <v>0.48053120770676222</v>
      </c>
      <c r="E29" s="154">
        <v>0.6994230815255561</v>
      </c>
      <c r="F29" s="156">
        <v>0.65077070550479077</v>
      </c>
      <c r="G29" s="154">
        <v>0.39609857375711616</v>
      </c>
      <c r="H29" s="156">
        <v>-0.85459428689076855</v>
      </c>
      <c r="I29" s="154">
        <v>0.3458906141634891</v>
      </c>
      <c r="J29" s="156">
        <v>0.42439823783183767</v>
      </c>
      <c r="K29" s="157">
        <v>519</v>
      </c>
      <c r="L29" s="158">
        <v>688</v>
      </c>
      <c r="M29" s="154">
        <v>2.2220832182932887E-2</v>
      </c>
      <c r="N29" s="156">
        <v>0.1186659617048553</v>
      </c>
      <c r="O29" s="157">
        <v>115.18055555555556</v>
      </c>
      <c r="P29" s="158">
        <v>107.08974358974359</v>
      </c>
      <c r="Q29" s="154">
        <v>0.29776128806876112</v>
      </c>
      <c r="R29" s="156">
        <v>0.26276507341918337</v>
      </c>
      <c r="S29" s="154">
        <v>0.48113599238888621</v>
      </c>
      <c r="T29" s="156">
        <v>0.53439567440032676</v>
      </c>
      <c r="U29" s="157">
        <v>12361898</v>
      </c>
      <c r="V29" s="158">
        <v>13462422</v>
      </c>
      <c r="W29" s="157">
        <v>41123022</v>
      </c>
      <c r="X29" s="158">
        <v>51870912</v>
      </c>
      <c r="Y29" s="157">
        <v>26785562</v>
      </c>
      <c r="Z29" s="158">
        <v>-23942064</v>
      </c>
      <c r="AA29" s="159">
        <v>34453435</v>
      </c>
      <c r="AB29" s="159">
        <v>12255509</v>
      </c>
      <c r="AC29" s="157">
        <v>4302083</v>
      </c>
      <c r="AD29" s="158">
        <v>5745640</v>
      </c>
      <c r="AE29" s="157">
        <v>276376</v>
      </c>
      <c r="AF29" s="158">
        <v>1606538</v>
      </c>
      <c r="AG29" s="157">
        <v>1668626.21</v>
      </c>
      <c r="AH29" s="158">
        <v>8993496.9400000013</v>
      </c>
      <c r="AI29" s="157">
        <v>34194240.93</v>
      </c>
      <c r="AJ29" s="158">
        <v>53425294.749999993</v>
      </c>
      <c r="AK29" s="154">
        <v>6.7207123056277334E-3</v>
      </c>
      <c r="AL29" s="156">
        <v>3.0971847959796812E-2</v>
      </c>
      <c r="AM29" s="154">
        <v>7.0620411263689786E-2</v>
      </c>
      <c r="AN29" s="156">
        <v>0.27659252471349749</v>
      </c>
      <c r="AO29" s="154">
        <v>1.4471853209870738</v>
      </c>
      <c r="AP29" s="156">
        <v>1.6430802453205993</v>
      </c>
      <c r="AQ29" s="154">
        <v>0.87143000000000004</v>
      </c>
      <c r="AR29" s="155">
        <v>0.78244999999999998</v>
      </c>
      <c r="AS29" s="156">
        <v>0.82689999999999997</v>
      </c>
    </row>
    <row r="30" spans="1:45" x14ac:dyDescent="0.2">
      <c r="A30" s="152">
        <v>5301</v>
      </c>
      <c r="B30" s="153" t="s">
        <v>66</v>
      </c>
      <c r="C30" s="154">
        <v>0.34036644490136198</v>
      </c>
      <c r="D30" s="156">
        <v>0.22905174832859432</v>
      </c>
      <c r="E30" s="154">
        <v>0.9748401157663954</v>
      </c>
      <c r="F30" s="156">
        <v>0.41633791732791459</v>
      </c>
      <c r="G30" s="154">
        <v>3.0806022962632539E-2</v>
      </c>
      <c r="H30" s="156">
        <v>-8.5772987101673664E-3</v>
      </c>
      <c r="I30" s="154">
        <v>0.7120966715437782</v>
      </c>
      <c r="J30" s="156">
        <v>0.72913573428304801</v>
      </c>
      <c r="K30" s="157">
        <v>465</v>
      </c>
      <c r="L30" s="158">
        <v>468</v>
      </c>
      <c r="M30" s="154">
        <v>8.2593147332190184E-2</v>
      </c>
      <c r="N30" s="156">
        <v>0.12117451006532462</v>
      </c>
      <c r="O30" s="157">
        <v>120.89705882352941</v>
      </c>
      <c r="P30" s="158">
        <v>146.21428571428572</v>
      </c>
      <c r="Q30" s="154">
        <v>0.62034385036234962</v>
      </c>
      <c r="R30" s="156">
        <v>0.44660586756455689</v>
      </c>
      <c r="S30" s="154">
        <v>5.9259208262814347E-2</v>
      </c>
      <c r="T30" s="156">
        <v>0.32535362894775388</v>
      </c>
      <c r="U30" s="157">
        <v>5251181</v>
      </c>
      <c r="V30" s="158">
        <v>5135900</v>
      </c>
      <c r="W30" s="157">
        <v>14961101</v>
      </c>
      <c r="X30" s="158">
        <v>23204619</v>
      </c>
      <c r="Y30" s="157">
        <v>475276</v>
      </c>
      <c r="Z30" s="158">
        <v>-192324</v>
      </c>
      <c r="AA30" s="159">
        <v>1230390</v>
      </c>
      <c r="AB30" s="159">
        <v>1056080</v>
      </c>
      <c r="AC30" s="157">
        <v>3821026</v>
      </c>
      <c r="AD30" s="158">
        <v>3828473</v>
      </c>
      <c r="AE30" s="157">
        <v>443185</v>
      </c>
      <c r="AF30" s="158">
        <v>636251</v>
      </c>
      <c r="AG30" s="157">
        <v>2423272.25</v>
      </c>
      <c r="AH30" s="158">
        <v>3623732.4999999981</v>
      </c>
      <c r="AI30" s="157">
        <v>12078996.669999998</v>
      </c>
      <c r="AJ30" s="158">
        <v>7870583.7599999998</v>
      </c>
      <c r="AK30" s="154">
        <v>2.9622485671341969E-2</v>
      </c>
      <c r="AL30" s="156">
        <v>2.7419153057414991E-2</v>
      </c>
      <c r="AM30" s="154">
        <v>0.18776727485684258</v>
      </c>
      <c r="AN30" s="156">
        <v>0.22676073718449119</v>
      </c>
      <c r="AO30" s="154">
        <v>0.93594117942413435</v>
      </c>
      <c r="AP30" s="156">
        <v>0.49251410679179142</v>
      </c>
      <c r="AQ30" s="154">
        <v>0.84616000000000002</v>
      </c>
      <c r="AR30" s="155">
        <v>0.71875999999999995</v>
      </c>
      <c r="AS30" s="156">
        <v>0.78249999999999997</v>
      </c>
    </row>
    <row r="31" spans="1:45" x14ac:dyDescent="0.2">
      <c r="A31" s="152">
        <v>5302</v>
      </c>
      <c r="B31" s="153" t="s">
        <v>67</v>
      </c>
      <c r="C31" s="154">
        <v>0.30451183995413106</v>
      </c>
      <c r="D31" s="156">
        <v>0.21950690897183109</v>
      </c>
      <c r="E31" s="154">
        <v>0.55243023586333195</v>
      </c>
      <c r="F31" s="156">
        <v>0.37620641700883012</v>
      </c>
      <c r="G31" s="154">
        <v>-5.9077376020023623E-2</v>
      </c>
      <c r="H31" s="156">
        <v>-9.8289413468311285E-2</v>
      </c>
      <c r="I31" s="154">
        <v>0.22028527172479201</v>
      </c>
      <c r="J31" s="156">
        <v>0.29112032285744444</v>
      </c>
      <c r="K31" s="157">
        <v>154</v>
      </c>
      <c r="L31" s="158">
        <v>173</v>
      </c>
      <c r="M31" s="154">
        <v>2.7341732347527781E-2</v>
      </c>
      <c r="N31" s="156">
        <v>5.5789691151207389E-2</v>
      </c>
      <c r="O31" s="157">
        <v>180.14953271028037</v>
      </c>
      <c r="P31" s="158">
        <v>169.24561403508773</v>
      </c>
      <c r="Q31" s="154">
        <v>0.42130726194929063</v>
      </c>
      <c r="R31" s="156">
        <v>0.39251243389573814</v>
      </c>
      <c r="S31" s="154">
        <v>0.26124085426268812</v>
      </c>
      <c r="T31" s="156">
        <v>0.34044694951679871</v>
      </c>
      <c r="U31" s="157">
        <v>12255646</v>
      </c>
      <c r="V31" s="158">
        <v>10250576</v>
      </c>
      <c r="W31" s="157">
        <v>42096934</v>
      </c>
      <c r="X31" s="158">
        <v>52569606</v>
      </c>
      <c r="Y31" s="157">
        <v>-2377679</v>
      </c>
      <c r="Z31" s="158">
        <v>-4589938</v>
      </c>
      <c r="AA31" s="159">
        <v>5234625</v>
      </c>
      <c r="AB31" s="159">
        <v>4213599</v>
      </c>
      <c r="AC31" s="157">
        <v>2967451</v>
      </c>
      <c r="AD31" s="158">
        <v>3342491</v>
      </c>
      <c r="AE31" s="157">
        <v>368319</v>
      </c>
      <c r="AF31" s="158">
        <v>640548</v>
      </c>
      <c r="AG31" s="157">
        <v>2685346.6500000022</v>
      </c>
      <c r="AH31" s="158">
        <v>6800000.7799999975</v>
      </c>
      <c r="AI31" s="157">
        <v>31354612.359999999</v>
      </c>
      <c r="AJ31" s="158">
        <v>33191836.609999999</v>
      </c>
      <c r="AK31" s="154">
        <v>8.7493070160406458E-3</v>
      </c>
      <c r="AL31" s="156">
        <v>1.2184759383587544E-2</v>
      </c>
      <c r="AM31" s="154">
        <v>8.7761623335342681E-2</v>
      </c>
      <c r="AN31" s="156">
        <v>0.17657141150780667</v>
      </c>
      <c r="AO31" s="154">
        <v>1.0247212142104625</v>
      </c>
      <c r="AP31" s="156">
        <v>0.86187187772119556</v>
      </c>
      <c r="AQ31" s="154">
        <v>0.79117999999999999</v>
      </c>
      <c r="AR31" s="155">
        <v>0.74668000000000001</v>
      </c>
      <c r="AS31" s="156">
        <v>0.76890000000000003</v>
      </c>
    </row>
    <row r="32" spans="1:45" x14ac:dyDescent="0.2">
      <c r="A32" s="152">
        <v>5303</v>
      </c>
      <c r="B32" s="153" t="s">
        <v>68</v>
      </c>
      <c r="C32" s="154">
        <v>0.20380556403951758</v>
      </c>
      <c r="D32" s="156">
        <v>0.19639357832013044</v>
      </c>
      <c r="E32" s="154">
        <v>0.84946501556841669</v>
      </c>
      <c r="F32" s="156">
        <v>0.66104181931762351</v>
      </c>
      <c r="G32" s="154">
        <v>-1.6702892392636868E-2</v>
      </c>
      <c r="H32" s="156">
        <v>2.5275868117379134E-2</v>
      </c>
      <c r="I32" s="154">
        <v>0.28259811335120433</v>
      </c>
      <c r="J32" s="156">
        <v>0.24449664555045414</v>
      </c>
      <c r="K32" s="157">
        <v>141</v>
      </c>
      <c r="L32" s="158">
        <v>143</v>
      </c>
      <c r="M32" s="154">
        <v>4.9427485759433766E-3</v>
      </c>
      <c r="N32" s="156">
        <v>0</v>
      </c>
      <c r="O32" s="157">
        <v>220.9655172413793</v>
      </c>
      <c r="P32" s="158">
        <v>242.52229299363057</v>
      </c>
      <c r="Q32" s="154">
        <v>0.54870024663674222</v>
      </c>
      <c r="R32" s="156">
        <v>0.51759244619558686</v>
      </c>
      <c r="S32" s="154">
        <v>5.7515670305421547E-2</v>
      </c>
      <c r="T32" s="156">
        <v>0.16314564224698874</v>
      </c>
      <c r="U32" s="157">
        <v>4146542</v>
      </c>
      <c r="V32" s="158">
        <v>4895172</v>
      </c>
      <c r="W32" s="157">
        <v>20028646</v>
      </c>
      <c r="X32" s="158">
        <v>24508445</v>
      </c>
      <c r="Y32" s="157">
        <v>-339830</v>
      </c>
      <c r="Z32" s="158">
        <v>630009</v>
      </c>
      <c r="AA32" s="159">
        <v>1964412</v>
      </c>
      <c r="AB32" s="159">
        <v>2560012</v>
      </c>
      <c r="AC32" s="157">
        <v>1358461</v>
      </c>
      <c r="AD32" s="158">
        <v>1359639</v>
      </c>
      <c r="AE32" s="157">
        <v>23760</v>
      </c>
      <c r="AF32" s="158">
        <v>0</v>
      </c>
      <c r="AG32" s="157">
        <v>327993.47000000032</v>
      </c>
      <c r="AH32" s="158">
        <v>1298359.54</v>
      </c>
      <c r="AI32" s="157">
        <v>3149498.379999999</v>
      </c>
      <c r="AJ32" s="158">
        <v>8929584.8499999978</v>
      </c>
      <c r="AK32" s="154">
        <v>1.1863008612763939E-3</v>
      </c>
      <c r="AL32" s="156">
        <v>0</v>
      </c>
      <c r="AM32" s="154">
        <v>1.9348129087152451E-2</v>
      </c>
      <c r="AN32" s="156">
        <v>6.4549316488737879E-2</v>
      </c>
      <c r="AO32" s="154">
        <v>0.18578693416066316</v>
      </c>
      <c r="AP32" s="156">
        <v>0.44394374658015662</v>
      </c>
      <c r="AQ32" s="154">
        <v>0.95477999999999996</v>
      </c>
      <c r="AR32" s="155">
        <v>0.7964</v>
      </c>
      <c r="AS32" s="156">
        <v>0.87560000000000004</v>
      </c>
    </row>
    <row r="33" spans="1:45" x14ac:dyDescent="0.2">
      <c r="A33" s="152">
        <v>5304</v>
      </c>
      <c r="B33" s="153" t="s">
        <v>69</v>
      </c>
      <c r="C33" s="154">
        <v>0.21858858927833158</v>
      </c>
      <c r="D33" s="156">
        <v>0.19492460713071941</v>
      </c>
      <c r="E33" s="154">
        <v>0.24416009428871122</v>
      </c>
      <c r="F33" s="156">
        <v>0.37195574652108154</v>
      </c>
      <c r="G33" s="154">
        <v>-0.21353610638982037</v>
      </c>
      <c r="H33" s="156">
        <v>0.19940057327387947</v>
      </c>
      <c r="I33" s="154">
        <v>0.20096230068823562</v>
      </c>
      <c r="J33" s="156">
        <v>6.0587352561335461E-2</v>
      </c>
      <c r="K33" s="157">
        <v>248</v>
      </c>
      <c r="L33" s="158">
        <v>83</v>
      </c>
      <c r="M33" s="154">
        <v>3.9062866214370759E-2</v>
      </c>
      <c r="N33" s="156">
        <v>0</v>
      </c>
      <c r="O33" s="157">
        <v>84.13513513513513</v>
      </c>
      <c r="P33" s="158">
        <v>131.36000000000001</v>
      </c>
      <c r="Q33" s="154">
        <v>0.26402794319573242</v>
      </c>
      <c r="R33" s="156">
        <v>0.35284332705849308</v>
      </c>
      <c r="S33" s="154">
        <v>0.59025973664016473</v>
      </c>
      <c r="T33" s="156">
        <v>0.46183468906925235</v>
      </c>
      <c r="U33" s="157">
        <v>3806764</v>
      </c>
      <c r="V33" s="158">
        <v>4479424</v>
      </c>
      <c r="W33" s="157">
        <v>21527960</v>
      </c>
      <c r="X33" s="158">
        <v>18825446</v>
      </c>
      <c r="Y33" s="157">
        <v>-3718774</v>
      </c>
      <c r="Z33" s="158">
        <v>4582283</v>
      </c>
      <c r="AA33" s="159">
        <v>1617489</v>
      </c>
      <c r="AB33" s="159">
        <v>6359448</v>
      </c>
      <c r="AC33" s="157">
        <v>771688</v>
      </c>
      <c r="AD33" s="158">
        <v>273414</v>
      </c>
      <c r="AE33" s="157">
        <v>150000</v>
      </c>
      <c r="AF33" s="158">
        <v>0</v>
      </c>
      <c r="AG33" s="157">
        <v>420608.29000000126</v>
      </c>
      <c r="AH33" s="158">
        <v>285813.10000000044</v>
      </c>
      <c r="AI33" s="157">
        <v>50104773.32</v>
      </c>
      <c r="AJ33" s="158">
        <v>44721854.519999996</v>
      </c>
      <c r="AK33" s="154">
        <v>6.9676829574190956E-3</v>
      </c>
      <c r="AL33" s="156">
        <v>0</v>
      </c>
      <c r="AM33" s="154">
        <v>3.5256660242469949E-2</v>
      </c>
      <c r="AN33" s="156">
        <v>1.8855139135708982E-2</v>
      </c>
      <c r="AO33" s="154">
        <v>4.1999337898670701</v>
      </c>
      <c r="AP33" s="156">
        <v>2.9503083986756882</v>
      </c>
      <c r="AQ33" s="154">
        <v>0.76914000000000005</v>
      </c>
      <c r="AR33" s="155">
        <v>0.72760000000000002</v>
      </c>
      <c r="AS33" s="156">
        <v>0.74839999999999995</v>
      </c>
    </row>
    <row r="34" spans="1:45" x14ac:dyDescent="0.2">
      <c r="A34" s="152">
        <v>5305</v>
      </c>
      <c r="B34" s="153" t="s">
        <v>65</v>
      </c>
      <c r="C34" s="154">
        <v>0.3755590948171863</v>
      </c>
      <c r="D34" s="156">
        <v>0.35184082570116265</v>
      </c>
      <c r="E34" s="154">
        <v>0.95023251759576555</v>
      </c>
      <c r="F34" s="156">
        <v>0.87629355160875622</v>
      </c>
      <c r="G34" s="154">
        <v>-5.8772321457100971E-2</v>
      </c>
      <c r="H34" s="156">
        <v>-8.3140938337764814E-2</v>
      </c>
      <c r="I34" s="154">
        <v>0.79473985508813727</v>
      </c>
      <c r="J34" s="156">
        <v>0.91075941615062606</v>
      </c>
      <c r="K34" s="157">
        <v>519</v>
      </c>
      <c r="L34" s="158">
        <v>611</v>
      </c>
      <c r="M34" s="154">
        <v>0</v>
      </c>
      <c r="N34" s="156">
        <v>7.2028183308315901E-3</v>
      </c>
      <c r="O34" s="157">
        <v>350.38335158817085</v>
      </c>
      <c r="P34" s="158">
        <v>354.20153340635267</v>
      </c>
      <c r="Q34" s="154">
        <v>0.51794782801956007</v>
      </c>
      <c r="R34" s="156">
        <v>0.5155157881310185</v>
      </c>
      <c r="S34" s="154">
        <v>0.13071733743328087</v>
      </c>
      <c r="T34" s="156">
        <v>0.15300244786432776</v>
      </c>
      <c r="U34" s="157">
        <v>208623802</v>
      </c>
      <c r="V34" s="158">
        <v>216841569</v>
      </c>
      <c r="W34" s="157">
        <v>577153402</v>
      </c>
      <c r="X34" s="158">
        <v>670151520</v>
      </c>
      <c r="Y34" s="157">
        <v>-32648138</v>
      </c>
      <c r="Z34" s="158">
        <v>-51240249</v>
      </c>
      <c r="AA34" s="159">
        <v>84162083</v>
      </c>
      <c r="AB34" s="159">
        <v>65410690</v>
      </c>
      <c r="AC34" s="157">
        <v>166006852</v>
      </c>
      <c r="AD34" s="158">
        <v>197727025</v>
      </c>
      <c r="AE34" s="157">
        <v>0</v>
      </c>
      <c r="AF34" s="158">
        <v>1563741</v>
      </c>
      <c r="AG34" s="157">
        <v>47135778.000000007</v>
      </c>
      <c r="AH34" s="158">
        <v>27328432.689999998</v>
      </c>
      <c r="AI34" s="157">
        <v>156143769.31999999</v>
      </c>
      <c r="AJ34" s="158">
        <v>159386059.90999997</v>
      </c>
      <c r="AK34" s="154">
        <v>0</v>
      </c>
      <c r="AL34" s="156">
        <v>2.3334140911894074E-3</v>
      </c>
      <c r="AM34" s="154">
        <v>0.10739499034323423</v>
      </c>
      <c r="AN34" s="156">
        <v>5.2434512665625765E-2</v>
      </c>
      <c r="AO34" s="154">
        <v>0.35576072592410779</v>
      </c>
      <c r="AP34" s="156">
        <v>0.30581081878629612</v>
      </c>
      <c r="AQ34" s="154">
        <v>0.87060999999999999</v>
      </c>
      <c r="AR34" s="155">
        <v>0.76060000000000005</v>
      </c>
      <c r="AS34" s="156">
        <v>0.81559999999999999</v>
      </c>
    </row>
    <row r="35" spans="1:45" x14ac:dyDescent="0.2">
      <c r="A35" s="152">
        <v>5306</v>
      </c>
      <c r="B35" s="153" t="s">
        <v>70</v>
      </c>
      <c r="C35" s="154">
        <v>0.15092193673446261</v>
      </c>
      <c r="D35" s="156">
        <v>0.22244909384240338</v>
      </c>
      <c r="E35" s="154">
        <v>0.39838028715950341</v>
      </c>
      <c r="F35" s="156">
        <v>0.18275235082359978</v>
      </c>
      <c r="G35" s="154">
        <v>0.28653231435268761</v>
      </c>
      <c r="H35" s="156">
        <v>-0.85939208255470234</v>
      </c>
      <c r="I35" s="154">
        <v>4.8324656414058378E-2</v>
      </c>
      <c r="J35" s="156">
        <v>3.5751057855711373E-2</v>
      </c>
      <c r="K35" s="157">
        <v>35</v>
      </c>
      <c r="L35" s="158">
        <v>22</v>
      </c>
      <c r="M35" s="154">
        <v>0</v>
      </c>
      <c r="N35" s="156">
        <v>0</v>
      </c>
      <c r="O35" s="157">
        <v>118.25316455696202</v>
      </c>
      <c r="P35" s="158">
        <v>120.21951219512195</v>
      </c>
      <c r="Q35" s="154">
        <v>0.45116264607537926</v>
      </c>
      <c r="R35" s="156">
        <v>0.32696172331072965</v>
      </c>
      <c r="S35" s="154">
        <v>0.35839608546862173</v>
      </c>
      <c r="T35" s="156">
        <v>0.55257501433144451</v>
      </c>
      <c r="U35" s="157">
        <v>2698103</v>
      </c>
      <c r="V35" s="158">
        <v>2403984</v>
      </c>
      <c r="W35" s="157">
        <v>12414053</v>
      </c>
      <c r="X35" s="158">
        <v>20093927</v>
      </c>
      <c r="Y35" s="157">
        <v>5122474</v>
      </c>
      <c r="Z35" s="158">
        <v>-9287360</v>
      </c>
      <c r="AA35" s="159">
        <v>11478439</v>
      </c>
      <c r="AB35" s="159">
        <v>2153575</v>
      </c>
      <c r="AC35" s="157">
        <v>161390</v>
      </c>
      <c r="AD35" s="158">
        <v>108890</v>
      </c>
      <c r="AE35" s="157">
        <v>0</v>
      </c>
      <c r="AF35" s="158">
        <v>0</v>
      </c>
      <c r="AG35" s="157">
        <v>476848.1500000002</v>
      </c>
      <c r="AH35" s="158">
        <v>2078028.790000001</v>
      </c>
      <c r="AI35" s="157">
        <v>11367092.959999999</v>
      </c>
      <c r="AJ35" s="158">
        <v>2282081.7200000007</v>
      </c>
      <c r="AK35" s="154">
        <v>0</v>
      </c>
      <c r="AL35" s="156">
        <v>0</v>
      </c>
      <c r="AM35" s="154">
        <v>5.5977080592282916E-2</v>
      </c>
      <c r="AN35" s="156">
        <v>0.17109867209344401</v>
      </c>
      <c r="AO35" s="154">
        <v>1.334380092953892</v>
      </c>
      <c r="AP35" s="156">
        <v>0.18789977972380387</v>
      </c>
      <c r="AQ35" s="154">
        <v>0.75241999999999998</v>
      </c>
      <c r="AR35" s="155">
        <v>0.59833000000000003</v>
      </c>
      <c r="AS35" s="156">
        <v>0.6754</v>
      </c>
    </row>
    <row r="36" spans="1:45" x14ac:dyDescent="0.2">
      <c r="A36" s="152">
        <v>5307</v>
      </c>
      <c r="B36" s="153" t="s">
        <v>71</v>
      </c>
      <c r="C36" s="154">
        <v>0.16706224833039687</v>
      </c>
      <c r="D36" s="156">
        <v>0.16312007424887617</v>
      </c>
      <c r="E36" s="154">
        <v>0.67765986972850356</v>
      </c>
      <c r="F36" s="156">
        <v>0.55179672811982905</v>
      </c>
      <c r="G36" s="154">
        <v>2.7955746493368117E-2</v>
      </c>
      <c r="H36" s="156">
        <v>-2.0794527157449788E-3</v>
      </c>
      <c r="I36" s="154">
        <v>6.6369507607678319E-2</v>
      </c>
      <c r="J36" s="156">
        <v>3.1740585018594628E-2</v>
      </c>
      <c r="K36" s="157">
        <v>37</v>
      </c>
      <c r="L36" s="158">
        <v>20</v>
      </c>
      <c r="M36" s="154">
        <v>5.0980828100775887E-2</v>
      </c>
      <c r="N36" s="156">
        <v>4.3784144563909333E-2</v>
      </c>
      <c r="O36" s="157">
        <v>79.085106382978722</v>
      </c>
      <c r="P36" s="158">
        <v>105.96415770609319</v>
      </c>
      <c r="Q36" s="154">
        <v>0.65844526415788707</v>
      </c>
      <c r="R36" s="156">
        <v>0.63029855515943145</v>
      </c>
      <c r="S36" s="154">
        <v>8.2183271569542041E-2</v>
      </c>
      <c r="T36" s="156">
        <v>0.11504111459062365</v>
      </c>
      <c r="U36" s="157">
        <v>3105745</v>
      </c>
      <c r="V36" s="158">
        <v>3476784</v>
      </c>
      <c r="W36" s="157">
        <v>17526450</v>
      </c>
      <c r="X36" s="158">
        <v>21256809</v>
      </c>
      <c r="Y36" s="157">
        <v>519707</v>
      </c>
      <c r="Z36" s="158">
        <v>-44322</v>
      </c>
      <c r="AA36" s="159">
        <v>2493635</v>
      </c>
      <c r="AB36" s="159">
        <v>2278689</v>
      </c>
      <c r="AC36" s="157">
        <v>277620</v>
      </c>
      <c r="AD36" s="158">
        <v>144854</v>
      </c>
      <c r="AE36" s="157">
        <v>213250</v>
      </c>
      <c r="AF36" s="158">
        <v>199817</v>
      </c>
      <c r="AG36" s="157">
        <v>711204.04999999923</v>
      </c>
      <c r="AH36" s="158">
        <v>2337639.6400000015</v>
      </c>
      <c r="AI36" s="157">
        <v>3920334.0399999991</v>
      </c>
      <c r="AJ36" s="158">
        <v>6499823.6799999997</v>
      </c>
      <c r="AK36" s="154">
        <v>1.2167324244213745E-2</v>
      </c>
      <c r="AL36" s="156">
        <v>9.400140914847567E-3</v>
      </c>
      <c r="AM36" s="154">
        <v>4.6423840856428776E-2</v>
      </c>
      <c r="AN36" s="156">
        <v>0.13368073799940364</v>
      </c>
      <c r="AO36" s="154">
        <v>0.25589978512777117</v>
      </c>
      <c r="AP36" s="156">
        <v>0.37170024478554742</v>
      </c>
      <c r="AQ36" s="154">
        <v>0.72568999999999995</v>
      </c>
      <c r="AR36" s="155">
        <v>0.72355999999999998</v>
      </c>
      <c r="AS36" s="156">
        <v>0.72460000000000002</v>
      </c>
    </row>
    <row r="37" spans="1:45" x14ac:dyDescent="0.2">
      <c r="A37" s="152">
        <v>5308</v>
      </c>
      <c r="B37" s="153" t="s">
        <v>72</v>
      </c>
      <c r="C37" s="154">
        <v>0.45207303956963718</v>
      </c>
      <c r="D37" s="156">
        <v>0.38208423534936076</v>
      </c>
      <c r="E37" s="154">
        <v>0.93950820754016562</v>
      </c>
      <c r="F37" s="156">
        <v>0.70633677953543017</v>
      </c>
      <c r="G37" s="154">
        <v>0.12383444981683873</v>
      </c>
      <c r="H37" s="156">
        <v>-1.3840939615853386E-2</v>
      </c>
      <c r="I37" s="154">
        <v>0.35215060145718263</v>
      </c>
      <c r="J37" s="156">
        <v>0.30078482136799273</v>
      </c>
      <c r="K37" s="157">
        <v>475</v>
      </c>
      <c r="L37" s="158">
        <v>376</v>
      </c>
      <c r="M37" s="154">
        <v>0</v>
      </c>
      <c r="N37" s="156">
        <v>0</v>
      </c>
      <c r="O37" s="157">
        <v>178.75</v>
      </c>
      <c r="P37" s="158">
        <v>178.57499999999999</v>
      </c>
      <c r="Q37" s="154">
        <v>0.39844647993757071</v>
      </c>
      <c r="R37" s="156">
        <v>0.39158231976811941</v>
      </c>
      <c r="S37" s="154">
        <v>0.1741176154624704</v>
      </c>
      <c r="T37" s="156">
        <v>0.29039172267838892</v>
      </c>
      <c r="U37" s="157">
        <v>9566625</v>
      </c>
      <c r="V37" s="158">
        <v>8853014</v>
      </c>
      <c r="W37" s="157">
        <v>18468252</v>
      </c>
      <c r="X37" s="158">
        <v>23090851</v>
      </c>
      <c r="Y37" s="157">
        <v>2620545</v>
      </c>
      <c r="Z37" s="158">
        <v>-320699</v>
      </c>
      <c r="AA37" s="159">
        <v>4944305</v>
      </c>
      <c r="AB37" s="159">
        <v>3809056</v>
      </c>
      <c r="AC37" s="157">
        <v>3396607</v>
      </c>
      <c r="AD37" s="158">
        <v>2686524</v>
      </c>
      <c r="AE37" s="157">
        <v>0</v>
      </c>
      <c r="AF37" s="158">
        <v>0</v>
      </c>
      <c r="AG37" s="157">
        <v>87756.830000001981</v>
      </c>
      <c r="AH37" s="158">
        <v>4967029.660000002</v>
      </c>
      <c r="AI37" s="157">
        <v>2422233.1799999997</v>
      </c>
      <c r="AJ37" s="158">
        <v>10296871.66</v>
      </c>
      <c r="AK37" s="154">
        <v>0</v>
      </c>
      <c r="AL37" s="156">
        <v>0</v>
      </c>
      <c r="AM37" s="154">
        <v>5.5188160630265763E-3</v>
      </c>
      <c r="AN37" s="156">
        <v>0.26230360867302477</v>
      </c>
      <c r="AO37" s="154">
        <v>0.15232842141380495</v>
      </c>
      <c r="AP37" s="156">
        <v>0.54376695517074847</v>
      </c>
      <c r="AQ37" s="154">
        <v>0.96340999999999999</v>
      </c>
      <c r="AR37" s="155">
        <v>0.73311000000000004</v>
      </c>
      <c r="AS37" s="156">
        <v>0.84830000000000005</v>
      </c>
    </row>
    <row r="38" spans="1:45" x14ac:dyDescent="0.2">
      <c r="A38" s="152">
        <v>5309</v>
      </c>
      <c r="B38" s="153" t="s">
        <v>73</v>
      </c>
      <c r="C38" s="154">
        <v>0.13026363400367608</v>
      </c>
      <c r="D38" s="156">
        <v>0.12396801146611021</v>
      </c>
      <c r="E38" s="154">
        <v>0.60725393656954896</v>
      </c>
      <c r="F38" s="156">
        <v>0.43553891582027049</v>
      </c>
      <c r="G38" s="154">
        <v>9.4725670147656517E-3</v>
      </c>
      <c r="H38" s="156">
        <v>4.0021869018011585E-3</v>
      </c>
      <c r="I38" s="154">
        <v>0.26205241573417209</v>
      </c>
      <c r="J38" s="156">
        <v>0.19726802084139577</v>
      </c>
      <c r="K38" s="157">
        <v>106</v>
      </c>
      <c r="L38" s="158">
        <v>88</v>
      </c>
      <c r="M38" s="154">
        <v>0</v>
      </c>
      <c r="N38" s="156">
        <v>0</v>
      </c>
      <c r="O38" s="157">
        <v>267.10344827586209</v>
      </c>
      <c r="P38" s="158">
        <v>261.5593220338983</v>
      </c>
      <c r="Q38" s="154">
        <v>0.6362801756382177</v>
      </c>
      <c r="R38" s="156">
        <v>0.5837390533044613</v>
      </c>
      <c r="S38" s="154">
        <v>0.10397274779265415</v>
      </c>
      <c r="T38" s="156">
        <v>0.18963259327411572</v>
      </c>
      <c r="U38" s="157">
        <v>3995287</v>
      </c>
      <c r="V38" s="158">
        <v>4622905</v>
      </c>
      <c r="W38" s="157">
        <v>30017385</v>
      </c>
      <c r="X38" s="158">
        <v>37449886</v>
      </c>
      <c r="Y38" s="157">
        <v>290531</v>
      </c>
      <c r="Z38" s="158">
        <v>149246</v>
      </c>
      <c r="AA38" s="159">
        <v>6803346</v>
      </c>
      <c r="AB38" s="159">
        <v>6730456</v>
      </c>
      <c r="AC38" s="157">
        <v>1646865</v>
      </c>
      <c r="AD38" s="158">
        <v>1363557</v>
      </c>
      <c r="AE38" s="157">
        <v>0</v>
      </c>
      <c r="AF38" s="158">
        <v>0</v>
      </c>
      <c r="AG38" s="157">
        <v>306196.12999999867</v>
      </c>
      <c r="AH38" s="158">
        <v>1345613.139999999</v>
      </c>
      <c r="AI38" s="157">
        <v>16873474.18</v>
      </c>
      <c r="AJ38" s="158">
        <v>13224394</v>
      </c>
      <c r="AK38" s="154">
        <v>0</v>
      </c>
      <c r="AL38" s="156">
        <v>0</v>
      </c>
      <c r="AM38" s="154">
        <v>1.2325466551171265E-2</v>
      </c>
      <c r="AN38" s="156">
        <v>4.5915015807188535E-2</v>
      </c>
      <c r="AO38" s="154">
        <v>0.6792164277440178</v>
      </c>
      <c r="AP38" s="156">
        <v>0.45124281377817826</v>
      </c>
      <c r="AQ38" s="154">
        <v>0.70125999999999999</v>
      </c>
      <c r="AR38" s="155">
        <v>0.68864000000000003</v>
      </c>
      <c r="AS38" s="156">
        <v>0.69499999999999995</v>
      </c>
    </row>
    <row r="39" spans="1:45" x14ac:dyDescent="0.2">
      <c r="A39" s="152">
        <v>5310</v>
      </c>
      <c r="B39" s="153" t="s">
        <v>74</v>
      </c>
      <c r="C39" s="154">
        <v>0.12376118987979556</v>
      </c>
      <c r="D39" s="156">
        <v>0.11731804015422415</v>
      </c>
      <c r="E39" s="154">
        <v>0.46258955023230919</v>
      </c>
      <c r="F39" s="156">
        <v>0.43230280070355837</v>
      </c>
      <c r="G39" s="154">
        <v>-5.6351767866216193E-2</v>
      </c>
      <c r="H39" s="156">
        <v>2.816340038567652E-2</v>
      </c>
      <c r="I39" s="154">
        <v>0.23717770167698207</v>
      </c>
      <c r="J39" s="156">
        <v>0.18732244017102798</v>
      </c>
      <c r="K39" s="157">
        <v>93</v>
      </c>
      <c r="L39" s="158">
        <v>81</v>
      </c>
      <c r="M39" s="154">
        <v>7.4134726843884294E-2</v>
      </c>
      <c r="N39" s="156">
        <v>6.8359723720347348E-2</v>
      </c>
      <c r="O39" s="157">
        <v>169.59712230215828</v>
      </c>
      <c r="P39" s="158">
        <v>169.88321167883211</v>
      </c>
      <c r="Q39" s="154">
        <v>0.63090487863633549</v>
      </c>
      <c r="R39" s="156">
        <v>0.6629833836286767</v>
      </c>
      <c r="S39" s="154">
        <v>0.1393957491326657</v>
      </c>
      <c r="T39" s="156">
        <v>9.6030949875707441E-2</v>
      </c>
      <c r="U39" s="157">
        <v>2761389</v>
      </c>
      <c r="V39" s="158">
        <v>3131247</v>
      </c>
      <c r="W39" s="157">
        <v>23756987</v>
      </c>
      <c r="X39" s="158">
        <v>26179362</v>
      </c>
      <c r="Y39" s="157">
        <v>-1257334</v>
      </c>
      <c r="Z39" s="158">
        <v>751688</v>
      </c>
      <c r="AA39" s="159">
        <v>1244103</v>
      </c>
      <c r="AB39" s="159">
        <v>1861936</v>
      </c>
      <c r="AC39" s="157">
        <v>1101000</v>
      </c>
      <c r="AD39" s="158">
        <v>939000</v>
      </c>
      <c r="AE39" s="157">
        <v>344140</v>
      </c>
      <c r="AF39" s="158">
        <v>342670</v>
      </c>
      <c r="AG39" s="157">
        <v>855086.429999999</v>
      </c>
      <c r="AH39" s="158">
        <v>2005537.2299999995</v>
      </c>
      <c r="AI39" s="157">
        <v>5912579.6699999999</v>
      </c>
      <c r="AJ39" s="158">
        <v>8022003.7700000005</v>
      </c>
      <c r="AK39" s="154">
        <v>1.4485843680429678E-2</v>
      </c>
      <c r="AL39" s="156">
        <v>1.3089318219443239E-2</v>
      </c>
      <c r="AM39" s="154">
        <v>4.2155704177326288E-2</v>
      </c>
      <c r="AN39" s="156">
        <v>8.6646526709597535E-2</v>
      </c>
      <c r="AO39" s="154">
        <v>0.29148978483191901</v>
      </c>
      <c r="AP39" s="156">
        <v>0.3465798358287257</v>
      </c>
      <c r="AQ39" s="154">
        <v>0.78327999999999998</v>
      </c>
      <c r="AR39" s="155">
        <v>0.70775999999999994</v>
      </c>
      <c r="AS39" s="156">
        <v>0.74550000000000005</v>
      </c>
    </row>
    <row r="40" spans="1:45" x14ac:dyDescent="0.2">
      <c r="A40" s="152">
        <v>5311</v>
      </c>
      <c r="B40" s="153" t="s">
        <v>75</v>
      </c>
      <c r="C40" s="154">
        <v>0.15057162041858588</v>
      </c>
      <c r="D40" s="156">
        <v>0.13569709455740964</v>
      </c>
      <c r="E40" s="154">
        <v>0.69207391040803168</v>
      </c>
      <c r="F40" s="156">
        <v>0.52560936020788196</v>
      </c>
      <c r="G40" s="154">
        <v>5.1510475115110865E-2</v>
      </c>
      <c r="H40" s="156">
        <v>-2.9487080907741253E-2</v>
      </c>
      <c r="I40" s="154">
        <v>0</v>
      </c>
      <c r="J40" s="156">
        <v>0</v>
      </c>
      <c r="K40" s="157">
        <v>0</v>
      </c>
      <c r="L40" s="158">
        <v>0</v>
      </c>
      <c r="M40" s="154">
        <v>0</v>
      </c>
      <c r="N40" s="156">
        <v>0</v>
      </c>
      <c r="O40" s="157">
        <v>138.27131782945736</v>
      </c>
      <c r="P40" s="158">
        <v>173.08823529411765</v>
      </c>
      <c r="Q40" s="154">
        <v>0.68654651627693719</v>
      </c>
      <c r="R40" s="156">
        <v>0.6772975019226114</v>
      </c>
      <c r="S40" s="154">
        <v>7.8216480513525907E-2</v>
      </c>
      <c r="T40" s="156">
        <v>9.5145275844395499E-2</v>
      </c>
      <c r="U40" s="157">
        <v>5437006</v>
      </c>
      <c r="V40" s="158">
        <v>5296093</v>
      </c>
      <c r="W40" s="157">
        <v>34078125</v>
      </c>
      <c r="X40" s="158">
        <v>40231740</v>
      </c>
      <c r="Y40" s="157">
        <v>1859997</v>
      </c>
      <c r="Z40" s="158">
        <v>-1150845</v>
      </c>
      <c r="AA40" s="159">
        <v>11035735</v>
      </c>
      <c r="AB40" s="159">
        <v>10458653</v>
      </c>
      <c r="AC40" s="157">
        <v>0</v>
      </c>
      <c r="AD40" s="158">
        <v>0</v>
      </c>
      <c r="AE40" s="157">
        <v>0</v>
      </c>
      <c r="AF40" s="158">
        <v>0</v>
      </c>
      <c r="AG40" s="157">
        <v>332332.87000000227</v>
      </c>
      <c r="AH40" s="158">
        <v>384715.96000000194</v>
      </c>
      <c r="AI40" s="157">
        <v>8704329.8999999966</v>
      </c>
      <c r="AJ40" s="158">
        <v>12542433.930000003</v>
      </c>
      <c r="AK40" s="154">
        <v>0</v>
      </c>
      <c r="AL40" s="156">
        <v>0</v>
      </c>
      <c r="AM40" s="154">
        <v>1.1693820471127521E-2</v>
      </c>
      <c r="AN40" s="156">
        <v>1.164420772671158E-2</v>
      </c>
      <c r="AO40" s="154">
        <v>0.30627987888187719</v>
      </c>
      <c r="AP40" s="156">
        <v>0.37962216612868049</v>
      </c>
      <c r="AQ40" s="154">
        <v>0.69313999999999998</v>
      </c>
      <c r="AR40" s="155">
        <v>0.67798999999999998</v>
      </c>
      <c r="AS40" s="156">
        <v>0.68559999999999999</v>
      </c>
    </row>
    <row r="41" spans="1:45" x14ac:dyDescent="0.2">
      <c r="A41" s="152">
        <v>5312</v>
      </c>
      <c r="B41" s="153" t="s">
        <v>76</v>
      </c>
      <c r="C41" s="154">
        <v>0.15767075485600238</v>
      </c>
      <c r="D41" s="156">
        <v>0.17780181110066323</v>
      </c>
      <c r="E41" s="154">
        <v>0.77045511989087223</v>
      </c>
      <c r="F41" s="156">
        <v>0.40722502267514682</v>
      </c>
      <c r="G41" s="154">
        <v>0.17889625862685918</v>
      </c>
      <c r="H41" s="156">
        <v>-4.5369078747335027E-2</v>
      </c>
      <c r="I41" s="154">
        <v>0</v>
      </c>
      <c r="J41" s="156">
        <v>0</v>
      </c>
      <c r="K41" s="157">
        <v>0</v>
      </c>
      <c r="L41" s="158">
        <v>0</v>
      </c>
      <c r="M41" s="154">
        <v>0</v>
      </c>
      <c r="N41" s="156">
        <v>0</v>
      </c>
      <c r="O41" s="157">
        <v>154.97560975609755</v>
      </c>
      <c r="P41" s="158">
        <v>149.89349112426035</v>
      </c>
      <c r="Q41" s="154">
        <v>0.62057752662569987</v>
      </c>
      <c r="R41" s="156">
        <v>0.5228059952501839</v>
      </c>
      <c r="S41" s="154">
        <v>8.5270379936199681E-2</v>
      </c>
      <c r="T41" s="156">
        <v>0.261493794384212</v>
      </c>
      <c r="U41" s="157">
        <v>2825742</v>
      </c>
      <c r="V41" s="158">
        <v>3536145</v>
      </c>
      <c r="W41" s="157">
        <v>14778297</v>
      </c>
      <c r="X41" s="158">
        <v>20645010</v>
      </c>
      <c r="Y41" s="157">
        <v>3206141</v>
      </c>
      <c r="Z41" s="158">
        <v>-902306</v>
      </c>
      <c r="AA41" s="159">
        <v>8419005</v>
      </c>
      <c r="AB41" s="159">
        <v>7505944</v>
      </c>
      <c r="AC41" s="157">
        <v>0</v>
      </c>
      <c r="AD41" s="158">
        <v>0</v>
      </c>
      <c r="AE41" s="157">
        <v>0</v>
      </c>
      <c r="AF41" s="158">
        <v>0</v>
      </c>
      <c r="AG41" s="157">
        <v>143394.57000000018</v>
      </c>
      <c r="AH41" s="158">
        <v>1008324.3999999984</v>
      </c>
      <c r="AI41" s="157">
        <v>10202768.210000001</v>
      </c>
      <c r="AJ41" s="158">
        <v>17519195.07</v>
      </c>
      <c r="AK41" s="154">
        <v>0</v>
      </c>
      <c r="AL41" s="156">
        <v>0</v>
      </c>
      <c r="AM41" s="154">
        <v>1.1343253439473516E-2</v>
      </c>
      <c r="AN41" s="156">
        <v>6.4620293664986742E-2</v>
      </c>
      <c r="AO41" s="154">
        <v>0.80709182774656951</v>
      </c>
      <c r="AP41" s="156">
        <v>1.1227493157932009</v>
      </c>
      <c r="AQ41" s="154">
        <v>0.82538</v>
      </c>
      <c r="AR41" s="155">
        <v>0.73362000000000005</v>
      </c>
      <c r="AS41" s="156">
        <v>0.77949999999999997</v>
      </c>
    </row>
    <row r="42" spans="1:45" x14ac:dyDescent="0.2">
      <c r="A42" s="152">
        <v>5401</v>
      </c>
      <c r="B42" s="153" t="s">
        <v>77</v>
      </c>
      <c r="C42" s="154">
        <v>0.2673986140912375</v>
      </c>
      <c r="D42" s="156">
        <v>0.25180253568413452</v>
      </c>
      <c r="E42" s="154">
        <v>0.89902772918737905</v>
      </c>
      <c r="F42" s="156">
        <v>0.82999889537275451</v>
      </c>
      <c r="G42" s="154">
        <v>-6.143540267168926E-2</v>
      </c>
      <c r="H42" s="156">
        <v>3.6205584628750065E-2</v>
      </c>
      <c r="I42" s="154">
        <v>0.28238974920875659</v>
      </c>
      <c r="J42" s="156">
        <v>0.15345990685112379</v>
      </c>
      <c r="K42" s="157">
        <v>155</v>
      </c>
      <c r="L42" s="158">
        <v>93</v>
      </c>
      <c r="M42" s="154">
        <v>4.4770271806673624E-2</v>
      </c>
      <c r="N42" s="156">
        <v>0.13151501439118493</v>
      </c>
      <c r="O42" s="157">
        <v>312.33333333333331</v>
      </c>
      <c r="P42" s="158">
        <v>329.66094420600859</v>
      </c>
      <c r="Q42" s="154">
        <v>0.60856901444607925</v>
      </c>
      <c r="R42" s="156">
        <v>0.58541873216833196</v>
      </c>
      <c r="S42" s="154">
        <v>8.7736594197478618E-2</v>
      </c>
      <c r="T42" s="156">
        <v>0.11134107730568787</v>
      </c>
      <c r="U42" s="157">
        <v>38977901</v>
      </c>
      <c r="V42" s="158">
        <v>43580254</v>
      </c>
      <c r="W42" s="157">
        <v>142990563</v>
      </c>
      <c r="X42" s="158">
        <v>175167292</v>
      </c>
      <c r="Y42" s="157">
        <v>-8955256</v>
      </c>
      <c r="Z42" s="158">
        <v>6266214</v>
      </c>
      <c r="AA42" s="159">
        <v>24048920</v>
      </c>
      <c r="AB42" s="159">
        <v>25584846</v>
      </c>
      <c r="AC42" s="157">
        <v>11889823</v>
      </c>
      <c r="AD42" s="158">
        <v>7167875</v>
      </c>
      <c r="AE42" s="157">
        <v>1885021</v>
      </c>
      <c r="AF42" s="158">
        <v>6142863</v>
      </c>
      <c r="AG42" s="157">
        <v>8002705.2300000004</v>
      </c>
      <c r="AH42" s="158">
        <v>15706941.120000005</v>
      </c>
      <c r="AI42" s="157">
        <v>61254570.389999993</v>
      </c>
      <c r="AJ42" s="158">
        <v>51118867.470000006</v>
      </c>
      <c r="AK42" s="154">
        <v>1.318283500988803E-2</v>
      </c>
      <c r="AL42" s="156">
        <v>3.5068550354708912E-2</v>
      </c>
      <c r="AM42" s="154">
        <v>6.9190289295747817E-2</v>
      </c>
      <c r="AN42" s="156">
        <v>0.11488263839109114</v>
      </c>
      <c r="AO42" s="154">
        <v>0.52959859499546347</v>
      </c>
      <c r="AP42" s="156">
        <v>0.37389013695609508</v>
      </c>
      <c r="AQ42" s="154">
        <v>0.85082000000000002</v>
      </c>
      <c r="AR42" s="155">
        <v>0.80949000000000004</v>
      </c>
      <c r="AS42" s="156">
        <v>0.83020000000000005</v>
      </c>
    </row>
    <row r="43" spans="1:45" x14ac:dyDescent="0.2">
      <c r="A43" s="152">
        <v>5402</v>
      </c>
      <c r="B43" s="153" t="s">
        <v>78</v>
      </c>
      <c r="C43" s="154">
        <v>0.19389830431136773</v>
      </c>
      <c r="D43" s="156">
        <v>0.24985887588514424</v>
      </c>
      <c r="E43" s="154">
        <v>0.58184008746416171</v>
      </c>
      <c r="F43" s="156">
        <v>0.86513452261099477</v>
      </c>
      <c r="G43" s="154">
        <v>-9.5432150642519364E-2</v>
      </c>
      <c r="H43" s="156">
        <v>0.10598610644168487</v>
      </c>
      <c r="I43" s="154">
        <v>0.40672995480312518</v>
      </c>
      <c r="J43" s="156">
        <v>4.2756256933516992E-2</v>
      </c>
      <c r="K43" s="157">
        <v>158</v>
      </c>
      <c r="L43" s="158">
        <v>24</v>
      </c>
      <c r="M43" s="154">
        <v>6.4207288898484233E-2</v>
      </c>
      <c r="N43" s="156">
        <v>2.0018183773103281E-2</v>
      </c>
      <c r="O43" s="157">
        <v>334.59821428571428</v>
      </c>
      <c r="P43" s="158">
        <v>304.76859504132233</v>
      </c>
      <c r="Q43" s="154">
        <v>0.58946366629906266</v>
      </c>
      <c r="R43" s="156">
        <v>0.62391519882549784</v>
      </c>
      <c r="S43" s="154">
        <v>0.12489025201264145</v>
      </c>
      <c r="T43" s="156">
        <v>8.214173880778837E-2</v>
      </c>
      <c r="U43" s="157">
        <v>11218482</v>
      </c>
      <c r="V43" s="158">
        <v>17195887</v>
      </c>
      <c r="W43" s="157">
        <v>59592209</v>
      </c>
      <c r="X43" s="158">
        <v>66310308</v>
      </c>
      <c r="Y43" s="157">
        <v>-5521471</v>
      </c>
      <c r="Z43" s="158">
        <v>7294218</v>
      </c>
      <c r="AA43" s="159">
        <v>5587938</v>
      </c>
      <c r="AB43" s="159">
        <v>8161169</v>
      </c>
      <c r="AC43" s="157">
        <v>5938128</v>
      </c>
      <c r="AD43" s="158">
        <v>880013</v>
      </c>
      <c r="AE43" s="157">
        <v>937406</v>
      </c>
      <c r="AF43" s="158">
        <v>412016</v>
      </c>
      <c r="AG43" s="157">
        <v>4819655.3900000034</v>
      </c>
      <c r="AH43" s="158">
        <v>4906044.0700000012</v>
      </c>
      <c r="AI43" s="157">
        <v>20142365.909999996</v>
      </c>
      <c r="AJ43" s="158">
        <v>22125428.030000001</v>
      </c>
      <c r="AK43" s="154">
        <v>1.5730344884513341E-2</v>
      </c>
      <c r="AL43" s="156">
        <v>6.2134532688341605E-3</v>
      </c>
      <c r="AM43" s="154">
        <v>9.8419675205735385E-2</v>
      </c>
      <c r="AN43" s="156">
        <v>9.0040327463415004E-2</v>
      </c>
      <c r="AO43" s="154">
        <v>0.41131677481556927</v>
      </c>
      <c r="AP43" s="156">
        <v>0.40606663060191805</v>
      </c>
      <c r="AQ43" s="154">
        <v>0.85984000000000005</v>
      </c>
      <c r="AR43" s="155">
        <v>0.75800000000000001</v>
      </c>
      <c r="AS43" s="156">
        <v>0.80889999999999995</v>
      </c>
    </row>
    <row r="44" spans="1:45" x14ac:dyDescent="0.2">
      <c r="A44" s="152">
        <v>5403</v>
      </c>
      <c r="B44" s="153" t="s">
        <v>79</v>
      </c>
      <c r="C44" s="154">
        <v>0.13876514413372479</v>
      </c>
      <c r="D44" s="156">
        <v>0.10562446419666387</v>
      </c>
      <c r="E44" s="154">
        <v>0.44957860377188313</v>
      </c>
      <c r="F44" s="156">
        <v>0.30107377422282178</v>
      </c>
      <c r="G44" s="154">
        <v>2.401817180438489E-2</v>
      </c>
      <c r="H44" s="156">
        <v>-1.728261904933983E-2</v>
      </c>
      <c r="I44" s="154">
        <v>0</v>
      </c>
      <c r="J44" s="156">
        <v>0</v>
      </c>
      <c r="K44" s="157">
        <v>0</v>
      </c>
      <c r="L44" s="158">
        <v>0</v>
      </c>
      <c r="M44" s="154">
        <v>0</v>
      </c>
      <c r="N44" s="156">
        <v>5.5260594059853034E-3</v>
      </c>
      <c r="O44" s="157">
        <v>142.56603773584905</v>
      </c>
      <c r="P44" s="158">
        <v>141</v>
      </c>
      <c r="Q44" s="154">
        <v>0.53524696670980854</v>
      </c>
      <c r="R44" s="156">
        <v>0.51852375830430386</v>
      </c>
      <c r="S44" s="154">
        <v>0.11576640089375483</v>
      </c>
      <c r="T44" s="156">
        <v>0.19824672968114343</v>
      </c>
      <c r="U44" s="157">
        <v>3000756</v>
      </c>
      <c r="V44" s="158">
        <v>2601415</v>
      </c>
      <c r="W44" s="157">
        <v>21049173</v>
      </c>
      <c r="X44" s="158">
        <v>25149459</v>
      </c>
      <c r="Y44" s="157">
        <v>519386</v>
      </c>
      <c r="Z44" s="158">
        <v>-425652</v>
      </c>
      <c r="AA44" s="159">
        <v>7161648</v>
      </c>
      <c r="AB44" s="159">
        <v>6708737</v>
      </c>
      <c r="AC44" s="157">
        <v>0</v>
      </c>
      <c r="AD44" s="158">
        <v>0</v>
      </c>
      <c r="AE44" s="157">
        <v>0</v>
      </c>
      <c r="AF44" s="158">
        <v>24475</v>
      </c>
      <c r="AG44" s="157">
        <v>117888.22000000127</v>
      </c>
      <c r="AH44" s="158">
        <v>309627.13999999902</v>
      </c>
      <c r="AI44" s="157">
        <v>10190436.43</v>
      </c>
      <c r="AJ44" s="158">
        <v>15903912.65</v>
      </c>
      <c r="AK44" s="154">
        <v>0</v>
      </c>
      <c r="AL44" s="156">
        <v>9.7318196785068018E-4</v>
      </c>
      <c r="AM44" s="154">
        <v>7.3446362319136626E-3</v>
      </c>
      <c r="AN44" s="156">
        <v>1.5932566486262584E-2</v>
      </c>
      <c r="AO44" s="154">
        <v>0.634881488776318</v>
      </c>
      <c r="AP44" s="156">
        <v>0.81837188331694166</v>
      </c>
      <c r="AQ44" s="154">
        <v>0.80762</v>
      </c>
      <c r="AR44" s="155">
        <v>0.73523000000000005</v>
      </c>
      <c r="AS44" s="156">
        <v>0.77139999999999997</v>
      </c>
    </row>
    <row r="45" spans="1:45" x14ac:dyDescent="0.2">
      <c r="A45" s="152">
        <v>5404</v>
      </c>
      <c r="B45" s="153" t="s">
        <v>80</v>
      </c>
      <c r="C45" s="154">
        <v>0.10189608896013466</v>
      </c>
      <c r="D45" s="156">
        <v>8.4956114987523021E-2</v>
      </c>
      <c r="E45" s="154">
        <v>0.21040172228288051</v>
      </c>
      <c r="F45" s="156">
        <v>0.1481003312803244</v>
      </c>
      <c r="G45" s="154">
        <v>-7.7541276416665736E-2</v>
      </c>
      <c r="H45" s="156">
        <v>-0.28717283583047593</v>
      </c>
      <c r="I45" s="154">
        <v>0</v>
      </c>
      <c r="J45" s="156">
        <v>0</v>
      </c>
      <c r="K45" s="157">
        <v>0</v>
      </c>
      <c r="L45" s="158">
        <v>0</v>
      </c>
      <c r="M45" s="154">
        <v>0</v>
      </c>
      <c r="N45" s="156">
        <v>0</v>
      </c>
      <c r="O45" s="157">
        <v>90.986301369863014</v>
      </c>
      <c r="P45" s="158">
        <v>93.041095890410958</v>
      </c>
      <c r="Q45" s="154">
        <v>0.43362451017544618</v>
      </c>
      <c r="R45" s="156">
        <v>0.41621489746003459</v>
      </c>
      <c r="S45" s="154">
        <v>0.29044345183086628</v>
      </c>
      <c r="T45" s="156">
        <v>0.29390607739977148</v>
      </c>
      <c r="U45" s="157">
        <v>1268751</v>
      </c>
      <c r="V45" s="158">
        <v>1013830</v>
      </c>
      <c r="W45" s="157">
        <v>13444865</v>
      </c>
      <c r="X45" s="158">
        <v>15493715</v>
      </c>
      <c r="Y45" s="157">
        <v>-965499</v>
      </c>
      <c r="Z45" s="158">
        <v>-3426998</v>
      </c>
      <c r="AA45" s="159">
        <v>5798685</v>
      </c>
      <c r="AB45" s="159">
        <v>2372858</v>
      </c>
      <c r="AC45" s="157">
        <v>0</v>
      </c>
      <c r="AD45" s="158">
        <v>0</v>
      </c>
      <c r="AE45" s="157">
        <v>0</v>
      </c>
      <c r="AF45" s="158">
        <v>0</v>
      </c>
      <c r="AG45" s="157">
        <v>213320.5700000003</v>
      </c>
      <c r="AH45" s="158">
        <v>281505.81000000041</v>
      </c>
      <c r="AI45" s="157">
        <v>6782014</v>
      </c>
      <c r="AJ45" s="158">
        <v>13560615.640000001</v>
      </c>
      <c r="AK45" s="154">
        <v>0</v>
      </c>
      <c r="AL45" s="156">
        <v>0</v>
      </c>
      <c r="AM45" s="154">
        <v>2.4823372494934309E-2</v>
      </c>
      <c r="AN45" s="156">
        <v>2.5411202543414835E-2</v>
      </c>
      <c r="AO45" s="154">
        <v>0.78919937157424236</v>
      </c>
      <c r="AP45" s="156">
        <v>1.2241010252734694</v>
      </c>
      <c r="AQ45" s="154">
        <v>0.86741999999999997</v>
      </c>
      <c r="AR45" s="155">
        <v>0.66749999999999998</v>
      </c>
      <c r="AS45" s="156">
        <v>0.76749999999999996</v>
      </c>
    </row>
    <row r="46" spans="1:45" x14ac:dyDescent="0.2">
      <c r="A46" s="152">
        <v>5405</v>
      </c>
      <c r="B46" s="153" t="s">
        <v>81</v>
      </c>
      <c r="C46" s="154">
        <v>0.24271772897843133</v>
      </c>
      <c r="D46" s="156">
        <v>0.20215827120710528</v>
      </c>
      <c r="E46" s="154">
        <v>0.63988454506956116</v>
      </c>
      <c r="F46" s="156">
        <v>0.52747253366196434</v>
      </c>
      <c r="G46" s="154">
        <v>1.0225223492544862E-4</v>
      </c>
      <c r="H46" s="156">
        <v>-2.3030795008487849E-2</v>
      </c>
      <c r="I46" s="154">
        <v>0</v>
      </c>
      <c r="J46" s="156">
        <v>0</v>
      </c>
      <c r="K46" s="157">
        <v>0</v>
      </c>
      <c r="L46" s="158">
        <v>0</v>
      </c>
      <c r="M46" s="154">
        <v>0</v>
      </c>
      <c r="N46" s="156">
        <v>0</v>
      </c>
      <c r="O46" s="157">
        <v>176.01587301587301</v>
      </c>
      <c r="P46" s="158">
        <v>188.44827586206895</v>
      </c>
      <c r="Q46" s="154">
        <v>0.58743913661135572</v>
      </c>
      <c r="R46" s="156">
        <v>0.58893375336965126</v>
      </c>
      <c r="S46" s="154">
        <v>0.14299880128030842</v>
      </c>
      <c r="T46" s="156">
        <v>0.18969318807205743</v>
      </c>
      <c r="U46" s="157">
        <v>4265567</v>
      </c>
      <c r="V46" s="158">
        <v>3745996</v>
      </c>
      <c r="W46" s="157">
        <v>17522028</v>
      </c>
      <c r="X46" s="158">
        <v>19469745</v>
      </c>
      <c r="Y46" s="157">
        <v>1797</v>
      </c>
      <c r="Z46" s="158">
        <v>-426761</v>
      </c>
      <c r="AA46" s="159">
        <v>2879189</v>
      </c>
      <c r="AB46" s="159">
        <v>2462253</v>
      </c>
      <c r="AC46" s="157">
        <v>0</v>
      </c>
      <c r="AD46" s="158">
        <v>0</v>
      </c>
      <c r="AE46" s="157">
        <v>0</v>
      </c>
      <c r="AF46" s="158">
        <v>0</v>
      </c>
      <c r="AG46" s="157">
        <v>489538.42000000016</v>
      </c>
      <c r="AH46" s="158">
        <v>281319.13000000111</v>
      </c>
      <c r="AI46" s="157">
        <v>9560345.7700000033</v>
      </c>
      <c r="AJ46" s="158">
        <v>6774376.1399999978</v>
      </c>
      <c r="AK46" s="154">
        <v>0</v>
      </c>
      <c r="AL46" s="156">
        <v>0</v>
      </c>
      <c r="AM46" s="154">
        <v>3.6762422696081917E-2</v>
      </c>
      <c r="AN46" s="156">
        <v>1.7792412776145565E-2</v>
      </c>
      <c r="AO46" s="154">
        <v>0.71794461467894344</v>
      </c>
      <c r="AP46" s="156">
        <v>0.4284546755983184</v>
      </c>
      <c r="AQ46" s="154">
        <v>0.81867999999999996</v>
      </c>
      <c r="AR46" s="155">
        <v>0.76385000000000003</v>
      </c>
      <c r="AS46" s="156">
        <v>0.7913</v>
      </c>
    </row>
    <row r="47" spans="1:45" x14ac:dyDescent="0.2">
      <c r="A47" s="152">
        <v>5406</v>
      </c>
      <c r="B47" s="153" t="s">
        <v>82</v>
      </c>
      <c r="C47" s="154">
        <v>0.16467827208844682</v>
      </c>
      <c r="D47" s="156">
        <v>0.16807695480592466</v>
      </c>
      <c r="E47" s="154">
        <v>0.50213598011443994</v>
      </c>
      <c r="F47" s="156">
        <v>0.52364728621902157</v>
      </c>
      <c r="G47" s="154">
        <v>4.9293144501896702E-2</v>
      </c>
      <c r="H47" s="156">
        <v>-0.11392635394766117</v>
      </c>
      <c r="I47" s="154">
        <v>0</v>
      </c>
      <c r="J47" s="156">
        <v>3.1808545047870944E-2</v>
      </c>
      <c r="K47" s="157">
        <v>0</v>
      </c>
      <c r="L47" s="158">
        <v>15</v>
      </c>
      <c r="M47" s="154">
        <v>0</v>
      </c>
      <c r="N47" s="156">
        <v>0</v>
      </c>
      <c r="O47" s="157">
        <v>212.18604651162789</v>
      </c>
      <c r="P47" s="158">
        <v>209.51162790697674</v>
      </c>
      <c r="Q47" s="154">
        <v>0.5938229366613752</v>
      </c>
      <c r="R47" s="156">
        <v>0.65260018508362028</v>
      </c>
      <c r="S47" s="154">
        <v>9.166502375989094E-2</v>
      </c>
      <c r="T47" s="156">
        <v>0.10950734959709305</v>
      </c>
      <c r="U47" s="157">
        <v>6887743</v>
      </c>
      <c r="V47" s="158">
        <v>6694929</v>
      </c>
      <c r="W47" s="157">
        <v>40329941</v>
      </c>
      <c r="X47" s="158">
        <v>44290251</v>
      </c>
      <c r="Y47" s="157">
        <v>2061708</v>
      </c>
      <c r="Z47" s="158">
        <v>-4537974</v>
      </c>
      <c r="AA47" s="159">
        <v>7226914</v>
      </c>
      <c r="AB47" s="159">
        <v>2961606</v>
      </c>
      <c r="AC47" s="157">
        <v>0</v>
      </c>
      <c r="AD47" s="158">
        <v>278208</v>
      </c>
      <c r="AE47" s="157">
        <v>0</v>
      </c>
      <c r="AF47" s="158">
        <v>0</v>
      </c>
      <c r="AG47" s="157">
        <v>666712.71000000054</v>
      </c>
      <c r="AH47" s="158">
        <v>2947316.620000001</v>
      </c>
      <c r="AI47" s="157">
        <v>16180557.080000002</v>
      </c>
      <c r="AJ47" s="158">
        <v>20073052.16</v>
      </c>
      <c r="AK47" s="154">
        <v>0</v>
      </c>
      <c r="AL47" s="156">
        <v>0</v>
      </c>
      <c r="AM47" s="154">
        <v>2.0861237274637554E-2</v>
      </c>
      <c r="AN47" s="156">
        <v>7.8207984514412854E-2</v>
      </c>
      <c r="AO47" s="154">
        <v>0.50628469417014166</v>
      </c>
      <c r="AP47" s="156">
        <v>0.53264482744520369</v>
      </c>
      <c r="AQ47" s="154">
        <v>0.82028000000000001</v>
      </c>
      <c r="AR47" s="155">
        <v>0.73516000000000004</v>
      </c>
      <c r="AS47" s="156">
        <v>0.77769999999999995</v>
      </c>
    </row>
    <row r="48" spans="1:45" x14ac:dyDescent="0.2">
      <c r="A48" s="152">
        <v>5407</v>
      </c>
      <c r="B48" s="153" t="s">
        <v>83</v>
      </c>
      <c r="C48" s="154">
        <v>0.20341629881383586</v>
      </c>
      <c r="D48" s="156">
        <v>0.25502082890886973</v>
      </c>
      <c r="E48" s="154">
        <v>0.42151539811190175</v>
      </c>
      <c r="F48" s="156">
        <v>0.48552426645152841</v>
      </c>
      <c r="G48" s="154">
        <v>-1.7809240554828205E-2</v>
      </c>
      <c r="H48" s="156">
        <v>-0.18333640266954029</v>
      </c>
      <c r="I48" s="154">
        <v>0</v>
      </c>
      <c r="J48" s="156">
        <v>0</v>
      </c>
      <c r="K48" s="157">
        <v>0</v>
      </c>
      <c r="L48" s="158">
        <v>0</v>
      </c>
      <c r="M48" s="154">
        <v>0</v>
      </c>
      <c r="N48" s="156">
        <v>0</v>
      </c>
      <c r="O48" s="157">
        <v>181.83333333333334</v>
      </c>
      <c r="P48" s="158">
        <v>176.559670781893</v>
      </c>
      <c r="Q48" s="154">
        <v>0.56155872297368148</v>
      </c>
      <c r="R48" s="156">
        <v>0.5831907826779591</v>
      </c>
      <c r="S48" s="154">
        <v>0.17241042793486844</v>
      </c>
      <c r="T48" s="156">
        <v>0.22777962827310319</v>
      </c>
      <c r="U48" s="157">
        <v>4613121</v>
      </c>
      <c r="V48" s="158">
        <v>5640198</v>
      </c>
      <c r="W48" s="157">
        <v>23393817</v>
      </c>
      <c r="X48" s="158">
        <v>26482399</v>
      </c>
      <c r="Y48" s="157">
        <v>-403882</v>
      </c>
      <c r="Z48" s="158">
        <v>-4054781</v>
      </c>
      <c r="AA48" s="159">
        <v>6303283</v>
      </c>
      <c r="AB48" s="159">
        <v>2290629</v>
      </c>
      <c r="AC48" s="157">
        <v>0</v>
      </c>
      <c r="AD48" s="158">
        <v>0</v>
      </c>
      <c r="AE48" s="157">
        <v>0</v>
      </c>
      <c r="AF48" s="158">
        <v>0</v>
      </c>
      <c r="AG48" s="157">
        <v>108579.99000000086</v>
      </c>
      <c r="AH48" s="158">
        <v>1139496.9300000006</v>
      </c>
      <c r="AI48" s="157">
        <v>7344423.21</v>
      </c>
      <c r="AJ48" s="158">
        <v>9824488.2100000009</v>
      </c>
      <c r="AK48" s="154">
        <v>0</v>
      </c>
      <c r="AL48" s="156">
        <v>0</v>
      </c>
      <c r="AM48" s="154">
        <v>6.3387772603788655E-3</v>
      </c>
      <c r="AN48" s="156">
        <v>5.4779392528311127E-2</v>
      </c>
      <c r="AO48" s="154">
        <v>0.42875913724201281</v>
      </c>
      <c r="AP48" s="156">
        <v>0.47229569635203361</v>
      </c>
      <c r="AQ48" s="154">
        <v>0.79354999999999998</v>
      </c>
      <c r="AR48" s="155">
        <v>0.66803999999999997</v>
      </c>
      <c r="AS48" s="156">
        <v>0.73080000000000001</v>
      </c>
    </row>
    <row r="49" spans="1:45" x14ac:dyDescent="0.2">
      <c r="A49" s="152">
        <v>5408</v>
      </c>
      <c r="B49" s="153" t="s">
        <v>84</v>
      </c>
      <c r="C49" s="154">
        <v>0.21599064505685023</v>
      </c>
      <c r="D49" s="156">
        <v>0.1896012149943255</v>
      </c>
      <c r="E49" s="154">
        <v>0.71227174797347037</v>
      </c>
      <c r="F49" s="156">
        <v>0.56241351555630748</v>
      </c>
      <c r="G49" s="154">
        <v>-1.6341364969958277E-2</v>
      </c>
      <c r="H49" s="156">
        <v>-2.272420607908229E-2</v>
      </c>
      <c r="I49" s="154">
        <v>0.42519325469939045</v>
      </c>
      <c r="J49" s="156">
        <v>0.42510621493771661</v>
      </c>
      <c r="K49" s="157">
        <v>210</v>
      </c>
      <c r="L49" s="158">
        <v>234</v>
      </c>
      <c r="M49" s="154">
        <v>0</v>
      </c>
      <c r="N49" s="156">
        <v>0</v>
      </c>
      <c r="O49" s="157">
        <v>192.25899280575538</v>
      </c>
      <c r="P49" s="158">
        <v>187.4</v>
      </c>
      <c r="Q49" s="154">
        <v>0.63915131342167031</v>
      </c>
      <c r="R49" s="156">
        <v>0.59108045167963597</v>
      </c>
      <c r="S49" s="154">
        <v>9.253949372083338E-2</v>
      </c>
      <c r="T49" s="156">
        <v>0.16656026319977557</v>
      </c>
      <c r="U49" s="157">
        <v>10028861</v>
      </c>
      <c r="V49" s="158">
        <v>11281996</v>
      </c>
      <c r="W49" s="157">
        <v>47523504</v>
      </c>
      <c r="X49" s="158">
        <v>60045036</v>
      </c>
      <c r="Y49" s="157">
        <v>-758761</v>
      </c>
      <c r="Z49" s="158">
        <v>-1352177</v>
      </c>
      <c r="AA49" s="159">
        <v>4637007</v>
      </c>
      <c r="AB49" s="159">
        <v>3744184</v>
      </c>
      <c r="AC49" s="157">
        <v>5606199</v>
      </c>
      <c r="AD49" s="158">
        <v>6140360</v>
      </c>
      <c r="AE49" s="157">
        <v>0</v>
      </c>
      <c r="AF49" s="158">
        <v>0</v>
      </c>
      <c r="AG49" s="157">
        <v>616449.57000000007</v>
      </c>
      <c r="AH49" s="158">
        <v>1871622.8799999997</v>
      </c>
      <c r="AI49" s="157">
        <v>10878975.710000001</v>
      </c>
      <c r="AJ49" s="158">
        <v>22183975.470000003</v>
      </c>
      <c r="AK49" s="154">
        <v>0</v>
      </c>
      <c r="AL49" s="156">
        <v>0</v>
      </c>
      <c r="AM49" s="154">
        <v>1.5220564766430897E-2</v>
      </c>
      <c r="AN49" s="156">
        <v>3.9461856995023067E-2</v>
      </c>
      <c r="AO49" s="154">
        <v>0.26860940853034182</v>
      </c>
      <c r="AP49" s="156">
        <v>0.46773357866742893</v>
      </c>
      <c r="AQ49" s="154">
        <v>0.82038999999999995</v>
      </c>
      <c r="AR49" s="155">
        <v>0.76471999999999996</v>
      </c>
      <c r="AS49" s="156">
        <v>0.79259999999999997</v>
      </c>
    </row>
    <row r="50" spans="1:45" x14ac:dyDescent="0.2">
      <c r="A50" s="152">
        <v>5409</v>
      </c>
      <c r="B50" s="153" t="s">
        <v>85</v>
      </c>
      <c r="C50" s="154">
        <v>0.18359492613759526</v>
      </c>
      <c r="D50" s="156">
        <v>0.15106481329347859</v>
      </c>
      <c r="E50" s="154">
        <v>0.60530427996400316</v>
      </c>
      <c r="F50" s="156">
        <v>0.44261201509788339</v>
      </c>
      <c r="G50" s="154">
        <v>2.3096320421897795E-2</v>
      </c>
      <c r="H50" s="156">
        <v>-4.8114042679287497E-2</v>
      </c>
      <c r="I50" s="154">
        <v>8.8632663145058507E-2</v>
      </c>
      <c r="J50" s="156">
        <v>6.1531916625203693E-2</v>
      </c>
      <c r="K50" s="157">
        <v>52</v>
      </c>
      <c r="L50" s="158">
        <v>34</v>
      </c>
      <c r="M50" s="154">
        <v>0</v>
      </c>
      <c r="N50" s="156">
        <v>0</v>
      </c>
      <c r="O50" s="157">
        <v>95.269230769230774</v>
      </c>
      <c r="P50" s="158">
        <v>96.039215686274517</v>
      </c>
      <c r="Q50" s="154">
        <v>0.64358471861493827</v>
      </c>
      <c r="R50" s="156">
        <v>0.62506994598414922</v>
      </c>
      <c r="S50" s="154">
        <v>0.11533419383399797</v>
      </c>
      <c r="T50" s="156">
        <v>0.17842494180140148</v>
      </c>
      <c r="U50" s="157">
        <v>4345796</v>
      </c>
      <c r="V50" s="158">
        <v>3921330</v>
      </c>
      <c r="W50" s="157">
        <v>23058669</v>
      </c>
      <c r="X50" s="158">
        <v>27120928</v>
      </c>
      <c r="Y50" s="157">
        <v>546703</v>
      </c>
      <c r="Z50" s="158">
        <v>-1248941</v>
      </c>
      <c r="AA50" s="159">
        <v>3709094</v>
      </c>
      <c r="AB50" s="159">
        <v>2295307</v>
      </c>
      <c r="AC50" s="157">
        <v>515177</v>
      </c>
      <c r="AD50" s="158">
        <v>332668</v>
      </c>
      <c r="AE50" s="157">
        <v>0</v>
      </c>
      <c r="AF50" s="158">
        <v>0</v>
      </c>
      <c r="AG50" s="157">
        <v>476880.92999999953</v>
      </c>
      <c r="AH50" s="158">
        <v>2451715.4600000004</v>
      </c>
      <c r="AI50" s="157">
        <v>9589126.7100000009</v>
      </c>
      <c r="AJ50" s="158">
        <v>17769380.689999998</v>
      </c>
      <c r="AK50" s="154">
        <v>0</v>
      </c>
      <c r="AL50" s="156">
        <v>0</v>
      </c>
      <c r="AM50" s="154">
        <v>2.5495986266582317E-2</v>
      </c>
      <c r="AN50" s="156">
        <v>0.11108400715279174</v>
      </c>
      <c r="AO50" s="154">
        <v>0.51267355754124611</v>
      </c>
      <c r="AP50" s="156">
        <v>0.80510729889864086</v>
      </c>
      <c r="AQ50" s="154">
        <v>0.77342</v>
      </c>
      <c r="AR50" s="155">
        <v>0.65229000000000004</v>
      </c>
      <c r="AS50" s="156">
        <v>0.71289999999999998</v>
      </c>
    </row>
    <row r="51" spans="1:45" x14ac:dyDescent="0.2">
      <c r="A51" s="152">
        <v>5410</v>
      </c>
      <c r="B51" s="153" t="s">
        <v>86</v>
      </c>
      <c r="C51" s="154">
        <v>6.5781562386177217E-2</v>
      </c>
      <c r="D51" s="156">
        <v>9.146563372620542E-2</v>
      </c>
      <c r="E51" s="154">
        <v>0.16812668776173317</v>
      </c>
      <c r="F51" s="156">
        <v>0.19134369432443502</v>
      </c>
      <c r="G51" s="154">
        <v>-3.8179375638093448E-2</v>
      </c>
      <c r="H51" s="156">
        <v>-0.1613474161229162</v>
      </c>
      <c r="I51" s="154">
        <v>0</v>
      </c>
      <c r="J51" s="156">
        <v>0</v>
      </c>
      <c r="K51" s="157">
        <v>0</v>
      </c>
      <c r="L51" s="158">
        <v>0</v>
      </c>
      <c r="M51" s="154">
        <v>0</v>
      </c>
      <c r="N51" s="156">
        <v>1.8322434967495672E-3</v>
      </c>
      <c r="O51" s="157">
        <v>69.05263157894737</v>
      </c>
      <c r="P51" s="158">
        <v>66.745762711864401</v>
      </c>
      <c r="Q51" s="154">
        <v>0.29118847153859473</v>
      </c>
      <c r="R51" s="156">
        <v>0.49909954586814637</v>
      </c>
      <c r="S51" s="154">
        <v>0.47153398866276902</v>
      </c>
      <c r="T51" s="156">
        <v>0.24671759734882281</v>
      </c>
      <c r="U51" s="157">
        <v>779302</v>
      </c>
      <c r="V51" s="158">
        <v>678331</v>
      </c>
      <c r="W51" s="157">
        <v>12592140</v>
      </c>
      <c r="X51" s="158">
        <v>8924941</v>
      </c>
      <c r="Y51" s="157">
        <v>-452304</v>
      </c>
      <c r="Z51" s="158">
        <v>-1196591</v>
      </c>
      <c r="AA51" s="159">
        <v>3469619</v>
      </c>
      <c r="AB51" s="159">
        <v>2275318</v>
      </c>
      <c r="AC51" s="157">
        <v>0</v>
      </c>
      <c r="AD51" s="158">
        <v>0</v>
      </c>
      <c r="AE51" s="157">
        <v>0</v>
      </c>
      <c r="AF51" s="158">
        <v>2113</v>
      </c>
      <c r="AG51" s="157">
        <v>515216.04000000114</v>
      </c>
      <c r="AH51" s="158">
        <v>784273.05000000028</v>
      </c>
      <c r="AI51" s="157">
        <v>2271042.2299999995</v>
      </c>
      <c r="AJ51" s="158">
        <v>1804475.5999999996</v>
      </c>
      <c r="AK51" s="154">
        <v>0</v>
      </c>
      <c r="AL51" s="156">
        <v>2.3675226536511558E-4</v>
      </c>
      <c r="AM51" s="154">
        <v>6.1582091739399818E-2</v>
      </c>
      <c r="AN51" s="156">
        <v>8.1857186604476898E-2</v>
      </c>
      <c r="AO51" s="154">
        <v>0.27145026570195835</v>
      </c>
      <c r="AP51" s="156">
        <v>0.18833911979051851</v>
      </c>
      <c r="AQ51" s="154">
        <v>0.53605000000000003</v>
      </c>
      <c r="AR51" s="155">
        <v>0.70918000000000003</v>
      </c>
      <c r="AS51" s="156">
        <v>0.62260000000000004</v>
      </c>
    </row>
    <row r="52" spans="1:45" x14ac:dyDescent="0.2">
      <c r="A52" s="152">
        <v>5501</v>
      </c>
      <c r="B52" s="153" t="s">
        <v>88</v>
      </c>
      <c r="C52" s="154">
        <v>0.19658789099566687</v>
      </c>
      <c r="D52" s="156">
        <v>0.18062645950875278</v>
      </c>
      <c r="E52" s="154">
        <v>0.64114022341134524</v>
      </c>
      <c r="F52" s="156">
        <v>0.55288522680656438</v>
      </c>
      <c r="G52" s="154">
        <v>-1.4639662911306889E-2</v>
      </c>
      <c r="H52" s="156">
        <v>7.1343664240544086E-2</v>
      </c>
      <c r="I52" s="154">
        <v>0.3928463351228218</v>
      </c>
      <c r="J52" s="156">
        <v>0.16038840503623425</v>
      </c>
      <c r="K52" s="157">
        <v>304</v>
      </c>
      <c r="L52" s="158">
        <v>142</v>
      </c>
      <c r="M52" s="154">
        <v>1.0148345656419799</v>
      </c>
      <c r="N52" s="156">
        <v>0.89837719257127324</v>
      </c>
      <c r="O52" s="157">
        <v>77.365079365079367</v>
      </c>
      <c r="P52" s="158">
        <v>76.476190476190482</v>
      </c>
      <c r="Q52" s="154">
        <v>0.56022556937929946</v>
      </c>
      <c r="R52" s="156">
        <v>0.59698154391587555</v>
      </c>
      <c r="S52" s="154">
        <v>8.6618267783901345E-2</v>
      </c>
      <c r="T52" s="156">
        <v>0.11551502054242606</v>
      </c>
      <c r="U52" s="157">
        <v>2901457</v>
      </c>
      <c r="V52" s="158">
        <v>3390980</v>
      </c>
      <c r="W52" s="157">
        <v>13801696</v>
      </c>
      <c r="X52" s="158">
        <v>17508156</v>
      </c>
      <c r="Y52" s="157">
        <v>-216068</v>
      </c>
      <c r="Z52" s="158">
        <v>1339366</v>
      </c>
      <c r="AA52" s="159">
        <v>3042200</v>
      </c>
      <c r="AB52" s="159">
        <v>3707674</v>
      </c>
      <c r="AC52" s="157">
        <v>1483803</v>
      </c>
      <c r="AD52" s="158">
        <v>684326</v>
      </c>
      <c r="AE52" s="157">
        <v>3833088</v>
      </c>
      <c r="AF52" s="158">
        <v>3833088</v>
      </c>
      <c r="AG52" s="157">
        <v>4531195.1000000006</v>
      </c>
      <c r="AH52" s="158">
        <v>4486812.8999999994</v>
      </c>
      <c r="AI52" s="157">
        <v>4850428.43</v>
      </c>
      <c r="AJ52" s="158">
        <v>3533438.55</v>
      </c>
      <c r="AK52" s="154">
        <v>0.27772586789333714</v>
      </c>
      <c r="AL52" s="156">
        <v>0.21893156538015768</v>
      </c>
      <c r="AM52" s="154">
        <v>0.41780985592312414</v>
      </c>
      <c r="AN52" s="156">
        <v>0.33788831854731027</v>
      </c>
      <c r="AO52" s="154">
        <v>0.44724554091783086</v>
      </c>
      <c r="AP52" s="156">
        <v>0.26609257772922651</v>
      </c>
      <c r="AQ52" s="154">
        <v>0.71725000000000005</v>
      </c>
      <c r="AR52" s="155">
        <v>0.86260999999999999</v>
      </c>
      <c r="AS52" s="156">
        <v>0.78990000000000005</v>
      </c>
    </row>
    <row r="53" spans="1:45" x14ac:dyDescent="0.2">
      <c r="A53" s="152">
        <v>5502</v>
      </c>
      <c r="B53" s="153" t="s">
        <v>89</v>
      </c>
      <c r="C53" s="154">
        <v>8.2490029355635083E-2</v>
      </c>
      <c r="D53" s="156">
        <v>9.0116909701542153E-2</v>
      </c>
      <c r="E53" s="154">
        <v>0.65055956970074835</v>
      </c>
      <c r="F53" s="156">
        <v>0.55273506320070243</v>
      </c>
      <c r="G53" s="154">
        <v>0.10344889747835977</v>
      </c>
      <c r="H53" s="156">
        <v>-7.0514947648594537E-3</v>
      </c>
      <c r="I53" s="154">
        <v>0</v>
      </c>
      <c r="J53" s="156">
        <v>0</v>
      </c>
      <c r="K53" s="157">
        <v>0</v>
      </c>
      <c r="L53" s="158">
        <v>0</v>
      </c>
      <c r="M53" s="154">
        <v>0</v>
      </c>
      <c r="N53" s="156">
        <v>0</v>
      </c>
      <c r="O53" s="157">
        <v>37.948717948717949</v>
      </c>
      <c r="P53" s="158">
        <v>36.292682926829265</v>
      </c>
      <c r="Q53" s="154">
        <v>0.78865819444925855</v>
      </c>
      <c r="R53" s="156">
        <v>0.67380562845103176</v>
      </c>
      <c r="S53" s="154">
        <v>2.8652606525056905E-2</v>
      </c>
      <c r="T53" s="156">
        <v>0.17424769941771423</v>
      </c>
      <c r="U53" s="157">
        <v>439291</v>
      </c>
      <c r="V53" s="158">
        <v>567859</v>
      </c>
      <c r="W53" s="157">
        <v>4760265</v>
      </c>
      <c r="X53" s="158">
        <v>6314597</v>
      </c>
      <c r="Y53" s="157">
        <v>550905</v>
      </c>
      <c r="Z53" s="158">
        <v>-44434</v>
      </c>
      <c r="AA53" s="159">
        <v>1658972</v>
      </c>
      <c r="AB53" s="159">
        <v>1619549</v>
      </c>
      <c r="AC53" s="157">
        <v>0</v>
      </c>
      <c r="AD53" s="158">
        <v>0</v>
      </c>
      <c r="AE53" s="157">
        <v>0</v>
      </c>
      <c r="AF53" s="158">
        <v>0</v>
      </c>
      <c r="AG53" s="157">
        <v>25947.059999999492</v>
      </c>
      <c r="AH53" s="158">
        <v>26376.009999999962</v>
      </c>
      <c r="AI53" s="157">
        <v>540000.47000000009</v>
      </c>
      <c r="AJ53" s="158">
        <v>2127703.7199999997</v>
      </c>
      <c r="AK53" s="154">
        <v>0</v>
      </c>
      <c r="AL53" s="156">
        <v>0</v>
      </c>
      <c r="AM53" s="154">
        <v>6.2412768573689792E-3</v>
      </c>
      <c r="AN53" s="156">
        <v>5.4008970776890496E-3</v>
      </c>
      <c r="AO53" s="154">
        <v>0.12989111045256913</v>
      </c>
      <c r="AP53" s="156">
        <v>0.43568033237537196</v>
      </c>
      <c r="AQ53" s="154">
        <v>0.62236999999999998</v>
      </c>
      <c r="AR53" s="155">
        <v>0.57852000000000003</v>
      </c>
      <c r="AS53" s="156">
        <v>0.60040000000000004</v>
      </c>
    </row>
    <row r="54" spans="1:45" x14ac:dyDescent="0.2">
      <c r="A54" s="152">
        <v>5503</v>
      </c>
      <c r="B54" s="153" t="s">
        <v>90</v>
      </c>
      <c r="C54" s="154">
        <v>8.2544397258182176E-2</v>
      </c>
      <c r="D54" s="156">
        <v>9.1375342522415942E-2</v>
      </c>
      <c r="E54" s="154">
        <v>0.3096292896518209</v>
      </c>
      <c r="F54" s="156">
        <v>0.29693533714966797</v>
      </c>
      <c r="G54" s="154">
        <v>3.417326661370515E-2</v>
      </c>
      <c r="H54" s="156">
        <v>-0.1572387736909823</v>
      </c>
      <c r="I54" s="154">
        <v>0.51194927187573114</v>
      </c>
      <c r="J54" s="156">
        <v>0.37453056812473762</v>
      </c>
      <c r="K54" s="157">
        <v>252</v>
      </c>
      <c r="L54" s="158">
        <v>201</v>
      </c>
      <c r="M54" s="154">
        <v>8.7558653841909417E-2</v>
      </c>
      <c r="N54" s="156">
        <v>0</v>
      </c>
      <c r="O54" s="157">
        <v>113.26153846153846</v>
      </c>
      <c r="P54" s="158">
        <v>97.756756756756758</v>
      </c>
      <c r="Q54" s="154">
        <v>0.59393522208966332</v>
      </c>
      <c r="R54" s="156">
        <v>0.62086707153676646</v>
      </c>
      <c r="S54" s="154">
        <v>0.21909108070493483</v>
      </c>
      <c r="T54" s="156">
        <v>0.2057395366159159</v>
      </c>
      <c r="U54" s="157">
        <v>1009228</v>
      </c>
      <c r="V54" s="158">
        <v>1131046</v>
      </c>
      <c r="W54" s="157">
        <v>11775897</v>
      </c>
      <c r="X54" s="158">
        <v>14295614</v>
      </c>
      <c r="Y54" s="157">
        <v>417819</v>
      </c>
      <c r="Z54" s="158">
        <v>-1946305</v>
      </c>
      <c r="AA54" s="159">
        <v>3241988</v>
      </c>
      <c r="AB54" s="159">
        <v>1133146</v>
      </c>
      <c r="AC54" s="157">
        <v>927820</v>
      </c>
      <c r="AD54" s="158">
        <v>726232</v>
      </c>
      <c r="AE54" s="157">
        <v>158685</v>
      </c>
      <c r="AF54" s="158">
        <v>0</v>
      </c>
      <c r="AG54" s="157">
        <v>499617.7399999997</v>
      </c>
      <c r="AH54" s="158">
        <v>170780.93999999989</v>
      </c>
      <c r="AI54" s="157">
        <v>5230381.2899999991</v>
      </c>
      <c r="AJ54" s="158">
        <v>6221755.7999999998</v>
      </c>
      <c r="AK54" s="154">
        <v>1.3475406586861281E-2</v>
      </c>
      <c r="AL54" s="156">
        <v>0</v>
      </c>
      <c r="AM54" s="154">
        <v>5.1207241652188665E-2</v>
      </c>
      <c r="AN54" s="156">
        <v>1.4904352338416117E-2</v>
      </c>
      <c r="AO54" s="154">
        <v>0.53607663861198451</v>
      </c>
      <c r="AP54" s="156">
        <v>0.54298354726694975</v>
      </c>
      <c r="AQ54" s="154">
        <v>0.73860999999999999</v>
      </c>
      <c r="AR54" s="155">
        <v>0.55427999999999999</v>
      </c>
      <c r="AS54" s="156">
        <v>0.64639999999999997</v>
      </c>
    </row>
    <row r="55" spans="1:45" x14ac:dyDescent="0.2">
      <c r="A55" s="152">
        <v>5504</v>
      </c>
      <c r="B55" s="153" t="s">
        <v>87</v>
      </c>
      <c r="C55" s="154">
        <v>0.21905246088467295</v>
      </c>
      <c r="D55" s="156">
        <v>0.20018420829494668</v>
      </c>
      <c r="E55" s="154">
        <v>0.78206490813185325</v>
      </c>
      <c r="F55" s="156">
        <v>0.72561634258052843</v>
      </c>
      <c r="G55" s="154">
        <v>-0.15997716512020027</v>
      </c>
      <c r="H55" s="156">
        <v>9.3203019977572979E-2</v>
      </c>
      <c r="I55" s="154">
        <v>0.67934234748423017</v>
      </c>
      <c r="J55" s="156">
        <v>0.19923470039096786</v>
      </c>
      <c r="K55" s="157">
        <v>348</v>
      </c>
      <c r="L55" s="158">
        <v>111</v>
      </c>
      <c r="M55" s="154">
        <v>5.5613647649352248E-2</v>
      </c>
      <c r="N55" s="156">
        <v>4.5210803478815925E-2</v>
      </c>
      <c r="O55" s="157">
        <v>300.44805194805195</v>
      </c>
      <c r="P55" s="158">
        <v>291.52258064516127</v>
      </c>
      <c r="Q55" s="154">
        <v>0.63108418317977699</v>
      </c>
      <c r="R55" s="156">
        <v>0.64229131842252252</v>
      </c>
      <c r="S55" s="154">
        <v>9.9095764494232977E-2</v>
      </c>
      <c r="T55" s="156">
        <v>8.7602669510738765E-2</v>
      </c>
      <c r="U55" s="157">
        <v>18834294</v>
      </c>
      <c r="V55" s="158">
        <v>20171400</v>
      </c>
      <c r="W55" s="157">
        <v>84665001</v>
      </c>
      <c r="X55" s="158">
        <v>104630259</v>
      </c>
      <c r="Y55" s="157">
        <v>-13754956</v>
      </c>
      <c r="Z55" s="158">
        <v>9391527</v>
      </c>
      <c r="AA55" s="159">
        <v>14513520</v>
      </c>
      <c r="AB55" s="159">
        <v>12842898</v>
      </c>
      <c r="AC55" s="157">
        <v>16118548</v>
      </c>
      <c r="AD55" s="158">
        <v>4994017</v>
      </c>
      <c r="AE55" s="157">
        <v>1319528</v>
      </c>
      <c r="AF55" s="158">
        <v>1133254</v>
      </c>
      <c r="AG55" s="157">
        <v>3900260.3700000029</v>
      </c>
      <c r="AH55" s="158">
        <v>4100399.7199999983</v>
      </c>
      <c r="AI55" s="157">
        <v>13767592.24</v>
      </c>
      <c r="AJ55" s="158">
        <v>18871553.969999999</v>
      </c>
      <c r="AK55" s="154">
        <v>1.5585282990783877E-2</v>
      </c>
      <c r="AL55" s="156">
        <v>1.0831035025919223E-2</v>
      </c>
      <c r="AM55" s="154">
        <v>6.1913467513719747E-2</v>
      </c>
      <c r="AN55" s="156">
        <v>5.259827423926737E-2</v>
      </c>
      <c r="AO55" s="154">
        <v>0.21854935158941183</v>
      </c>
      <c r="AP55" s="156">
        <v>0.24207668491285411</v>
      </c>
      <c r="AQ55" s="154">
        <v>0.69366000000000005</v>
      </c>
      <c r="AR55" s="155">
        <v>0.54735</v>
      </c>
      <c r="AS55" s="156">
        <v>0.62050000000000005</v>
      </c>
    </row>
    <row r="56" spans="1:45" x14ac:dyDescent="0.2">
      <c r="A56" s="152">
        <v>5505</v>
      </c>
      <c r="B56" s="153" t="s">
        <v>91</v>
      </c>
      <c r="C56" s="154">
        <v>0.117601737965703</v>
      </c>
      <c r="D56" s="156">
        <v>0.15018366813200734</v>
      </c>
      <c r="E56" s="154">
        <v>0.25174152480625889</v>
      </c>
      <c r="F56" s="156">
        <v>0.29076700656800702</v>
      </c>
      <c r="G56" s="154">
        <v>-8.594396485726126E-2</v>
      </c>
      <c r="H56" s="156">
        <v>-0.20062421689503745</v>
      </c>
      <c r="I56" s="154">
        <v>0</v>
      </c>
      <c r="J56" s="156">
        <v>0</v>
      </c>
      <c r="K56" s="157">
        <v>0</v>
      </c>
      <c r="L56" s="158">
        <v>0</v>
      </c>
      <c r="M56" s="154">
        <v>0</v>
      </c>
      <c r="N56" s="156">
        <v>0</v>
      </c>
      <c r="O56" s="157">
        <v>46.629629629629626</v>
      </c>
      <c r="P56" s="158">
        <v>45.321428571428569</v>
      </c>
      <c r="Q56" s="154">
        <v>0.44827061363928722</v>
      </c>
      <c r="R56" s="156">
        <v>0.533876302439523</v>
      </c>
      <c r="S56" s="154">
        <v>0.37341194284575208</v>
      </c>
      <c r="T56" s="156">
        <v>0.27699903208606308</v>
      </c>
      <c r="U56" s="157">
        <v>554539</v>
      </c>
      <c r="V56" s="158">
        <v>642582</v>
      </c>
      <c r="W56" s="157">
        <v>5091835</v>
      </c>
      <c r="X56" s="158">
        <v>5106859</v>
      </c>
      <c r="Y56" s="157">
        <v>-405260</v>
      </c>
      <c r="Z56" s="158">
        <v>-858399</v>
      </c>
      <c r="AA56" s="159">
        <v>1327207</v>
      </c>
      <c r="AB56" s="159">
        <v>468403</v>
      </c>
      <c r="AC56" s="157">
        <v>0</v>
      </c>
      <c r="AD56" s="158">
        <v>0</v>
      </c>
      <c r="AE56" s="157">
        <v>0</v>
      </c>
      <c r="AF56" s="158">
        <v>0</v>
      </c>
      <c r="AG56" s="157">
        <v>143993.73999999976</v>
      </c>
      <c r="AH56" s="158">
        <v>888828.86999999988</v>
      </c>
      <c r="AI56" s="157">
        <v>683203.64000000013</v>
      </c>
      <c r="AJ56" s="158">
        <v>2107573.5999999996</v>
      </c>
      <c r="AK56" s="154">
        <v>0</v>
      </c>
      <c r="AL56" s="156">
        <v>0</v>
      </c>
      <c r="AM56" s="154">
        <v>3.8908824824044688E-2</v>
      </c>
      <c r="AN56" s="156">
        <v>0.20446995967324513</v>
      </c>
      <c r="AO56" s="154">
        <v>0.18460976670173121</v>
      </c>
      <c r="AP56" s="156">
        <v>0.48483516180161434</v>
      </c>
      <c r="AQ56" s="154">
        <v>0.74650000000000005</v>
      </c>
      <c r="AR56" s="155">
        <v>0.71275999999999995</v>
      </c>
      <c r="AS56" s="156">
        <v>0.72960000000000003</v>
      </c>
    </row>
    <row r="57" spans="1:45" x14ac:dyDescent="0.2">
      <c r="A57" s="152">
        <v>5506</v>
      </c>
      <c r="B57" s="153" t="s">
        <v>92</v>
      </c>
      <c r="C57" s="154">
        <v>0.13108680521761756</v>
      </c>
      <c r="D57" s="156">
        <v>0.11393710582372882</v>
      </c>
      <c r="E57" s="154">
        <v>0.54659284723142254</v>
      </c>
      <c r="F57" s="156">
        <v>0.31651800114087669</v>
      </c>
      <c r="G57" s="154">
        <v>0.17140825573162333</v>
      </c>
      <c r="H57" s="156">
        <v>2.5915630655708128E-4</v>
      </c>
      <c r="I57" s="154">
        <v>0.42460500466622847</v>
      </c>
      <c r="J57" s="156">
        <v>0.31235149834292469</v>
      </c>
      <c r="K57" s="157">
        <v>274</v>
      </c>
      <c r="L57" s="158">
        <v>207</v>
      </c>
      <c r="M57" s="154">
        <v>1.9807124820869315E-3</v>
      </c>
      <c r="N57" s="156">
        <v>1.9197628708901876E-3</v>
      </c>
      <c r="O57" s="157">
        <v>88.490566037735846</v>
      </c>
      <c r="P57" s="158">
        <v>82.754385964912274</v>
      </c>
      <c r="Q57" s="154">
        <v>0.64264410490232005</v>
      </c>
      <c r="R57" s="156">
        <v>0.57591448103682819</v>
      </c>
      <c r="S57" s="154">
        <v>0.17053752258930041</v>
      </c>
      <c r="T57" s="156">
        <v>0.2787175091371179</v>
      </c>
      <c r="U57" s="157">
        <v>1959713</v>
      </c>
      <c r="V57" s="158">
        <v>2055786</v>
      </c>
      <c r="W57" s="157">
        <v>12504814</v>
      </c>
      <c r="X57" s="158">
        <v>17712095</v>
      </c>
      <c r="Y57" s="157">
        <v>2562508</v>
      </c>
      <c r="Z57" s="158">
        <v>4676</v>
      </c>
      <c r="AA57" s="159">
        <v>4549868</v>
      </c>
      <c r="AB57" s="159">
        <v>4262996</v>
      </c>
      <c r="AC57" s="157">
        <v>1286219</v>
      </c>
      <c r="AD57" s="158">
        <v>976219</v>
      </c>
      <c r="AE57" s="157">
        <v>6000</v>
      </c>
      <c r="AF57" s="158">
        <v>6000</v>
      </c>
      <c r="AG57" s="157">
        <v>342797.38000000012</v>
      </c>
      <c r="AH57" s="158">
        <v>1814384.9099999997</v>
      </c>
      <c r="AI57" s="157">
        <v>69726.860000000335</v>
      </c>
      <c r="AJ57" s="158">
        <v>3144563.7800000003</v>
      </c>
      <c r="AK57" s="154">
        <v>4.7981521356495188E-4</v>
      </c>
      <c r="AL57" s="156">
        <v>3.3875157060754248E-4</v>
      </c>
      <c r="AM57" s="154">
        <v>3.1521522799117914E-2</v>
      </c>
      <c r="AN57" s="156">
        <v>0.13776523178752631</v>
      </c>
      <c r="AO57" s="154">
        <v>6.4116499583541531E-3</v>
      </c>
      <c r="AP57" s="156">
        <v>0.23876496967909638</v>
      </c>
      <c r="AQ57" s="154">
        <v>0.64254</v>
      </c>
      <c r="AR57" s="155">
        <v>0.47704000000000002</v>
      </c>
      <c r="AS57" s="156">
        <v>0.55979999999999996</v>
      </c>
    </row>
    <row r="58" spans="1:45" x14ac:dyDescent="0.2">
      <c r="A58" s="152">
        <v>5507</v>
      </c>
      <c r="B58" s="153" t="s">
        <v>93</v>
      </c>
      <c r="C58" s="154">
        <v>0.13716657677791383</v>
      </c>
      <c r="D58" s="156">
        <v>0.13527556126082574</v>
      </c>
      <c r="E58" s="154">
        <v>0.38636703266552014</v>
      </c>
      <c r="F58" s="156">
        <v>0.39932873870455632</v>
      </c>
      <c r="G58" s="154">
        <v>1.1287606647542341E-2</v>
      </c>
      <c r="H58" s="156">
        <v>4.3695743447008772E-2</v>
      </c>
      <c r="I58" s="154">
        <v>0</v>
      </c>
      <c r="J58" s="156">
        <v>0</v>
      </c>
      <c r="K58" s="157">
        <v>0</v>
      </c>
      <c r="L58" s="158">
        <v>0</v>
      </c>
      <c r="M58" s="154">
        <v>0</v>
      </c>
      <c r="N58" s="156">
        <v>0</v>
      </c>
      <c r="O58" s="157">
        <v>84.666666666666671</v>
      </c>
      <c r="P58" s="158">
        <v>82.666666666666671</v>
      </c>
      <c r="Q58" s="154">
        <v>0.62504763313544143</v>
      </c>
      <c r="R58" s="156">
        <v>0.679123217611871</v>
      </c>
      <c r="S58" s="154">
        <v>0.15736089247826979</v>
      </c>
      <c r="T58" s="156">
        <v>9.4582031850671613E-2</v>
      </c>
      <c r="U58" s="157">
        <v>1261714</v>
      </c>
      <c r="V58" s="158">
        <v>1480808</v>
      </c>
      <c r="W58" s="157">
        <v>9058820</v>
      </c>
      <c r="X58" s="158">
        <v>10411523</v>
      </c>
      <c r="Y58" s="157">
        <v>103828</v>
      </c>
      <c r="Z58" s="158">
        <v>478320</v>
      </c>
      <c r="AA58" s="159">
        <v>3307925</v>
      </c>
      <c r="AB58" s="159">
        <v>3828172</v>
      </c>
      <c r="AC58" s="157">
        <v>0</v>
      </c>
      <c r="AD58" s="158">
        <v>0</v>
      </c>
      <c r="AE58" s="157">
        <v>0</v>
      </c>
      <c r="AF58" s="158">
        <v>0</v>
      </c>
      <c r="AG58" s="157">
        <v>52954.840000000186</v>
      </c>
      <c r="AH58" s="158">
        <v>113411.46000000021</v>
      </c>
      <c r="AI58" s="157">
        <v>317012.21000000008</v>
      </c>
      <c r="AJ58" s="158">
        <v>365729.95000000007</v>
      </c>
      <c r="AK58" s="154">
        <v>0</v>
      </c>
      <c r="AL58" s="156">
        <v>0</v>
      </c>
      <c r="AM58" s="154">
        <v>7.4098041989530657E-3</v>
      </c>
      <c r="AN58" s="156">
        <v>1.3354963676167579E-2</v>
      </c>
      <c r="AO58" s="154">
        <v>4.435852142650952E-2</v>
      </c>
      <c r="AP58" s="156">
        <v>4.3067166206453712E-2</v>
      </c>
      <c r="AQ58" s="154">
        <v>0.70045999999999997</v>
      </c>
      <c r="AR58" s="155">
        <v>0.67603999999999997</v>
      </c>
      <c r="AS58" s="156">
        <v>0.68830000000000002</v>
      </c>
    </row>
    <row r="59" spans="1:45" x14ac:dyDescent="0.2">
      <c r="A59" s="152">
        <v>5508</v>
      </c>
      <c r="B59" s="153" t="s">
        <v>94</v>
      </c>
      <c r="C59" s="154">
        <v>0.15490436222129836</v>
      </c>
      <c r="D59" s="156">
        <v>0.2140745070076798</v>
      </c>
      <c r="E59" s="154">
        <v>0.37024348010686065</v>
      </c>
      <c r="F59" s="156">
        <v>0.5356355053537637</v>
      </c>
      <c r="G59" s="154">
        <v>-0.15515289363871931</v>
      </c>
      <c r="H59" s="156">
        <v>-3.7568878654338451E-2</v>
      </c>
      <c r="I59" s="154">
        <v>0</v>
      </c>
      <c r="J59" s="156">
        <v>0</v>
      </c>
      <c r="K59" s="157">
        <v>0</v>
      </c>
      <c r="L59" s="158">
        <v>0</v>
      </c>
      <c r="M59" s="154">
        <v>0</v>
      </c>
      <c r="N59" s="156">
        <v>0</v>
      </c>
      <c r="O59" s="157">
        <v>44.893617021276597</v>
      </c>
      <c r="P59" s="158">
        <v>52.347826086956523</v>
      </c>
      <c r="Q59" s="154">
        <v>0.56893134045405336</v>
      </c>
      <c r="R59" s="156">
        <v>0.61632863629372192</v>
      </c>
      <c r="S59" s="154">
        <v>0.19950745132938597</v>
      </c>
      <c r="T59" s="156">
        <v>0.10178941828013489</v>
      </c>
      <c r="U59" s="157">
        <v>579026</v>
      </c>
      <c r="V59" s="158">
        <v>915693</v>
      </c>
      <c r="W59" s="157">
        <v>4278968</v>
      </c>
      <c r="X59" s="158">
        <v>4499004</v>
      </c>
      <c r="Y59" s="157">
        <v>-579955</v>
      </c>
      <c r="Z59" s="158">
        <v>-160699</v>
      </c>
      <c r="AA59" s="159">
        <v>1065117</v>
      </c>
      <c r="AB59" s="159">
        <v>908960</v>
      </c>
      <c r="AC59" s="157">
        <v>0</v>
      </c>
      <c r="AD59" s="158">
        <v>0</v>
      </c>
      <c r="AE59" s="157">
        <v>0</v>
      </c>
      <c r="AF59" s="158">
        <v>0</v>
      </c>
      <c r="AG59" s="157">
        <v>47721.950000000048</v>
      </c>
      <c r="AH59" s="158">
        <v>19979.820000000029</v>
      </c>
      <c r="AI59" s="157">
        <v>1080380.6200000001</v>
      </c>
      <c r="AJ59" s="158">
        <v>982570.30000000028</v>
      </c>
      <c r="AK59" s="154">
        <v>0</v>
      </c>
      <c r="AL59" s="156">
        <v>0</v>
      </c>
      <c r="AM59" s="154">
        <v>1.5587273569970198E-2</v>
      </c>
      <c r="AN59" s="156">
        <v>5.4877463946170239E-3</v>
      </c>
      <c r="AO59" s="154">
        <v>0.35288139490599191</v>
      </c>
      <c r="AP59" s="156">
        <v>0.2698771370954674</v>
      </c>
      <c r="AQ59" s="154">
        <v>0.71023999999999998</v>
      </c>
      <c r="AR59" s="155">
        <v>0.55191000000000001</v>
      </c>
      <c r="AS59" s="156">
        <v>0.63109999999999999</v>
      </c>
    </row>
    <row r="60" spans="1:45" x14ac:dyDescent="0.2">
      <c r="A60" s="152">
        <v>5509</v>
      </c>
      <c r="B60" s="153" t="s">
        <v>95</v>
      </c>
      <c r="C60" s="154">
        <v>9.0115511723855637E-2</v>
      </c>
      <c r="D60" s="156">
        <v>0.12085615172537569</v>
      </c>
      <c r="E60" s="154">
        <v>0.24584370465746971</v>
      </c>
      <c r="F60" s="156">
        <v>0.22370220613947608</v>
      </c>
      <c r="G60" s="154">
        <v>-2.3900060003069924E-2</v>
      </c>
      <c r="H60" s="156">
        <v>-0.43407583085127655</v>
      </c>
      <c r="I60" s="154">
        <v>0</v>
      </c>
      <c r="J60" s="156">
        <v>0</v>
      </c>
      <c r="K60" s="157">
        <v>0</v>
      </c>
      <c r="L60" s="158">
        <v>0</v>
      </c>
      <c r="M60" s="154">
        <v>0</v>
      </c>
      <c r="N60" s="156">
        <v>0</v>
      </c>
      <c r="O60" s="157">
        <v>82.436363636363637</v>
      </c>
      <c r="P60" s="158">
        <v>103.1063829787234</v>
      </c>
      <c r="Q60" s="154">
        <v>0.70673762459146361</v>
      </c>
      <c r="R60" s="156">
        <v>0.7006269377984945</v>
      </c>
      <c r="S60" s="154">
        <v>7.7655513363191445E-2</v>
      </c>
      <c r="T60" s="156">
        <v>0.10953775650383396</v>
      </c>
      <c r="U60" s="157">
        <v>619963</v>
      </c>
      <c r="V60" s="158">
        <v>690898</v>
      </c>
      <c r="W60" s="157">
        <v>6956235</v>
      </c>
      <c r="X60" s="158">
        <v>8111331</v>
      </c>
      <c r="Y60" s="157">
        <v>-164424</v>
      </c>
      <c r="Z60" s="158">
        <v>-2481480</v>
      </c>
      <c r="AA60" s="159">
        <v>3312514</v>
      </c>
      <c r="AB60" s="159">
        <v>838898</v>
      </c>
      <c r="AC60" s="157">
        <v>0</v>
      </c>
      <c r="AD60" s="158">
        <v>0</v>
      </c>
      <c r="AE60" s="157">
        <v>0</v>
      </c>
      <c r="AF60" s="158">
        <v>0</v>
      </c>
      <c r="AG60" s="157">
        <v>52331.240000000202</v>
      </c>
      <c r="AH60" s="158">
        <v>883650.8899999999</v>
      </c>
      <c r="AI60" s="157">
        <v>132810.7600000001</v>
      </c>
      <c r="AJ60" s="158">
        <v>1899838.78</v>
      </c>
      <c r="AK60" s="154">
        <v>0</v>
      </c>
      <c r="AL60" s="156">
        <v>0</v>
      </c>
      <c r="AM60" s="154">
        <v>9.333154510073648E-3</v>
      </c>
      <c r="AN60" s="156">
        <v>0.13119563622952746</v>
      </c>
      <c r="AO60" s="154">
        <v>2.368648905854906E-2</v>
      </c>
      <c r="AP60" s="156">
        <v>0.28206903913787634</v>
      </c>
      <c r="AQ60" s="154">
        <v>0.75165000000000004</v>
      </c>
      <c r="AR60" s="155">
        <v>0.65415999999999996</v>
      </c>
      <c r="AS60" s="156">
        <v>0.70289999999999997</v>
      </c>
    </row>
    <row r="61" spans="1:45" x14ac:dyDescent="0.2">
      <c r="A61" s="152">
        <v>5510</v>
      </c>
      <c r="B61" s="153" t="s">
        <v>96</v>
      </c>
      <c r="C61" s="154">
        <v>7.2083910892023997E-2</v>
      </c>
      <c r="D61" s="156">
        <v>0.13041398850845579</v>
      </c>
      <c r="E61" s="154">
        <v>0.21139623274448868</v>
      </c>
      <c r="F61" s="156">
        <v>0.34286435199852172</v>
      </c>
      <c r="G61" s="154">
        <v>1.4161046654152371E-2</v>
      </c>
      <c r="H61" s="156">
        <v>-0.11554578412958126</v>
      </c>
      <c r="I61" s="154">
        <v>0</v>
      </c>
      <c r="J61" s="156">
        <v>6.2713954672331165E-2</v>
      </c>
      <c r="K61" s="157">
        <v>0</v>
      </c>
      <c r="L61" s="158">
        <v>46</v>
      </c>
      <c r="M61" s="154">
        <v>0</v>
      </c>
      <c r="N61" s="156">
        <v>0</v>
      </c>
      <c r="O61" s="157">
        <v>82.973684210526315</v>
      </c>
      <c r="P61" s="158">
        <v>91.058823529411768</v>
      </c>
      <c r="Q61" s="154">
        <v>0.54964129037825915</v>
      </c>
      <c r="R61" s="156">
        <v>0.56663190535404606</v>
      </c>
      <c r="S61" s="154">
        <v>0.2881294788421021</v>
      </c>
      <c r="T61" s="156">
        <v>0.27091659889657754</v>
      </c>
      <c r="U61" s="157">
        <v>801579</v>
      </c>
      <c r="V61" s="158">
        <v>1462120</v>
      </c>
      <c r="W61" s="157">
        <v>10938374</v>
      </c>
      <c r="X61" s="158">
        <v>12439116</v>
      </c>
      <c r="Y61" s="157">
        <v>157472</v>
      </c>
      <c r="Z61" s="158">
        <v>-1295427</v>
      </c>
      <c r="AA61" s="159">
        <v>3752239</v>
      </c>
      <c r="AB61" s="159">
        <v>2464424</v>
      </c>
      <c r="AC61" s="157">
        <v>0</v>
      </c>
      <c r="AD61" s="158">
        <v>142895</v>
      </c>
      <c r="AE61" s="157">
        <v>0</v>
      </c>
      <c r="AF61" s="158">
        <v>0</v>
      </c>
      <c r="AG61" s="157">
        <v>86087.930000000561</v>
      </c>
      <c r="AH61" s="158">
        <v>111183.27000000003</v>
      </c>
      <c r="AI61" s="157">
        <v>2576590.67</v>
      </c>
      <c r="AJ61" s="158">
        <v>3663991.1399999997</v>
      </c>
      <c r="AK61" s="154">
        <v>0</v>
      </c>
      <c r="AL61" s="156">
        <v>0</v>
      </c>
      <c r="AM61" s="154">
        <v>1.0017102440687537E-2</v>
      </c>
      <c r="AN61" s="156">
        <v>1.0783710616317785E-2</v>
      </c>
      <c r="AO61" s="154">
        <v>0.29980942379622288</v>
      </c>
      <c r="AP61" s="156">
        <v>0.35537199215774362</v>
      </c>
      <c r="AQ61" s="154">
        <v>0.62541999999999998</v>
      </c>
      <c r="AR61" s="155">
        <v>0.48727999999999999</v>
      </c>
      <c r="AS61" s="156">
        <v>0.55640000000000001</v>
      </c>
    </row>
    <row r="62" spans="1:45" x14ac:dyDescent="0.2">
      <c r="A62" s="152">
        <v>5511</v>
      </c>
      <c r="B62" s="153" t="s">
        <v>97</v>
      </c>
      <c r="C62" s="154">
        <v>4.8984991967488574E-2</v>
      </c>
      <c r="D62" s="156">
        <v>5.4959805065131685E-2</v>
      </c>
      <c r="E62" s="154">
        <v>0.18359579632274303</v>
      </c>
      <c r="F62" s="156">
        <v>0.17334462892675143</v>
      </c>
      <c r="G62" s="154">
        <v>5.1233958471522942E-2</v>
      </c>
      <c r="H62" s="156">
        <v>-7.3916093009036815E-2</v>
      </c>
      <c r="I62" s="154">
        <v>0</v>
      </c>
      <c r="J62" s="156">
        <v>0.12806585483431493</v>
      </c>
      <c r="K62" s="157">
        <v>0</v>
      </c>
      <c r="L62" s="158">
        <v>76</v>
      </c>
      <c r="M62" s="154">
        <v>1.0911819178202177E-2</v>
      </c>
      <c r="N62" s="156">
        <v>9.9222401542621193E-3</v>
      </c>
      <c r="O62" s="157">
        <v>58.925925925925924</v>
      </c>
      <c r="P62" s="158">
        <v>45.685714285714283</v>
      </c>
      <c r="Q62" s="154">
        <v>0.61773914207453318</v>
      </c>
      <c r="R62" s="156">
        <v>0.5583031643788019</v>
      </c>
      <c r="S62" s="154">
        <v>0.15532584062552973</v>
      </c>
      <c r="T62" s="156">
        <v>0.2044665427202739</v>
      </c>
      <c r="U62" s="157">
        <v>286683</v>
      </c>
      <c r="V62" s="158">
        <v>373220</v>
      </c>
      <c r="W62" s="157">
        <v>5468517</v>
      </c>
      <c r="X62" s="158">
        <v>7154706</v>
      </c>
      <c r="Y62" s="157">
        <v>299845</v>
      </c>
      <c r="Z62" s="158">
        <v>-501948</v>
      </c>
      <c r="AA62" s="159">
        <v>2047218</v>
      </c>
      <c r="AB62" s="159">
        <v>1549488</v>
      </c>
      <c r="AC62" s="157">
        <v>0</v>
      </c>
      <c r="AD62" s="158">
        <v>122203</v>
      </c>
      <c r="AE62" s="157">
        <v>9468</v>
      </c>
      <c r="AF62" s="158">
        <v>9468</v>
      </c>
      <c r="AG62" s="157">
        <v>123630.34999999995</v>
      </c>
      <c r="AH62" s="158">
        <v>339348.45999999932</v>
      </c>
      <c r="AI62" s="157">
        <v>1702799.53</v>
      </c>
      <c r="AJ62" s="158">
        <v>1602960.11</v>
      </c>
      <c r="AK62" s="154">
        <v>1.7313651946222349E-3</v>
      </c>
      <c r="AL62" s="156">
        <v>1.3233248158624547E-3</v>
      </c>
      <c r="AM62" s="154">
        <v>2.6752461985558071E-2</v>
      </c>
      <c r="AN62" s="156">
        <v>6.2517183322362488E-2</v>
      </c>
      <c r="AO62" s="154">
        <v>0.36847003745723578</v>
      </c>
      <c r="AP62" s="156">
        <v>0.29530869553763273</v>
      </c>
      <c r="AQ62" s="154">
        <v>0.72516000000000003</v>
      </c>
      <c r="AR62" s="155">
        <v>0.64849000000000001</v>
      </c>
      <c r="AS62" s="156">
        <v>0.68679999999999997</v>
      </c>
    </row>
    <row r="63" spans="1:45" x14ac:dyDescent="0.2">
      <c r="A63" s="152">
        <v>5601</v>
      </c>
      <c r="B63" s="153" t="s">
        <v>99</v>
      </c>
      <c r="C63" s="154">
        <v>9.9442138380508541E-2</v>
      </c>
      <c r="D63" s="156">
        <v>8.6193971844134992E-2</v>
      </c>
      <c r="E63" s="154">
        <v>0.24613606313005837</v>
      </c>
      <c r="F63" s="156">
        <v>0.43720770742013121</v>
      </c>
      <c r="G63" s="154">
        <v>-0.14206153439420779</v>
      </c>
      <c r="H63" s="156">
        <v>0.11469930245158079</v>
      </c>
      <c r="I63" s="154">
        <v>0.34136125012843849</v>
      </c>
      <c r="J63" s="156">
        <v>0.33002553642905574</v>
      </c>
      <c r="K63" s="157">
        <v>154</v>
      </c>
      <c r="L63" s="158">
        <v>152</v>
      </c>
      <c r="M63" s="154">
        <v>0.70169086338008657</v>
      </c>
      <c r="N63" s="156">
        <v>0.63943783401503385</v>
      </c>
      <c r="O63" s="157">
        <v>113.20481927710843</v>
      </c>
      <c r="P63" s="158">
        <v>119.5</v>
      </c>
      <c r="Q63" s="154">
        <v>0.59723363573611132</v>
      </c>
      <c r="R63" s="156">
        <v>0.73300639840952775</v>
      </c>
      <c r="S63" s="154">
        <v>0.23312457701511413</v>
      </c>
      <c r="T63" s="156">
        <v>0.10164765739705683</v>
      </c>
      <c r="U63" s="157">
        <v>1169038</v>
      </c>
      <c r="V63" s="158">
        <v>1234212</v>
      </c>
      <c r="W63" s="157">
        <v>13627851</v>
      </c>
      <c r="X63" s="158">
        <v>12809277</v>
      </c>
      <c r="Y63" s="157">
        <v>-1670070</v>
      </c>
      <c r="Z63" s="158">
        <v>1642380</v>
      </c>
      <c r="AA63" s="159">
        <v>1960088</v>
      </c>
      <c r="AB63" s="159">
        <v>3602468</v>
      </c>
      <c r="AC63" s="157">
        <v>724245</v>
      </c>
      <c r="AD63" s="158">
        <v>724245</v>
      </c>
      <c r="AE63" s="157">
        <v>1488734</v>
      </c>
      <c r="AF63" s="158">
        <v>1403254</v>
      </c>
      <c r="AG63" s="157">
        <v>283895.41000000027</v>
      </c>
      <c r="AH63" s="158">
        <v>120929.88999999978</v>
      </c>
      <c r="AI63" s="157">
        <v>2028166.77</v>
      </c>
      <c r="AJ63" s="158">
        <v>9504784.4900000002</v>
      </c>
      <c r="AK63" s="154">
        <v>0.10924202209137743</v>
      </c>
      <c r="AL63" s="156">
        <v>0.10954982080565515</v>
      </c>
      <c r="AM63" s="154">
        <v>3.1005977293297179E-2</v>
      </c>
      <c r="AN63" s="156">
        <v>1.1300164909858352E-2</v>
      </c>
      <c r="AO63" s="154">
        <v>0.22150866341107742</v>
      </c>
      <c r="AP63" s="156">
        <v>0.88816447422274269</v>
      </c>
      <c r="AQ63" s="154">
        <v>0.64607000000000003</v>
      </c>
      <c r="AR63" s="155">
        <v>0.51644999999999996</v>
      </c>
      <c r="AS63" s="156">
        <v>0.58130000000000004</v>
      </c>
    </row>
    <row r="64" spans="1:45" x14ac:dyDescent="0.2">
      <c r="A64" s="152">
        <v>5602</v>
      </c>
      <c r="B64" s="153" t="s">
        <v>100</v>
      </c>
      <c r="C64" s="154">
        <v>0.197511469988087</v>
      </c>
      <c r="D64" s="156">
        <v>0.13983118715179657</v>
      </c>
      <c r="E64" s="154">
        <v>0.5412856640445064</v>
      </c>
      <c r="F64" s="156">
        <v>0.54674778356043463</v>
      </c>
      <c r="G64" s="154">
        <v>-5.8629131328737608E-2</v>
      </c>
      <c r="H64" s="156">
        <v>1.0348142652943489E-2</v>
      </c>
      <c r="I64" s="154">
        <v>0.33927724307022683</v>
      </c>
      <c r="J64" s="156">
        <v>0.13183823039609363</v>
      </c>
      <c r="K64" s="157">
        <v>220</v>
      </c>
      <c r="L64" s="158">
        <v>73</v>
      </c>
      <c r="M64" s="154">
        <v>0</v>
      </c>
      <c r="N64" s="156">
        <v>0</v>
      </c>
      <c r="O64" s="157">
        <v>230.47619047619048</v>
      </c>
      <c r="P64" s="158">
        <v>206.76344086021504</v>
      </c>
      <c r="Q64" s="154">
        <v>0.57778280260982873</v>
      </c>
      <c r="R64" s="156">
        <v>0.68295408748145359</v>
      </c>
      <c r="S64" s="154">
        <v>0.16009740773295716</v>
      </c>
      <c r="T64" s="156">
        <v>0.13253924333707559</v>
      </c>
      <c r="U64" s="157">
        <v>9956474</v>
      </c>
      <c r="V64" s="158">
        <v>8102584</v>
      </c>
      <c r="W64" s="157">
        <v>53206864</v>
      </c>
      <c r="X64" s="158">
        <v>57335147</v>
      </c>
      <c r="Y64" s="157">
        <v>-2955471</v>
      </c>
      <c r="Z64" s="158">
        <v>599628</v>
      </c>
      <c r="AA64" s="159">
        <v>9016024</v>
      </c>
      <c r="AB64" s="159">
        <v>6783026</v>
      </c>
      <c r="AC64" s="157">
        <v>4255376</v>
      </c>
      <c r="AD64" s="158">
        <v>1409164</v>
      </c>
      <c r="AE64" s="157">
        <v>0</v>
      </c>
      <c r="AF64" s="158">
        <v>0</v>
      </c>
      <c r="AG64" s="157">
        <v>315231.37999999779</v>
      </c>
      <c r="AH64" s="158">
        <v>387536.25999999949</v>
      </c>
      <c r="AI64" s="157">
        <v>11235679.24</v>
      </c>
      <c r="AJ64" s="158">
        <v>22004007.530000001</v>
      </c>
      <c r="AK64" s="154">
        <v>0</v>
      </c>
      <c r="AL64" s="156">
        <v>0</v>
      </c>
      <c r="AM64" s="154">
        <v>8.6338647159872137E-3</v>
      </c>
      <c r="AN64" s="156">
        <v>8.7658368016786739E-3</v>
      </c>
      <c r="AO64" s="154">
        <v>0.30773374957273197</v>
      </c>
      <c r="AP64" s="156">
        <v>0.4977173980852499</v>
      </c>
      <c r="AQ64" s="154">
        <v>0.71738000000000002</v>
      </c>
      <c r="AR64" s="155">
        <v>0.65737999999999996</v>
      </c>
      <c r="AS64" s="156">
        <v>0.68740000000000001</v>
      </c>
    </row>
    <row r="65" spans="1:45" x14ac:dyDescent="0.2">
      <c r="A65" s="152">
        <v>5603</v>
      </c>
      <c r="B65" s="153" t="s">
        <v>98</v>
      </c>
      <c r="C65" s="154">
        <v>0.22431329391127774</v>
      </c>
      <c r="D65" s="156">
        <v>0.19905046148515182</v>
      </c>
      <c r="E65" s="154">
        <v>0.78313427545299408</v>
      </c>
      <c r="F65" s="156">
        <v>0.74377053799984127</v>
      </c>
      <c r="G65" s="154">
        <v>-7.8962630252614075E-5</v>
      </c>
      <c r="H65" s="156">
        <v>2.6703608316186088E-2</v>
      </c>
      <c r="I65" s="154">
        <v>0.80797342032606045</v>
      </c>
      <c r="J65" s="156">
        <v>0.54015160085087599</v>
      </c>
      <c r="K65" s="157">
        <v>422</v>
      </c>
      <c r="L65" s="158">
        <v>321</v>
      </c>
      <c r="M65" s="154">
        <v>2.0075634878321579E-3</v>
      </c>
      <c r="N65" s="156">
        <v>1.8298037816133171E-3</v>
      </c>
      <c r="O65" s="157">
        <v>394.51633986928107</v>
      </c>
      <c r="P65" s="158">
        <v>379.46496815286622</v>
      </c>
      <c r="Q65" s="154">
        <v>0.63663727976378259</v>
      </c>
      <c r="R65" s="156">
        <v>0.64073792010823494</v>
      </c>
      <c r="S65" s="154">
        <v>5.7853687496904088E-2</v>
      </c>
      <c r="T65" s="156">
        <v>0.10888899857811765</v>
      </c>
      <c r="U65" s="157">
        <v>26370706</v>
      </c>
      <c r="V65" s="158">
        <v>30215452</v>
      </c>
      <c r="W65" s="157">
        <v>123448985</v>
      </c>
      <c r="X65" s="158">
        <v>151640535</v>
      </c>
      <c r="Y65" s="157">
        <v>-9283</v>
      </c>
      <c r="Z65" s="158">
        <v>4053553</v>
      </c>
      <c r="AA65" s="159">
        <v>20220519</v>
      </c>
      <c r="AB65" s="159">
        <v>17728007</v>
      </c>
      <c r="AC65" s="157">
        <v>25487284</v>
      </c>
      <c r="AD65" s="158">
        <v>19118694</v>
      </c>
      <c r="AE65" s="157">
        <v>63328</v>
      </c>
      <c r="AF65" s="158">
        <v>64766</v>
      </c>
      <c r="AG65" s="157">
        <v>2491966.459999999</v>
      </c>
      <c r="AH65" s="158">
        <v>1715278.0499999968</v>
      </c>
      <c r="AI65" s="157">
        <v>28604028.039999999</v>
      </c>
      <c r="AJ65" s="158">
        <v>46198710.760000005</v>
      </c>
      <c r="AK65" s="154">
        <v>5.1298923194872763E-4</v>
      </c>
      <c r="AL65" s="156">
        <v>4.2710215972266256E-4</v>
      </c>
      <c r="AM65" s="154">
        <v>2.6307145825332823E-2</v>
      </c>
      <c r="AN65" s="156">
        <v>1.4917061710498964E-2</v>
      </c>
      <c r="AO65" s="154">
        <v>0.3019664786500334</v>
      </c>
      <c r="AP65" s="156">
        <v>0.40177102444260504</v>
      </c>
      <c r="AQ65" s="154">
        <v>0.80488999999999999</v>
      </c>
      <c r="AR65" s="155">
        <v>0.70987999999999996</v>
      </c>
      <c r="AS65" s="156">
        <v>0.75739999999999996</v>
      </c>
    </row>
    <row r="66" spans="1:45" x14ac:dyDescent="0.2">
      <c r="A66" s="152">
        <v>5605</v>
      </c>
      <c r="B66" s="153" t="s">
        <v>101</v>
      </c>
      <c r="C66" s="154">
        <v>0.31120220507694035</v>
      </c>
      <c r="D66" s="156">
        <v>0.29954173987225324</v>
      </c>
      <c r="E66" s="154">
        <v>0.82924480443645832</v>
      </c>
      <c r="F66" s="156">
        <v>1.1000022968144729</v>
      </c>
      <c r="G66" s="154">
        <v>5.2856967995370836E-3</v>
      </c>
      <c r="H66" s="156">
        <v>-9.1609992222992265E-2</v>
      </c>
      <c r="I66" s="154">
        <v>0</v>
      </c>
      <c r="J66" s="156">
        <v>0.25602293513151114</v>
      </c>
      <c r="K66" s="157">
        <v>0</v>
      </c>
      <c r="L66" s="158">
        <v>207</v>
      </c>
      <c r="M66" s="154">
        <v>0</v>
      </c>
      <c r="N66" s="156">
        <v>0</v>
      </c>
      <c r="O66" s="157">
        <v>166.51643192488262</v>
      </c>
      <c r="P66" s="158">
        <v>160.7123287671233</v>
      </c>
      <c r="Q66" s="154">
        <v>0.5718398924377609</v>
      </c>
      <c r="R66" s="156">
        <v>0.61864892494225387</v>
      </c>
      <c r="S66" s="154">
        <v>0.19293210173761483</v>
      </c>
      <c r="T66" s="156">
        <v>0.2016772427381546</v>
      </c>
      <c r="U66" s="157">
        <v>14100341</v>
      </c>
      <c r="V66" s="158">
        <v>14224078</v>
      </c>
      <c r="W66" s="157">
        <v>44881178</v>
      </c>
      <c r="X66" s="158">
        <v>51475793</v>
      </c>
      <c r="Y66" s="157">
        <v>239491</v>
      </c>
      <c r="Z66" s="158">
        <v>-4350204</v>
      </c>
      <c r="AA66" s="159">
        <v>961090</v>
      </c>
      <c r="AB66" s="159">
        <v>259284</v>
      </c>
      <c r="AC66" s="157">
        <v>0</v>
      </c>
      <c r="AD66" s="158">
        <v>3648398</v>
      </c>
      <c r="AE66" s="157">
        <v>0</v>
      </c>
      <c r="AF66" s="158">
        <v>0</v>
      </c>
      <c r="AG66" s="157">
        <v>1000312.5099999988</v>
      </c>
      <c r="AH66" s="158">
        <v>3811987.899999999</v>
      </c>
      <c r="AI66" s="157">
        <v>15303293.140000001</v>
      </c>
      <c r="AJ66" s="158">
        <v>21948390.880000003</v>
      </c>
      <c r="AK66" s="154">
        <v>0</v>
      </c>
      <c r="AL66" s="156">
        <v>0</v>
      </c>
      <c r="AM66" s="154">
        <v>2.8014369514294622E-2</v>
      </c>
      <c r="AN66" s="156">
        <v>9.1699532585888338E-2</v>
      </c>
      <c r="AO66" s="154">
        <v>0.42857817384442243</v>
      </c>
      <c r="AP66" s="156">
        <v>0.52798100033538276</v>
      </c>
      <c r="AQ66" s="154">
        <v>0.96511999999999998</v>
      </c>
      <c r="AR66" s="155">
        <v>0.81411999999999995</v>
      </c>
      <c r="AS66" s="156">
        <v>0.88959999999999995</v>
      </c>
    </row>
    <row r="67" spans="1:45" x14ac:dyDescent="0.2">
      <c r="A67" s="152">
        <v>5606</v>
      </c>
      <c r="B67" s="153" t="s">
        <v>102</v>
      </c>
      <c r="C67" s="154">
        <v>0.11594116456935256</v>
      </c>
      <c r="D67" s="156">
        <v>0.13507642943851941</v>
      </c>
      <c r="E67" s="154">
        <v>0.2514485032706989</v>
      </c>
      <c r="F67" s="156">
        <v>0.89131566681693797</v>
      </c>
      <c r="G67" s="154">
        <v>-0.14794195063082638</v>
      </c>
      <c r="H67" s="156">
        <v>-1.1665225191345855E-2</v>
      </c>
      <c r="I67" s="154">
        <v>0.30069274301648474</v>
      </c>
      <c r="J67" s="156">
        <v>0</v>
      </c>
      <c r="K67" s="157">
        <v>138</v>
      </c>
      <c r="L67" s="158">
        <v>0</v>
      </c>
      <c r="M67" s="154">
        <v>5.0485427162047153E-2</v>
      </c>
      <c r="N67" s="156">
        <v>4.5973768469170555E-2</v>
      </c>
      <c r="O67" s="157">
        <v>217.14705882352942</v>
      </c>
      <c r="P67" s="158">
        <v>744.6</v>
      </c>
      <c r="Q67" s="154">
        <v>0.54346129581402824</v>
      </c>
      <c r="R67" s="156">
        <v>0.79465929724025597</v>
      </c>
      <c r="S67" s="154">
        <v>0.32227155471076013</v>
      </c>
      <c r="T67" s="156">
        <v>4.4016055746149856E-2</v>
      </c>
      <c r="U67" s="157">
        <v>2116867</v>
      </c>
      <c r="V67" s="158">
        <v>2449659</v>
      </c>
      <c r="W67" s="157">
        <v>20640894</v>
      </c>
      <c r="X67" s="158">
        <v>17515972</v>
      </c>
      <c r="Y67" s="157">
        <v>-2701141</v>
      </c>
      <c r="Z67" s="158">
        <v>-211553</v>
      </c>
      <c r="AA67" s="159">
        <v>2739313</v>
      </c>
      <c r="AB67" s="159">
        <v>2308080</v>
      </c>
      <c r="AC67" s="157">
        <v>1020000</v>
      </c>
      <c r="AD67" s="158">
        <v>0</v>
      </c>
      <c r="AE67" s="157">
        <v>171255</v>
      </c>
      <c r="AF67" s="158">
        <v>171255</v>
      </c>
      <c r="AG67" s="157">
        <v>883696.45999999973</v>
      </c>
      <c r="AH67" s="158">
        <v>1329500.1700000009</v>
      </c>
      <c r="AI67" s="157">
        <v>1085433.4899999993</v>
      </c>
      <c r="AJ67" s="158">
        <v>13501785.380000001</v>
      </c>
      <c r="AK67" s="154">
        <v>8.296879001461855E-3</v>
      </c>
      <c r="AL67" s="156">
        <v>9.777076601858007E-3</v>
      </c>
      <c r="AM67" s="154">
        <v>6.6915134807239013E-2</v>
      </c>
      <c r="AN67" s="156">
        <v>8.7527550766137593E-2</v>
      </c>
      <c r="AO67" s="154">
        <v>8.2191036849510402E-2</v>
      </c>
      <c r="AP67" s="156">
        <v>0.88888909678096828</v>
      </c>
      <c r="AQ67" s="154">
        <v>0.65241000000000005</v>
      </c>
      <c r="AR67" s="155">
        <v>0.58819999999999995</v>
      </c>
      <c r="AS67" s="156">
        <v>0.62029999999999996</v>
      </c>
    </row>
    <row r="68" spans="1:45" x14ac:dyDescent="0.2">
      <c r="A68" s="152">
        <v>5607</v>
      </c>
      <c r="B68" s="153" t="s">
        <v>103</v>
      </c>
      <c r="C68" s="154">
        <v>0.16198326013936812</v>
      </c>
      <c r="D68" s="156">
        <v>0.15141616519140477</v>
      </c>
      <c r="E68" s="154">
        <v>0.5311511202557424</v>
      </c>
      <c r="F68" s="156">
        <v>0.45969738078465744</v>
      </c>
      <c r="G68" s="154">
        <v>-8.9412775313617646E-3</v>
      </c>
      <c r="H68" s="156">
        <v>1.6010577581986839E-2</v>
      </c>
      <c r="I68" s="154">
        <v>0.25262803943145989</v>
      </c>
      <c r="J68" s="156">
        <v>0.19247421714563853</v>
      </c>
      <c r="K68" s="157">
        <v>122</v>
      </c>
      <c r="L68" s="158">
        <v>107</v>
      </c>
      <c r="M68" s="154">
        <v>0.10384322912656777</v>
      </c>
      <c r="N68" s="156">
        <v>0.12537719909414066</v>
      </c>
      <c r="O68" s="157">
        <v>202.75</v>
      </c>
      <c r="P68" s="158">
        <v>199.52380952380952</v>
      </c>
      <c r="Q68" s="154">
        <v>0.67219061577822903</v>
      </c>
      <c r="R68" s="156">
        <v>0.65443358392175133</v>
      </c>
      <c r="S68" s="154">
        <v>0.13421483397000425</v>
      </c>
      <c r="T68" s="156">
        <v>0.16679622825381241</v>
      </c>
      <c r="U68" s="157">
        <v>5762646</v>
      </c>
      <c r="V68" s="158">
        <v>6813510</v>
      </c>
      <c r="W68" s="157">
        <v>34957358</v>
      </c>
      <c r="X68" s="158">
        <v>44148888</v>
      </c>
      <c r="Y68" s="157">
        <v>-318091</v>
      </c>
      <c r="Z68" s="158">
        <v>720453</v>
      </c>
      <c r="AA68" s="159">
        <v>3947905</v>
      </c>
      <c r="AB68" s="159">
        <v>4301005</v>
      </c>
      <c r="AC68" s="157">
        <v>2080353</v>
      </c>
      <c r="AD68" s="158">
        <v>1787356</v>
      </c>
      <c r="AE68" s="157">
        <v>855133</v>
      </c>
      <c r="AF68" s="158">
        <v>1164279</v>
      </c>
      <c r="AG68" s="157">
        <v>1443049.02</v>
      </c>
      <c r="AH68" s="158">
        <v>2395170.0500000021</v>
      </c>
      <c r="AI68" s="157">
        <v>4749390.0999999996</v>
      </c>
      <c r="AJ68" s="158">
        <v>6539411.959999999</v>
      </c>
      <c r="AK68" s="154">
        <v>2.4462174744441498E-2</v>
      </c>
      <c r="AL68" s="156">
        <v>2.6371649496585284E-2</v>
      </c>
      <c r="AM68" s="154">
        <v>5.2648675465616655E-2</v>
      </c>
      <c r="AN68" s="156">
        <v>7.1198609029554341E-2</v>
      </c>
      <c r="AO68" s="154">
        <v>0.17327831180295775</v>
      </c>
      <c r="AP68" s="156">
        <v>0.1943899705255713</v>
      </c>
      <c r="AQ68" s="154">
        <v>0.78095999999999999</v>
      </c>
      <c r="AR68" s="155">
        <v>0.75663000000000002</v>
      </c>
      <c r="AS68" s="156">
        <v>0.76880000000000004</v>
      </c>
    </row>
    <row r="69" spans="1:45" x14ac:dyDescent="0.2">
      <c r="A69" s="152">
        <v>5608</v>
      </c>
      <c r="B69" s="153" t="s">
        <v>104</v>
      </c>
      <c r="C69" s="154">
        <v>0.15153959502690498</v>
      </c>
      <c r="D69" s="156">
        <v>0.13033482587174641</v>
      </c>
      <c r="E69" s="154">
        <v>0.33896989970549474</v>
      </c>
      <c r="F69" s="156">
        <v>0.2554710939843387</v>
      </c>
      <c r="G69" s="154">
        <v>1.900170195250267E-3</v>
      </c>
      <c r="H69" s="156">
        <v>-3.5986822115328984E-2</v>
      </c>
      <c r="I69" s="154">
        <v>2.9800955243995319E-3</v>
      </c>
      <c r="J69" s="156">
        <v>1.7764564863847327E-3</v>
      </c>
      <c r="K69" s="157">
        <v>1</v>
      </c>
      <c r="L69" s="158">
        <v>1</v>
      </c>
      <c r="M69" s="154">
        <v>0.12338924176024942</v>
      </c>
      <c r="N69" s="156">
        <v>8.2980796089513975E-2</v>
      </c>
      <c r="O69" s="157">
        <v>131.28571428571428</v>
      </c>
      <c r="P69" s="158">
        <v>130.66666666666666</v>
      </c>
      <c r="Q69" s="154">
        <v>0.6654292978055022</v>
      </c>
      <c r="R69" s="156">
        <v>0.62411949383309306</v>
      </c>
      <c r="S69" s="154">
        <v>0.15587038014123125</v>
      </c>
      <c r="T69" s="156">
        <v>0.19521063591222168</v>
      </c>
      <c r="U69" s="157">
        <v>1816478</v>
      </c>
      <c r="V69" s="158">
        <v>2004907</v>
      </c>
      <c r="W69" s="157">
        <v>12232138</v>
      </c>
      <c r="X69" s="158">
        <v>15607500</v>
      </c>
      <c r="Y69" s="157">
        <v>22777</v>
      </c>
      <c r="Z69" s="158">
        <v>-553576</v>
      </c>
      <c r="AA69" s="159">
        <v>1585766</v>
      </c>
      <c r="AB69" s="159">
        <v>1027852</v>
      </c>
      <c r="AC69" s="157">
        <v>7536</v>
      </c>
      <c r="AD69" s="158">
        <v>4827</v>
      </c>
      <c r="AE69" s="157">
        <v>312024</v>
      </c>
      <c r="AF69" s="158">
        <v>225476</v>
      </c>
      <c r="AG69" s="157">
        <v>452033.7800000002</v>
      </c>
      <c r="AH69" s="158">
        <v>315859.10000000015</v>
      </c>
      <c r="AI69" s="157">
        <v>2644820.5500000003</v>
      </c>
      <c r="AJ69" s="158">
        <v>12381778.790000001</v>
      </c>
      <c r="AK69" s="154">
        <v>2.5508541515800426E-2</v>
      </c>
      <c r="AL69" s="156">
        <v>1.4446644241550536E-2</v>
      </c>
      <c r="AM69" s="154">
        <v>4.5498275069865354E-2</v>
      </c>
      <c r="AN69" s="156">
        <v>2.6333257299650425E-2</v>
      </c>
      <c r="AO69" s="154">
        <v>0.26620747877367157</v>
      </c>
      <c r="AP69" s="156">
        <v>1.0322721957493837</v>
      </c>
      <c r="AQ69" s="154">
        <v>0.72907999999999995</v>
      </c>
      <c r="AR69" s="155">
        <v>0.68310999999999999</v>
      </c>
      <c r="AS69" s="156">
        <v>0.70609999999999995</v>
      </c>
    </row>
    <row r="70" spans="1:45" x14ac:dyDescent="0.2">
      <c r="A70" s="152">
        <v>5609</v>
      </c>
      <c r="B70" s="153" t="s">
        <v>105</v>
      </c>
      <c r="C70" s="154">
        <v>0.25285547280279697</v>
      </c>
      <c r="D70" s="156">
        <v>0.15046119339316094</v>
      </c>
      <c r="E70" s="154">
        <v>0.69781391124272152</v>
      </c>
      <c r="F70" s="156">
        <v>0.33035485847072149</v>
      </c>
      <c r="G70" s="154">
        <v>3.8568621611580305E-2</v>
      </c>
      <c r="H70" s="156">
        <v>3.7812606206776081E-2</v>
      </c>
      <c r="I70" s="154">
        <v>0.23998417571752523</v>
      </c>
      <c r="J70" s="156">
        <v>0.24968109321381415</v>
      </c>
      <c r="K70" s="157">
        <v>173</v>
      </c>
      <c r="L70" s="158">
        <v>158</v>
      </c>
      <c r="M70" s="154">
        <v>3.4194847976238243E-2</v>
      </c>
      <c r="N70" s="156">
        <v>8.7400436326633898E-3</v>
      </c>
      <c r="O70" s="157">
        <v>230.97222222222223</v>
      </c>
      <c r="P70" s="158">
        <v>226.83333333333334</v>
      </c>
      <c r="Q70" s="154">
        <v>0.61970459810878509</v>
      </c>
      <c r="R70" s="156">
        <v>0.53211115486196292</v>
      </c>
      <c r="S70" s="154">
        <v>0.18561137750457452</v>
      </c>
      <c r="T70" s="156">
        <v>0.31176802857717506</v>
      </c>
      <c r="U70" s="157">
        <v>4829404</v>
      </c>
      <c r="V70" s="158">
        <v>4007881</v>
      </c>
      <c r="W70" s="157">
        <v>18308549</v>
      </c>
      <c r="X70" s="158">
        <v>26475675</v>
      </c>
      <c r="Y70" s="157">
        <v>736640</v>
      </c>
      <c r="Z70" s="158">
        <v>1007226</v>
      </c>
      <c r="AA70" s="159">
        <v>4013774</v>
      </c>
      <c r="AB70" s="159">
        <v>3721543</v>
      </c>
      <c r="AC70" s="157">
        <v>1440122</v>
      </c>
      <c r="AD70" s="158">
        <v>1293593</v>
      </c>
      <c r="AE70" s="157">
        <v>205200</v>
      </c>
      <c r="AF70" s="158">
        <v>45282</v>
      </c>
      <c r="AG70" s="157">
        <v>559958.2000000003</v>
      </c>
      <c r="AH70" s="158">
        <v>556400.08000000054</v>
      </c>
      <c r="AI70" s="157">
        <v>6525420.2200000007</v>
      </c>
      <c r="AJ70" s="158">
        <v>13297817.75</v>
      </c>
      <c r="AK70" s="154">
        <v>1.1207878898540786E-2</v>
      </c>
      <c r="AL70" s="156">
        <v>1.7103246659433613E-3</v>
      </c>
      <c r="AM70" s="154">
        <v>3.7922121651870089E-2</v>
      </c>
      <c r="AN70" s="156">
        <v>2.9902200364168362E-2</v>
      </c>
      <c r="AO70" s="154">
        <v>0.44192187811949668</v>
      </c>
      <c r="AP70" s="156">
        <v>0.71465484111126321</v>
      </c>
      <c r="AQ70" s="154">
        <v>0.67969000000000002</v>
      </c>
      <c r="AR70" s="155">
        <v>0.65222999999999998</v>
      </c>
      <c r="AS70" s="156">
        <v>0.66600000000000004</v>
      </c>
    </row>
    <row r="71" spans="1:45" x14ac:dyDescent="0.2">
      <c r="A71" s="152">
        <v>5610</v>
      </c>
      <c r="B71" s="153" t="s">
        <v>106</v>
      </c>
      <c r="C71" s="154">
        <v>8.451973444800806E-2</v>
      </c>
      <c r="D71" s="156">
        <v>0.10482562558610138</v>
      </c>
      <c r="E71" s="154">
        <v>0.23471124049736428</v>
      </c>
      <c r="F71" s="156">
        <v>0.42621622861336633</v>
      </c>
      <c r="G71" s="154">
        <v>4.1584744512868914E-2</v>
      </c>
      <c r="H71" s="156">
        <v>-7.1105558180036235E-2</v>
      </c>
      <c r="I71" s="154">
        <v>8.5973041717342449E-2</v>
      </c>
      <c r="J71" s="156">
        <v>6.0707703699829467E-2</v>
      </c>
      <c r="K71" s="157">
        <v>49</v>
      </c>
      <c r="L71" s="158">
        <v>36</v>
      </c>
      <c r="M71" s="154">
        <v>0</v>
      </c>
      <c r="N71" s="156">
        <v>0</v>
      </c>
      <c r="O71" s="157">
        <v>106.31460674157303</v>
      </c>
      <c r="P71" s="158">
        <v>110.72727272727273</v>
      </c>
      <c r="Q71" s="154">
        <v>0.51239379174211441</v>
      </c>
      <c r="R71" s="156">
        <v>0.60871190133004494</v>
      </c>
      <c r="S71" s="154">
        <v>0.2893588023187546</v>
      </c>
      <c r="T71" s="156">
        <v>0.22625578028535157</v>
      </c>
      <c r="U71" s="157">
        <v>1663672</v>
      </c>
      <c r="V71" s="158">
        <v>1858388</v>
      </c>
      <c r="W71" s="157">
        <v>18812685</v>
      </c>
      <c r="X71" s="158">
        <v>18901316</v>
      </c>
      <c r="Y71" s="157">
        <v>818547</v>
      </c>
      <c r="Z71" s="158">
        <v>-1260586</v>
      </c>
      <c r="AA71" s="159">
        <v>6194710</v>
      </c>
      <c r="AB71" s="159">
        <v>4874413</v>
      </c>
      <c r="AC71" s="157">
        <v>232142</v>
      </c>
      <c r="AD71" s="158">
        <v>176428</v>
      </c>
      <c r="AE71" s="157">
        <v>0</v>
      </c>
      <c r="AF71" s="158">
        <v>0</v>
      </c>
      <c r="AG71" s="157">
        <v>231346.96000000095</v>
      </c>
      <c r="AH71" s="158">
        <v>272558.68999999994</v>
      </c>
      <c r="AI71" s="157">
        <v>5469016.3099999996</v>
      </c>
      <c r="AJ71" s="158">
        <v>12362163.65</v>
      </c>
      <c r="AK71" s="154">
        <v>0</v>
      </c>
      <c r="AL71" s="156">
        <v>0</v>
      </c>
      <c r="AM71" s="154">
        <v>1.911035048686403E-2</v>
      </c>
      <c r="AN71" s="156">
        <v>1.837797601789366E-2</v>
      </c>
      <c r="AO71" s="154">
        <v>0.4517665522921735</v>
      </c>
      <c r="AP71" s="156">
        <v>0.83355092104741479</v>
      </c>
      <c r="AQ71" s="154">
        <v>0.83357000000000003</v>
      </c>
      <c r="AR71" s="155">
        <v>0.70267000000000002</v>
      </c>
      <c r="AS71" s="156">
        <v>0.7681</v>
      </c>
    </row>
    <row r="72" spans="1:45" x14ac:dyDescent="0.2">
      <c r="A72" s="152">
        <v>5611</v>
      </c>
      <c r="B72" s="153" t="s">
        <v>107</v>
      </c>
      <c r="C72" s="154">
        <v>0.11924611508050199</v>
      </c>
      <c r="D72" s="156">
        <v>0.10315402084204094</v>
      </c>
      <c r="E72" s="154">
        <v>0.35808819284527604</v>
      </c>
      <c r="F72" s="156">
        <v>0.28386374823667221</v>
      </c>
      <c r="G72" s="154">
        <v>2.2795657466503007E-2</v>
      </c>
      <c r="H72" s="156">
        <v>-0.16480361743211777</v>
      </c>
      <c r="I72" s="154">
        <v>0</v>
      </c>
      <c r="J72" s="156">
        <v>0</v>
      </c>
      <c r="K72" s="157">
        <v>0</v>
      </c>
      <c r="L72" s="158">
        <v>0</v>
      </c>
      <c r="M72" s="154">
        <v>3.1408887612286773E-2</v>
      </c>
      <c r="N72" s="156">
        <v>0.23129135962430594</v>
      </c>
      <c r="O72" s="157">
        <v>96.07692307692308</v>
      </c>
      <c r="P72" s="158">
        <v>86.139534883720927</v>
      </c>
      <c r="Q72" s="154">
        <v>0.57481828447127725</v>
      </c>
      <c r="R72" s="156">
        <v>0.59231949493683811</v>
      </c>
      <c r="S72" s="154">
        <v>0.22022615391456546</v>
      </c>
      <c r="T72" s="156">
        <v>0.20724708877524009</v>
      </c>
      <c r="U72" s="157">
        <v>1339797</v>
      </c>
      <c r="V72" s="158">
        <v>1057047</v>
      </c>
      <c r="W72" s="157">
        <v>10974296</v>
      </c>
      <c r="X72" s="158">
        <v>12050770</v>
      </c>
      <c r="Y72" s="157">
        <v>256122</v>
      </c>
      <c r="Z72" s="158">
        <v>-1688787</v>
      </c>
      <c r="AA72" s="159">
        <v>2452387</v>
      </c>
      <c r="AB72" s="159">
        <v>774353</v>
      </c>
      <c r="AC72" s="157">
        <v>0</v>
      </c>
      <c r="AD72" s="158">
        <v>0</v>
      </c>
      <c r="AE72" s="157">
        <v>65500</v>
      </c>
      <c r="AF72" s="158">
        <v>417353</v>
      </c>
      <c r="AG72" s="157">
        <v>486531.22999999986</v>
      </c>
      <c r="AH72" s="158">
        <v>1199904.3600000003</v>
      </c>
      <c r="AI72" s="157">
        <v>2774315</v>
      </c>
      <c r="AJ72" s="158">
        <v>2333739</v>
      </c>
      <c r="AK72" s="154">
        <v>5.9684921930299676E-3</v>
      </c>
      <c r="AL72" s="156">
        <v>3.463289067835499E-2</v>
      </c>
      <c r="AM72" s="154">
        <v>6.1592967889146338E-2</v>
      </c>
      <c r="AN72" s="156">
        <v>0.12650207996538632</v>
      </c>
      <c r="AO72" s="154">
        <v>0.35121752556228936</v>
      </c>
      <c r="AP72" s="156">
        <v>0.24603864060994043</v>
      </c>
      <c r="AQ72" s="154">
        <v>0.68689999999999996</v>
      </c>
      <c r="AR72" s="155">
        <v>0.65939000000000003</v>
      </c>
      <c r="AS72" s="156">
        <v>0.67310000000000003</v>
      </c>
    </row>
    <row r="73" spans="1:45" x14ac:dyDescent="0.2">
      <c r="A73" s="152">
        <v>5701</v>
      </c>
      <c r="B73" s="153" t="s">
        <v>108</v>
      </c>
      <c r="C73" s="154">
        <v>0.25086473726320091</v>
      </c>
      <c r="D73" s="156">
        <v>0.23034785432213556</v>
      </c>
      <c r="E73" s="154">
        <v>0.82879646501599258</v>
      </c>
      <c r="F73" s="156">
        <v>0.81550769629703002</v>
      </c>
      <c r="G73" s="154">
        <v>-4.6635902768093769E-2</v>
      </c>
      <c r="H73" s="156">
        <v>5.7251305866566765E-3</v>
      </c>
      <c r="I73" s="154">
        <v>0.51779650982350212</v>
      </c>
      <c r="J73" s="156">
        <v>0.3662343139433753</v>
      </c>
      <c r="K73" s="157">
        <v>259</v>
      </c>
      <c r="L73" s="158">
        <v>201</v>
      </c>
      <c r="M73" s="154">
        <v>0</v>
      </c>
      <c r="N73" s="156">
        <v>0</v>
      </c>
      <c r="O73" s="157">
        <v>361.27142857142854</v>
      </c>
      <c r="P73" s="158">
        <v>347.19444444444446</v>
      </c>
      <c r="Q73" s="154">
        <v>0.63237808969731213</v>
      </c>
      <c r="R73" s="156">
        <v>0.64111147789658041</v>
      </c>
      <c r="S73" s="154">
        <v>7.9013865828834434E-2</v>
      </c>
      <c r="T73" s="156">
        <v>8.6585188680091213E-2</v>
      </c>
      <c r="U73" s="157">
        <v>21341078</v>
      </c>
      <c r="V73" s="158">
        <v>23448756</v>
      </c>
      <c r="W73" s="157">
        <v>86789691</v>
      </c>
      <c r="X73" s="158">
        <v>102042695</v>
      </c>
      <c r="Y73" s="157">
        <v>-3967319</v>
      </c>
      <c r="Z73" s="158">
        <v>582802</v>
      </c>
      <c r="AA73" s="159">
        <v>8147247</v>
      </c>
      <c r="AB73" s="159">
        <v>6832713</v>
      </c>
      <c r="AC73" s="157">
        <v>13110182</v>
      </c>
      <c r="AD73" s="158">
        <v>10045608</v>
      </c>
      <c r="AE73" s="157">
        <v>0</v>
      </c>
      <c r="AF73" s="158">
        <v>0</v>
      </c>
      <c r="AG73" s="157">
        <v>639346.0999999987</v>
      </c>
      <c r="AH73" s="158">
        <v>883751.08000000182</v>
      </c>
      <c r="AI73" s="157">
        <v>17221145.66</v>
      </c>
      <c r="AJ73" s="158">
        <v>87508328.5</v>
      </c>
      <c r="AK73" s="154">
        <v>0</v>
      </c>
      <c r="AL73" s="156">
        <v>0</v>
      </c>
      <c r="AM73" s="154">
        <v>9.0322087831635305E-3</v>
      </c>
      <c r="AN73" s="156">
        <v>1.0618874584029023E-2</v>
      </c>
      <c r="AO73" s="154">
        <v>0.24328760758279566</v>
      </c>
      <c r="AP73" s="156">
        <v>1.0514725089778796</v>
      </c>
      <c r="AQ73" s="154">
        <v>0.89166000000000001</v>
      </c>
      <c r="AR73" s="155">
        <v>0.8105</v>
      </c>
      <c r="AS73" s="156">
        <v>0.85109999999999997</v>
      </c>
    </row>
    <row r="74" spans="1:45" x14ac:dyDescent="0.2">
      <c r="A74" s="152">
        <v>5702</v>
      </c>
      <c r="B74" s="153" t="s">
        <v>109</v>
      </c>
      <c r="C74" s="154">
        <v>0.14027916485176053</v>
      </c>
      <c r="D74" s="156">
        <v>0.15423074094842237</v>
      </c>
      <c r="E74" s="154">
        <v>0.25939253137729762</v>
      </c>
      <c r="F74" s="156">
        <v>0.35689253798096077</v>
      </c>
      <c r="G74" s="154">
        <v>-0.12893321878898559</v>
      </c>
      <c r="H74" s="156">
        <v>-4.7871798820584413E-2</v>
      </c>
      <c r="I74" s="154">
        <v>7.3063221849410373E-2</v>
      </c>
      <c r="J74" s="156">
        <v>0.20750887226044898</v>
      </c>
      <c r="K74" s="157">
        <v>40</v>
      </c>
      <c r="L74" s="158">
        <v>161</v>
      </c>
      <c r="M74" s="154">
        <v>4.9950889337713558E-4</v>
      </c>
      <c r="N74" s="156">
        <v>3.5891530928664926E-4</v>
      </c>
      <c r="O74" s="157">
        <v>155.14583333333334</v>
      </c>
      <c r="P74" s="158">
        <v>153.52083333333334</v>
      </c>
      <c r="Q74" s="154">
        <v>0.43985797884082622</v>
      </c>
      <c r="R74" s="156">
        <v>0.48033799267300387</v>
      </c>
      <c r="S74" s="154">
        <v>0.30823946493784954</v>
      </c>
      <c r="T74" s="156">
        <v>0.28092373107594332</v>
      </c>
      <c r="U74" s="157">
        <v>2881733</v>
      </c>
      <c r="V74" s="158">
        <v>4492640</v>
      </c>
      <c r="W74" s="157">
        <v>24194423</v>
      </c>
      <c r="X74" s="158">
        <v>29813309</v>
      </c>
      <c r="Y74" s="157">
        <v>-2648655</v>
      </c>
      <c r="Z74" s="158">
        <v>-1394474</v>
      </c>
      <c r="AA74" s="159">
        <v>1445797</v>
      </c>
      <c r="AB74" s="159">
        <v>1131154</v>
      </c>
      <c r="AC74" s="157">
        <v>300000</v>
      </c>
      <c r="AD74" s="158">
        <v>1185797</v>
      </c>
      <c r="AE74" s="157">
        <v>2051</v>
      </c>
      <c r="AF74" s="158">
        <v>2051</v>
      </c>
      <c r="AG74" s="157">
        <v>88566.469999999681</v>
      </c>
      <c r="AH74" s="158">
        <v>346880.3499999998</v>
      </c>
      <c r="AI74" s="157">
        <v>7471090.0700000012</v>
      </c>
      <c r="AJ74" s="158">
        <v>16844446.469999999</v>
      </c>
      <c r="AK74" s="154">
        <v>8.4771602116735748E-5</v>
      </c>
      <c r="AL74" s="156">
        <v>6.8794778868726044E-5</v>
      </c>
      <c r="AM74" s="154">
        <v>4.8836350514833886E-3</v>
      </c>
      <c r="AN74" s="156">
        <v>1.5819674770289314E-2</v>
      </c>
      <c r="AO74" s="154">
        <v>0.41196264611925504</v>
      </c>
      <c r="AP74" s="156">
        <v>0.76820051882716345</v>
      </c>
      <c r="AQ74" s="154">
        <v>0.93803000000000003</v>
      </c>
      <c r="AR74" s="155">
        <v>0.80388000000000004</v>
      </c>
      <c r="AS74" s="156">
        <v>0.871</v>
      </c>
    </row>
    <row r="75" spans="1:45" x14ac:dyDescent="0.2">
      <c r="A75" s="152">
        <v>5703</v>
      </c>
      <c r="B75" s="153" t="s">
        <v>110</v>
      </c>
      <c r="C75" s="154">
        <v>0.19363469539517911</v>
      </c>
      <c r="D75" s="156">
        <v>0.19904601772607577</v>
      </c>
      <c r="E75" s="154">
        <v>0.57994971646462234</v>
      </c>
      <c r="F75" s="156">
        <v>0.64733629793370917</v>
      </c>
      <c r="G75" s="154">
        <v>-1.8256029620727875E-2</v>
      </c>
      <c r="H75" s="156">
        <v>-2.6390431504820802E-2</v>
      </c>
      <c r="I75" s="154">
        <v>3.5175293325243592E-2</v>
      </c>
      <c r="J75" s="156">
        <v>2.7423454094905545E-2</v>
      </c>
      <c r="K75" s="157">
        <v>17</v>
      </c>
      <c r="L75" s="158">
        <v>15</v>
      </c>
      <c r="M75" s="154">
        <v>2.5436099645675676E-2</v>
      </c>
      <c r="N75" s="156">
        <v>0</v>
      </c>
      <c r="O75" s="157">
        <v>211.75182481751824</v>
      </c>
      <c r="P75" s="158">
        <v>209.56934306569343</v>
      </c>
      <c r="Q75" s="154">
        <v>0.57197740116871343</v>
      </c>
      <c r="R75" s="156">
        <v>0.57718664045594337</v>
      </c>
      <c r="S75" s="154">
        <v>0.14756041114611251</v>
      </c>
      <c r="T75" s="156">
        <v>0.13302418664586732</v>
      </c>
      <c r="U75" s="157">
        <v>11023806</v>
      </c>
      <c r="V75" s="158">
        <v>13053864</v>
      </c>
      <c r="W75" s="157">
        <v>58289740</v>
      </c>
      <c r="X75" s="158">
        <v>67635422</v>
      </c>
      <c r="Y75" s="157">
        <v>-1039333</v>
      </c>
      <c r="Z75" s="158">
        <v>-1730741</v>
      </c>
      <c r="AA75" s="159">
        <v>10024275</v>
      </c>
      <c r="AB75" s="159">
        <v>7548893</v>
      </c>
      <c r="AC75" s="157">
        <v>480150</v>
      </c>
      <c r="AD75" s="158">
        <v>430007</v>
      </c>
      <c r="AE75" s="157">
        <v>347208</v>
      </c>
      <c r="AF75" s="158">
        <v>0</v>
      </c>
      <c r="AG75" s="157">
        <v>992568.38999999932</v>
      </c>
      <c r="AH75" s="158">
        <v>470504.65999999986</v>
      </c>
      <c r="AI75" s="157">
        <v>32397397.449999999</v>
      </c>
      <c r="AJ75" s="158">
        <v>28596981.740000002</v>
      </c>
      <c r="AK75" s="154">
        <v>5.9565885866020331E-3</v>
      </c>
      <c r="AL75" s="156">
        <v>0</v>
      </c>
      <c r="AM75" s="154">
        <v>2.1030861812667136E-2</v>
      </c>
      <c r="AN75" s="156">
        <v>8.4344776735671458E-3</v>
      </c>
      <c r="AO75" s="154">
        <v>0.68644659222021487</v>
      </c>
      <c r="AP75" s="156">
        <v>0.51264232753281858</v>
      </c>
      <c r="AQ75" s="154">
        <v>0.90754999999999997</v>
      </c>
      <c r="AR75" s="155">
        <v>0.77390000000000003</v>
      </c>
      <c r="AS75" s="156">
        <v>0.8407</v>
      </c>
    </row>
    <row r="76" spans="1:45" x14ac:dyDescent="0.2">
      <c r="A76" s="152">
        <v>5704</v>
      </c>
      <c r="B76" s="153" t="s">
        <v>111</v>
      </c>
      <c r="C76" s="154">
        <v>0.150500918403768</v>
      </c>
      <c r="D76" s="156">
        <v>0.15681224700607665</v>
      </c>
      <c r="E76" s="154">
        <v>0.25987886755877376</v>
      </c>
      <c r="F76" s="156">
        <v>0.30933027424039095</v>
      </c>
      <c r="G76" s="154">
        <v>-0.12090007126670943</v>
      </c>
      <c r="H76" s="156">
        <v>-0.10528736513799479</v>
      </c>
      <c r="I76" s="154">
        <v>0</v>
      </c>
      <c r="J76" s="156">
        <v>0</v>
      </c>
      <c r="K76" s="157">
        <v>0</v>
      </c>
      <c r="L76" s="158">
        <v>0</v>
      </c>
      <c r="M76" s="154">
        <v>0</v>
      </c>
      <c r="N76" s="156">
        <v>0</v>
      </c>
      <c r="O76" s="157">
        <v>148.69999999999999</v>
      </c>
      <c r="P76" s="158">
        <v>175.72</v>
      </c>
      <c r="Q76" s="154">
        <v>0.43317277734784598</v>
      </c>
      <c r="R76" s="156">
        <v>0.49572246677102794</v>
      </c>
      <c r="S76" s="154">
        <v>0.34063531560337473</v>
      </c>
      <c r="T76" s="156">
        <v>0.24814680093776828</v>
      </c>
      <c r="U76" s="157">
        <v>3172977</v>
      </c>
      <c r="V76" s="158">
        <v>3541028</v>
      </c>
      <c r="W76" s="157">
        <v>24011562</v>
      </c>
      <c r="X76" s="158">
        <v>25083382</v>
      </c>
      <c r="Y76" s="157">
        <v>-2548909</v>
      </c>
      <c r="Z76" s="158">
        <v>-2377528</v>
      </c>
      <c r="AA76" s="159">
        <v>4132386</v>
      </c>
      <c r="AB76" s="159">
        <v>1719714</v>
      </c>
      <c r="AC76" s="157">
        <v>0</v>
      </c>
      <c r="AD76" s="158">
        <v>0</v>
      </c>
      <c r="AE76" s="157">
        <v>0</v>
      </c>
      <c r="AF76" s="158">
        <v>0</v>
      </c>
      <c r="AG76" s="157">
        <v>152736.79000000015</v>
      </c>
      <c r="AH76" s="158">
        <v>142910.59000000096</v>
      </c>
      <c r="AI76" s="157">
        <v>6612592.9100000001</v>
      </c>
      <c r="AJ76" s="158">
        <v>15380396.379999999</v>
      </c>
      <c r="AK76" s="154">
        <v>0</v>
      </c>
      <c r="AL76" s="156">
        <v>0</v>
      </c>
      <c r="AM76" s="154">
        <v>9.5341489694332256E-3</v>
      </c>
      <c r="AN76" s="156">
        <v>7.2932119364651112E-3</v>
      </c>
      <c r="AO76" s="154">
        <v>0.4127718402236808</v>
      </c>
      <c r="AP76" s="156">
        <v>0.78491377347319058</v>
      </c>
      <c r="AQ76" s="154">
        <v>0.83899999999999997</v>
      </c>
      <c r="AR76" s="155">
        <v>0.85331999999999997</v>
      </c>
      <c r="AS76" s="156">
        <v>0.84619999999999995</v>
      </c>
    </row>
    <row r="77" spans="1:45" x14ac:dyDescent="0.2">
      <c r="A77" s="152">
        <v>5801</v>
      </c>
      <c r="B77" s="153" t="s">
        <v>113</v>
      </c>
      <c r="C77" s="154">
        <v>0.42797003339251327</v>
      </c>
      <c r="D77" s="156">
        <v>0.39223910853022798</v>
      </c>
      <c r="E77" s="154">
        <v>0.95019674424621825</v>
      </c>
      <c r="F77" s="156">
        <v>0.94897962880303655</v>
      </c>
      <c r="G77" s="154">
        <v>1.9129000880956773E-2</v>
      </c>
      <c r="H77" s="156">
        <v>-2.5061873277058177E-2</v>
      </c>
      <c r="I77" s="154">
        <v>0.2071168340202581</v>
      </c>
      <c r="J77" s="156">
        <v>0.27575494897454528</v>
      </c>
      <c r="K77" s="157">
        <v>219</v>
      </c>
      <c r="L77" s="158">
        <v>296</v>
      </c>
      <c r="M77" s="154">
        <v>3.699257750958581E-2</v>
      </c>
      <c r="N77" s="156">
        <v>7.1331023094501917E-3</v>
      </c>
      <c r="O77" s="157">
        <v>160.7070707070707</v>
      </c>
      <c r="P77" s="158">
        <v>160.20588235294119</v>
      </c>
      <c r="Q77" s="154">
        <v>0.52327065787909799</v>
      </c>
      <c r="R77" s="156">
        <v>0.54756403441748058</v>
      </c>
      <c r="S77" s="154">
        <v>0.12922908819788301</v>
      </c>
      <c r="T77" s="156">
        <v>9.7265669733947291E-2</v>
      </c>
      <c r="U77" s="157">
        <v>16599348</v>
      </c>
      <c r="V77" s="158">
        <v>17288955</v>
      </c>
      <c r="W77" s="157">
        <v>39569079</v>
      </c>
      <c r="X77" s="158">
        <v>42971071</v>
      </c>
      <c r="Y77" s="157">
        <v>741942</v>
      </c>
      <c r="Z77" s="158">
        <v>-1104667</v>
      </c>
      <c r="AA77" s="159">
        <v>1821843</v>
      </c>
      <c r="AB77" s="159">
        <v>2214079</v>
      </c>
      <c r="AC77" s="157">
        <v>3490115</v>
      </c>
      <c r="AD77" s="158">
        <v>4836950</v>
      </c>
      <c r="AE77" s="157">
        <v>623360</v>
      </c>
      <c r="AF77" s="158">
        <v>125120</v>
      </c>
      <c r="AG77" s="157">
        <v>1652765.1799999995</v>
      </c>
      <c r="AH77" s="158">
        <v>1777862.5099999984</v>
      </c>
      <c r="AI77" s="157">
        <v>8557613.0600000024</v>
      </c>
      <c r="AJ77" s="158">
        <v>12869380.770000001</v>
      </c>
      <c r="AK77" s="154">
        <v>1.5753715167340639E-2</v>
      </c>
      <c r="AL77" s="156">
        <v>2.9117263565527607E-3</v>
      </c>
      <c r="AM77" s="154">
        <v>5.400030450958436E-2</v>
      </c>
      <c r="AN77" s="156">
        <v>4.9833366534788592E-2</v>
      </c>
      <c r="AO77" s="154">
        <v>0.27960034293268221</v>
      </c>
      <c r="AP77" s="156">
        <v>0.36072787708829662</v>
      </c>
      <c r="AQ77" s="154">
        <v>0.85131000000000001</v>
      </c>
      <c r="AR77" s="155">
        <v>0.75285999999999997</v>
      </c>
      <c r="AS77" s="156">
        <v>0.80210000000000004</v>
      </c>
    </row>
    <row r="78" spans="1:45" x14ac:dyDescent="0.2">
      <c r="A78" s="152">
        <v>5802</v>
      </c>
      <c r="B78" s="153" t="s">
        <v>114</v>
      </c>
      <c r="C78" s="154">
        <v>0.2206931882101506</v>
      </c>
      <c r="D78" s="156">
        <v>0.22649581901282465</v>
      </c>
      <c r="E78" s="154">
        <v>0.44376361495357819</v>
      </c>
      <c r="F78" s="156">
        <v>0.42422458910974925</v>
      </c>
      <c r="G78" s="154">
        <v>-1.6769643637988395E-2</v>
      </c>
      <c r="H78" s="156">
        <v>-0.12388253259711457</v>
      </c>
      <c r="I78" s="154">
        <v>0</v>
      </c>
      <c r="J78" s="156">
        <v>7.9821699707834426E-2</v>
      </c>
      <c r="K78" s="157">
        <v>0</v>
      </c>
      <c r="L78" s="158">
        <v>55</v>
      </c>
      <c r="M78" s="154">
        <v>5.511967669025614E-3</v>
      </c>
      <c r="N78" s="156">
        <v>5.3852925086484262E-3</v>
      </c>
      <c r="O78" s="157">
        <v>168.16988416988417</v>
      </c>
      <c r="P78" s="158">
        <v>166.51737451737452</v>
      </c>
      <c r="Q78" s="154">
        <v>0.50925249921162119</v>
      </c>
      <c r="R78" s="156">
        <v>0.52953175976129385</v>
      </c>
      <c r="S78" s="154">
        <v>0.24161490608237518</v>
      </c>
      <c r="T78" s="156">
        <v>0.22573296560594977</v>
      </c>
      <c r="U78" s="157">
        <v>5763202</v>
      </c>
      <c r="V78" s="158">
        <v>5932058</v>
      </c>
      <c r="W78" s="157">
        <v>26503758</v>
      </c>
      <c r="X78" s="158">
        <v>28423230</v>
      </c>
      <c r="Y78" s="157">
        <v>-437924</v>
      </c>
      <c r="Z78" s="158">
        <v>-3244556</v>
      </c>
      <c r="AA78" s="159">
        <v>6712423</v>
      </c>
      <c r="AB78" s="159">
        <v>4197209</v>
      </c>
      <c r="AC78" s="157">
        <v>0</v>
      </c>
      <c r="AD78" s="158">
        <v>597941</v>
      </c>
      <c r="AE78" s="157">
        <v>40341</v>
      </c>
      <c r="AF78" s="158">
        <v>40341</v>
      </c>
      <c r="AG78" s="157">
        <v>425223.22000000026</v>
      </c>
      <c r="AH78" s="158">
        <v>210210.57999999932</v>
      </c>
      <c r="AI78" s="157">
        <v>6900758.9300000006</v>
      </c>
      <c r="AJ78" s="158">
        <v>7784473.5299999993</v>
      </c>
      <c r="AK78" s="154">
        <v>1.5220860377611355E-3</v>
      </c>
      <c r="AL78" s="156">
        <v>1.4192968216490526E-3</v>
      </c>
      <c r="AM78" s="154">
        <v>2.1673454032385377E-2</v>
      </c>
      <c r="AN78" s="156">
        <v>9.1152424332985732E-3</v>
      </c>
      <c r="AO78" s="154">
        <v>0.35172886715341611</v>
      </c>
      <c r="AP78" s="156">
        <v>0.33755372085242219</v>
      </c>
      <c r="AQ78" s="154">
        <v>0.74195</v>
      </c>
      <c r="AR78" s="155">
        <v>0.73523000000000005</v>
      </c>
      <c r="AS78" s="156">
        <v>0.73860000000000003</v>
      </c>
    </row>
    <row r="79" spans="1:45" x14ac:dyDescent="0.2">
      <c r="A79" s="152">
        <v>5803</v>
      </c>
      <c r="B79" s="153" t="s">
        <v>112</v>
      </c>
      <c r="C79" s="154">
        <v>0.21198127510503068</v>
      </c>
      <c r="D79" s="156">
        <v>0.21124970990992153</v>
      </c>
      <c r="E79" s="154">
        <v>0.68344018463232026</v>
      </c>
      <c r="F79" s="156">
        <v>0.68303670725957788</v>
      </c>
      <c r="G79" s="154">
        <v>3.7767827100907416E-3</v>
      </c>
      <c r="H79" s="156">
        <v>-6.8063128638070319E-2</v>
      </c>
      <c r="I79" s="154">
        <v>0.57846181931109364</v>
      </c>
      <c r="J79" s="156">
        <v>0.53431307221436752</v>
      </c>
      <c r="K79" s="157">
        <v>258</v>
      </c>
      <c r="L79" s="158">
        <v>257</v>
      </c>
      <c r="M79" s="154">
        <v>4.0818375077084357E-2</v>
      </c>
      <c r="N79" s="156">
        <v>0.13398603742274376</v>
      </c>
      <c r="O79" s="157">
        <v>473.33552631578948</v>
      </c>
      <c r="P79" s="158">
        <v>463.23026315789474</v>
      </c>
      <c r="Q79" s="154">
        <v>0.58931516411871909</v>
      </c>
      <c r="R79" s="156">
        <v>0.61143633892136229</v>
      </c>
      <c r="S79" s="154">
        <v>0.10229342239665305</v>
      </c>
      <c r="T79" s="156">
        <v>9.2714881372521027E-2</v>
      </c>
      <c r="U79" s="157">
        <v>26669194</v>
      </c>
      <c r="V79" s="158">
        <v>28518958</v>
      </c>
      <c r="W79" s="157">
        <v>125177159</v>
      </c>
      <c r="X79" s="158">
        <v>144577632</v>
      </c>
      <c r="Y79" s="157">
        <v>475154</v>
      </c>
      <c r="Z79" s="158">
        <v>-9188602</v>
      </c>
      <c r="AA79" s="159">
        <v>21338551</v>
      </c>
      <c r="AB79" s="159">
        <v>12506974</v>
      </c>
      <c r="AC79" s="157">
        <v>18556184</v>
      </c>
      <c r="AD79" s="158">
        <v>18130075</v>
      </c>
      <c r="AE79" s="157">
        <v>1309392</v>
      </c>
      <c r="AF79" s="158">
        <v>4546355</v>
      </c>
      <c r="AG79" s="157">
        <v>5957611.7399999937</v>
      </c>
      <c r="AH79" s="158">
        <v>13419108.93</v>
      </c>
      <c r="AI79" s="157">
        <v>64420786.639999993</v>
      </c>
      <c r="AJ79" s="158">
        <v>96863025.929999992</v>
      </c>
      <c r="AK79" s="154">
        <v>1.0460310894258272E-2</v>
      </c>
      <c r="AL79" s="156">
        <v>3.144577025580278E-2</v>
      </c>
      <c r="AM79" s="154">
        <v>6.0047078647246017E-2</v>
      </c>
      <c r="AN79" s="156">
        <v>0.11445988143352455</v>
      </c>
      <c r="AO79" s="154">
        <v>0.6493004597660369</v>
      </c>
      <c r="AP79" s="156">
        <v>0.82620466985360508</v>
      </c>
      <c r="AQ79" s="154">
        <v>0.84087999999999996</v>
      </c>
      <c r="AR79" s="155">
        <v>0.66234000000000004</v>
      </c>
      <c r="AS79" s="156">
        <v>0.75160000000000005</v>
      </c>
    </row>
    <row r="80" spans="1:45" x14ac:dyDescent="0.2">
      <c r="A80" s="152">
        <v>5804</v>
      </c>
      <c r="B80" s="153" t="s">
        <v>115</v>
      </c>
      <c r="C80" s="154">
        <v>0.18938556839472415</v>
      </c>
      <c r="D80" s="156">
        <v>0.18307842450932049</v>
      </c>
      <c r="E80" s="154">
        <v>0.55194196741070911</v>
      </c>
      <c r="F80" s="156">
        <v>0.51002337001131626</v>
      </c>
      <c r="G80" s="154">
        <v>6.5415095325784536E-3</v>
      </c>
      <c r="H80" s="156">
        <v>-4.9356807779153931E-2</v>
      </c>
      <c r="I80" s="154">
        <v>0</v>
      </c>
      <c r="J80" s="156">
        <v>0</v>
      </c>
      <c r="K80" s="157">
        <v>0</v>
      </c>
      <c r="L80" s="158">
        <v>0</v>
      </c>
      <c r="M80" s="154">
        <v>0</v>
      </c>
      <c r="N80" s="156">
        <v>0</v>
      </c>
      <c r="O80" s="157">
        <v>97.274853801169584</v>
      </c>
      <c r="P80" s="158">
        <v>105.71779141104294</v>
      </c>
      <c r="Q80" s="154">
        <v>0.59249848047823916</v>
      </c>
      <c r="R80" s="156">
        <v>0.60983333936074047</v>
      </c>
      <c r="S80" s="154">
        <v>0.17399834445313864</v>
      </c>
      <c r="T80" s="156">
        <v>0.1539723050256058</v>
      </c>
      <c r="U80" s="157">
        <v>6986020</v>
      </c>
      <c r="V80" s="158">
        <v>7309022</v>
      </c>
      <c r="W80" s="157">
        <v>36824086</v>
      </c>
      <c r="X80" s="158">
        <v>41781371</v>
      </c>
      <c r="Y80" s="157">
        <v>241302</v>
      </c>
      <c r="Z80" s="158">
        <v>-1970467</v>
      </c>
      <c r="AA80" s="159">
        <v>8065868</v>
      </c>
      <c r="AB80" s="159">
        <v>6117025</v>
      </c>
      <c r="AC80" s="157">
        <v>0</v>
      </c>
      <c r="AD80" s="158">
        <v>0</v>
      </c>
      <c r="AE80" s="157">
        <v>0</v>
      </c>
      <c r="AF80" s="158">
        <v>0</v>
      </c>
      <c r="AG80" s="157">
        <v>108256.3500000005</v>
      </c>
      <c r="AH80" s="158">
        <v>792854.46000000229</v>
      </c>
      <c r="AI80" s="157">
        <v>6434605.7300000014</v>
      </c>
      <c r="AJ80" s="158">
        <v>13282338.939999999</v>
      </c>
      <c r="AK80" s="154">
        <v>0</v>
      </c>
      <c r="AL80" s="156">
        <v>0</v>
      </c>
      <c r="AM80" s="154">
        <v>3.8171473974558555E-3</v>
      </c>
      <c r="AN80" s="156">
        <v>2.3806031760253525E-2</v>
      </c>
      <c r="AO80" s="154">
        <v>0.22688589182919919</v>
      </c>
      <c r="AP80" s="156">
        <v>0.3988118861765515</v>
      </c>
      <c r="AQ80" s="154">
        <v>0.80003999999999997</v>
      </c>
      <c r="AR80" s="155">
        <v>0.51561000000000001</v>
      </c>
      <c r="AS80" s="156">
        <v>0.65780000000000005</v>
      </c>
    </row>
    <row r="81" spans="1:45" x14ac:dyDescent="0.2">
      <c r="A81" s="152">
        <v>5805</v>
      </c>
      <c r="B81" s="153" t="s">
        <v>116</v>
      </c>
      <c r="C81" s="154">
        <v>0.30716768597980942</v>
      </c>
      <c r="D81" s="156">
        <v>0.27093564439466344</v>
      </c>
      <c r="E81" s="154">
        <v>0.47421371925968858</v>
      </c>
      <c r="F81" s="156">
        <v>0.48859307038820154</v>
      </c>
      <c r="G81" s="154">
        <v>-0.22010575025249357</v>
      </c>
      <c r="H81" s="156">
        <v>-0.19127053975348243</v>
      </c>
      <c r="I81" s="154">
        <v>0.66170670751127947</v>
      </c>
      <c r="J81" s="156">
        <v>1.4826588563835299</v>
      </c>
      <c r="K81" s="157">
        <v>558</v>
      </c>
      <c r="L81" s="158">
        <v>1057</v>
      </c>
      <c r="M81" s="154">
        <v>3.6965675407329909E-2</v>
      </c>
      <c r="N81" s="156">
        <v>4.3199272548411882E-2</v>
      </c>
      <c r="O81" s="157">
        <v>158.6219512195122</v>
      </c>
      <c r="P81" s="158">
        <v>165.74358974358975</v>
      </c>
      <c r="Q81" s="154">
        <v>0.42308264020423292</v>
      </c>
      <c r="R81" s="156">
        <v>0.50805792897497926</v>
      </c>
      <c r="S81" s="154">
        <v>0.37928328049081778</v>
      </c>
      <c r="T81" s="156">
        <v>0.29052598395115176</v>
      </c>
      <c r="U81" s="157">
        <v>10004493</v>
      </c>
      <c r="V81" s="158">
        <v>8256233</v>
      </c>
      <c r="W81" s="157">
        <v>38857600</v>
      </c>
      <c r="X81" s="158">
        <v>36561876</v>
      </c>
      <c r="Y81" s="157">
        <v>-7168874</v>
      </c>
      <c r="Z81" s="158">
        <v>-5828595</v>
      </c>
      <c r="AA81" s="159">
        <v>4504828</v>
      </c>
      <c r="AB81" s="159">
        <v>5122501</v>
      </c>
      <c r="AC81" s="157">
        <v>7256999</v>
      </c>
      <c r="AD81" s="158">
        <v>13667050</v>
      </c>
      <c r="AE81" s="157">
        <v>405406</v>
      </c>
      <c r="AF81" s="158">
        <v>398208</v>
      </c>
      <c r="AG81" s="157">
        <v>1141719.2499999979</v>
      </c>
      <c r="AH81" s="158">
        <v>5353631.32</v>
      </c>
      <c r="AI81" s="157">
        <v>11373873.810000001</v>
      </c>
      <c r="AJ81" s="158">
        <v>8869933.959999999</v>
      </c>
      <c r="AK81" s="154">
        <v>1.0433119904471712E-2</v>
      </c>
      <c r="AL81" s="156">
        <v>1.0891344853311138E-2</v>
      </c>
      <c r="AM81" s="154">
        <v>4.7023105018734912E-2</v>
      </c>
      <c r="AN81" s="156">
        <v>0.18163359490734082</v>
      </c>
      <c r="AO81" s="154">
        <v>0.46844691690839896</v>
      </c>
      <c r="AP81" s="156">
        <v>0.3009318153319353</v>
      </c>
      <c r="AQ81" s="154">
        <v>0.82238</v>
      </c>
      <c r="AR81" s="155">
        <v>0.77014000000000005</v>
      </c>
      <c r="AS81" s="156">
        <v>0.79630000000000001</v>
      </c>
    </row>
    <row r="82" spans="1:45" x14ac:dyDescent="0.2">
      <c r="A82" s="152">
        <v>5806</v>
      </c>
      <c r="B82" s="153" t="s">
        <v>117</v>
      </c>
      <c r="C82" s="154">
        <v>0.14001356074843699</v>
      </c>
      <c r="D82" s="156">
        <v>0.11954115534998067</v>
      </c>
      <c r="E82" s="154">
        <v>0.42777653762427664</v>
      </c>
      <c r="F82" s="156">
        <v>0.38045740147068619</v>
      </c>
      <c r="G82" s="154">
        <v>-5.2824087795523875E-2</v>
      </c>
      <c r="H82" s="156">
        <v>-3.7846744168234324E-2</v>
      </c>
      <c r="I82" s="154">
        <v>0.14101150420286421</v>
      </c>
      <c r="J82" s="156">
        <v>0.12435556031565982</v>
      </c>
      <c r="K82" s="157">
        <v>106</v>
      </c>
      <c r="L82" s="158">
        <v>81</v>
      </c>
      <c r="M82" s="154">
        <v>0</v>
      </c>
      <c r="N82" s="156">
        <v>0</v>
      </c>
      <c r="O82" s="157">
        <v>64.458333333333329</v>
      </c>
      <c r="P82" s="158">
        <v>65.19587628865979</v>
      </c>
      <c r="Q82" s="154">
        <v>0.47437395495594231</v>
      </c>
      <c r="R82" s="156">
        <v>0.58231913572000005</v>
      </c>
      <c r="S82" s="154">
        <v>0.3317647651473421</v>
      </c>
      <c r="T82" s="156">
        <v>0.19317091267938191</v>
      </c>
      <c r="U82" s="157">
        <v>1559888</v>
      </c>
      <c r="V82" s="158">
        <v>1279810</v>
      </c>
      <c r="W82" s="157">
        <v>11870911</v>
      </c>
      <c r="X82" s="158">
        <v>11272458</v>
      </c>
      <c r="Y82" s="157">
        <v>-588512</v>
      </c>
      <c r="Z82" s="158">
        <v>-405188</v>
      </c>
      <c r="AA82" s="159">
        <v>1808096</v>
      </c>
      <c r="AB82" s="159">
        <v>1330457</v>
      </c>
      <c r="AC82" s="157">
        <v>328400</v>
      </c>
      <c r="AD82" s="158">
        <v>255440</v>
      </c>
      <c r="AE82" s="157">
        <v>0</v>
      </c>
      <c r="AF82" s="158">
        <v>0</v>
      </c>
      <c r="AG82" s="157">
        <v>46845.74000000002</v>
      </c>
      <c r="AH82" s="158">
        <v>72655.160000000018</v>
      </c>
      <c r="AI82" s="157">
        <v>1304707.7700000005</v>
      </c>
      <c r="AJ82" s="158">
        <v>678860.33999999985</v>
      </c>
      <c r="AK82" s="154">
        <v>0</v>
      </c>
      <c r="AL82" s="156">
        <v>0</v>
      </c>
      <c r="AM82" s="154">
        <v>5.261730598482217E-3</v>
      </c>
      <c r="AN82" s="156">
        <v>7.4925917297768291E-3</v>
      </c>
      <c r="AO82" s="154">
        <v>0.14654525247090769</v>
      </c>
      <c r="AP82" s="156">
        <v>7.0007737498031575E-2</v>
      </c>
      <c r="AQ82" s="154">
        <v>0.55227000000000004</v>
      </c>
      <c r="AR82" s="155">
        <v>0.64093</v>
      </c>
      <c r="AS82" s="156">
        <v>0.59660000000000002</v>
      </c>
    </row>
    <row r="83" spans="1:45" x14ac:dyDescent="0.2">
      <c r="A83" s="152">
        <v>5807</v>
      </c>
      <c r="B83" s="153" t="s">
        <v>118</v>
      </c>
      <c r="C83" s="154">
        <v>0.17085383259287748</v>
      </c>
      <c r="D83" s="156">
        <v>0.16098099730635462</v>
      </c>
      <c r="E83" s="154">
        <v>0.49921258358169845</v>
      </c>
      <c r="F83" s="156">
        <v>0.48507143947222159</v>
      </c>
      <c r="G83" s="154">
        <v>-3.3841751816830502E-2</v>
      </c>
      <c r="H83" s="156">
        <v>-2.8648482750192873E-2</v>
      </c>
      <c r="I83" s="154">
        <v>0.10553156983642527</v>
      </c>
      <c r="J83" s="156">
        <v>0.17651164155599355</v>
      </c>
      <c r="K83" s="157">
        <v>54</v>
      </c>
      <c r="L83" s="158">
        <v>95</v>
      </c>
      <c r="M83" s="154">
        <v>0</v>
      </c>
      <c r="N83" s="156">
        <v>2.3319540742371327E-2</v>
      </c>
      <c r="O83" s="157">
        <v>124.43157894736842</v>
      </c>
      <c r="P83" s="158">
        <v>115.87378640776699</v>
      </c>
      <c r="Q83" s="154">
        <v>0.6305895765981433</v>
      </c>
      <c r="R83" s="156">
        <v>0.63822931424664064</v>
      </c>
      <c r="S83" s="154">
        <v>0.12963738409145642</v>
      </c>
      <c r="T83" s="156">
        <v>0.13926750099291677</v>
      </c>
      <c r="U83" s="157">
        <v>3972252</v>
      </c>
      <c r="V83" s="158">
        <v>4357697</v>
      </c>
      <c r="W83" s="157">
        <v>23864397</v>
      </c>
      <c r="X83" s="158">
        <v>26794794</v>
      </c>
      <c r="Y83" s="157">
        <v>-786801</v>
      </c>
      <c r="Z83" s="158">
        <v>-775504</v>
      </c>
      <c r="AA83" s="159">
        <v>1685575</v>
      </c>
      <c r="AB83" s="159">
        <v>1455062</v>
      </c>
      <c r="AC83" s="157">
        <v>637184</v>
      </c>
      <c r="AD83" s="158">
        <v>1133822</v>
      </c>
      <c r="AE83" s="157">
        <v>0</v>
      </c>
      <c r="AF83" s="158">
        <v>149793</v>
      </c>
      <c r="AG83" s="157">
        <v>143977.29999999987</v>
      </c>
      <c r="AH83" s="158">
        <v>3650911.1400000006</v>
      </c>
      <c r="AI83" s="157">
        <v>1949289.790000001</v>
      </c>
      <c r="AJ83" s="158">
        <v>8105465.4100000001</v>
      </c>
      <c r="AK83" s="154">
        <v>0</v>
      </c>
      <c r="AL83" s="156">
        <v>5.5903769963672797E-3</v>
      </c>
      <c r="AM83" s="154">
        <v>7.3727992884946207E-3</v>
      </c>
      <c r="AN83" s="156">
        <v>0.16292295355132491</v>
      </c>
      <c r="AO83" s="154">
        <v>9.9819363030018274E-2</v>
      </c>
      <c r="AP83" s="156">
        <v>0.36170871156981937</v>
      </c>
      <c r="AQ83" s="154">
        <v>0.84321999999999997</v>
      </c>
      <c r="AR83" s="155">
        <v>0.75097999999999998</v>
      </c>
      <c r="AS83" s="156">
        <v>0.79710000000000003</v>
      </c>
    </row>
    <row r="84" spans="1:45" x14ac:dyDescent="0.2">
      <c r="A84" s="152">
        <v>5808</v>
      </c>
      <c r="B84" s="153" t="s">
        <v>119</v>
      </c>
      <c r="C84" s="154">
        <v>0.29987841893386041</v>
      </c>
      <c r="D84" s="156">
        <v>0.20862802015773393</v>
      </c>
      <c r="E84" s="154">
        <v>0.58206308614921665</v>
      </c>
      <c r="F84" s="156">
        <v>0.28844967880260586</v>
      </c>
      <c r="G84" s="154">
        <v>-0.11972755254069423</v>
      </c>
      <c r="H84" s="156">
        <v>-6.5466370501201146E-2</v>
      </c>
      <c r="I84" s="154">
        <v>0.41628645436056261</v>
      </c>
      <c r="J84" s="156">
        <v>0.17419560655892302</v>
      </c>
      <c r="K84" s="157">
        <v>431</v>
      </c>
      <c r="L84" s="158">
        <v>185</v>
      </c>
      <c r="M84" s="154">
        <v>8.5002746423904041E-2</v>
      </c>
      <c r="N84" s="156">
        <v>9.3100546969857714E-2</v>
      </c>
      <c r="O84" s="157">
        <v>84.913043478260875</v>
      </c>
      <c r="P84" s="158">
        <v>83.565217391304344</v>
      </c>
      <c r="Q84" s="154">
        <v>0.51419828193025063</v>
      </c>
      <c r="R84" s="156">
        <v>0.37617895435675397</v>
      </c>
      <c r="S84" s="154">
        <v>0.22161384971484632</v>
      </c>
      <c r="T84" s="156">
        <v>0.44277329333617133</v>
      </c>
      <c r="U84" s="157">
        <v>3512281</v>
      </c>
      <c r="V84" s="158">
        <v>3530888</v>
      </c>
      <c r="W84" s="157">
        <v>12339662</v>
      </c>
      <c r="X84" s="158">
        <v>19022683</v>
      </c>
      <c r="Y84" s="157">
        <v>-1402291</v>
      </c>
      <c r="Z84" s="158">
        <v>-1107974</v>
      </c>
      <c r="AA84" s="159">
        <v>2029717</v>
      </c>
      <c r="AB84" s="159">
        <v>327603</v>
      </c>
      <c r="AC84" s="157">
        <v>1684745</v>
      </c>
      <c r="AD84" s="158">
        <v>709305</v>
      </c>
      <c r="AE84" s="157">
        <v>344013</v>
      </c>
      <c r="AF84" s="158">
        <v>379095</v>
      </c>
      <c r="AG84" s="157">
        <v>860391.43000000063</v>
      </c>
      <c r="AH84" s="158">
        <v>1257899.9100000004</v>
      </c>
      <c r="AI84" s="157">
        <v>3515117.27</v>
      </c>
      <c r="AJ84" s="158">
        <v>6997989.8100000005</v>
      </c>
      <c r="AK84" s="154">
        <v>2.7878640436018426E-2</v>
      </c>
      <c r="AL84" s="156">
        <v>1.9928576846914813E-2</v>
      </c>
      <c r="AM84" s="154">
        <v>8.3871697056000089E-2</v>
      </c>
      <c r="AN84" s="156">
        <v>9.6978876119672847E-2</v>
      </c>
      <c r="AO84" s="154">
        <v>0.34265665661703981</v>
      </c>
      <c r="AP84" s="156">
        <v>0.53951604692516653</v>
      </c>
      <c r="AQ84" s="154">
        <v>0.81620999999999999</v>
      </c>
      <c r="AR84" s="155">
        <v>0.78019000000000005</v>
      </c>
      <c r="AS84" s="156">
        <v>0.79820000000000002</v>
      </c>
    </row>
    <row r="85" spans="1:45" x14ac:dyDescent="0.2">
      <c r="A85" s="152">
        <v>5901</v>
      </c>
      <c r="B85" s="153" t="s">
        <v>121</v>
      </c>
      <c r="C85" s="154">
        <v>0.11954631791944405</v>
      </c>
      <c r="D85" s="156">
        <v>0.10983864281081483</v>
      </c>
      <c r="E85" s="154">
        <v>0.33270876142281486</v>
      </c>
      <c r="F85" s="156">
        <v>0.27550317724274775</v>
      </c>
      <c r="G85" s="154">
        <v>5.0515571074953372E-2</v>
      </c>
      <c r="H85" s="156">
        <v>-0.11733968863812189</v>
      </c>
      <c r="I85" s="154">
        <v>0</v>
      </c>
      <c r="J85" s="156">
        <v>0</v>
      </c>
      <c r="K85" s="157">
        <v>0</v>
      </c>
      <c r="L85" s="158">
        <v>0</v>
      </c>
      <c r="M85" s="154">
        <v>0</v>
      </c>
      <c r="N85" s="156">
        <v>0</v>
      </c>
      <c r="O85" s="157">
        <v>94.775000000000006</v>
      </c>
      <c r="P85" s="158">
        <v>95.040322580645167</v>
      </c>
      <c r="Q85" s="154">
        <v>0.5657726278977665</v>
      </c>
      <c r="R85" s="156">
        <v>0.56082871949185342</v>
      </c>
      <c r="S85" s="154">
        <v>0.2195805845980347</v>
      </c>
      <c r="T85" s="156">
        <v>0.15664094665021472</v>
      </c>
      <c r="U85" s="157">
        <v>2663672</v>
      </c>
      <c r="V85" s="158">
        <v>2572077</v>
      </c>
      <c r="W85" s="157">
        <v>20985257</v>
      </c>
      <c r="X85" s="158">
        <v>26213695</v>
      </c>
      <c r="Y85" s="157">
        <v>1125563</v>
      </c>
      <c r="Z85" s="158">
        <v>-2747728</v>
      </c>
      <c r="AA85" s="159">
        <v>6932143</v>
      </c>
      <c r="AB85" s="159">
        <v>4128456</v>
      </c>
      <c r="AC85" s="157">
        <v>0</v>
      </c>
      <c r="AD85" s="158">
        <v>0</v>
      </c>
      <c r="AE85" s="157">
        <v>0</v>
      </c>
      <c r="AF85" s="158">
        <v>0</v>
      </c>
      <c r="AG85" s="157">
        <v>260508.1700000008</v>
      </c>
      <c r="AH85" s="158">
        <v>207648.30000000208</v>
      </c>
      <c r="AI85" s="157">
        <v>15181013.299999999</v>
      </c>
      <c r="AJ85" s="158">
        <v>11880262.67</v>
      </c>
      <c r="AK85" s="154">
        <v>0</v>
      </c>
      <c r="AL85" s="156">
        <v>0</v>
      </c>
      <c r="AM85" s="154">
        <v>1.6445059033385376E-2</v>
      </c>
      <c r="AN85" s="156">
        <v>1.0833901598254984E-2</v>
      </c>
      <c r="AO85" s="154">
        <v>0.95832948312180677</v>
      </c>
      <c r="AP85" s="156">
        <v>0.61984421123698452</v>
      </c>
      <c r="AQ85" s="154">
        <v>0.87224999999999997</v>
      </c>
      <c r="AR85" s="155">
        <v>0.83645000000000003</v>
      </c>
      <c r="AS85" s="156">
        <v>0.85440000000000005</v>
      </c>
    </row>
    <row r="86" spans="1:45" x14ac:dyDescent="0.2">
      <c r="A86" s="152">
        <v>5902</v>
      </c>
      <c r="B86" s="153" t="s">
        <v>122</v>
      </c>
      <c r="C86" s="154">
        <v>0.13498870796710885</v>
      </c>
      <c r="D86" s="156">
        <v>0.11248457039626331</v>
      </c>
      <c r="E86" s="154">
        <v>0.45798058972497885</v>
      </c>
      <c r="F86" s="156">
        <v>0.2477056818872998</v>
      </c>
      <c r="G86" s="154">
        <v>9.5782094798658263E-2</v>
      </c>
      <c r="H86" s="156">
        <v>6.6494325846650576E-2</v>
      </c>
      <c r="I86" s="154">
        <v>0</v>
      </c>
      <c r="J86" s="156">
        <v>0</v>
      </c>
      <c r="K86" s="157">
        <v>0</v>
      </c>
      <c r="L86" s="158">
        <v>0</v>
      </c>
      <c r="M86" s="154">
        <v>0</v>
      </c>
      <c r="N86" s="156">
        <v>0</v>
      </c>
      <c r="O86" s="157">
        <v>75.194690265486727</v>
      </c>
      <c r="P86" s="158">
        <v>99.292134831460672</v>
      </c>
      <c r="Q86" s="154">
        <v>0.63995713741917259</v>
      </c>
      <c r="R86" s="156">
        <v>0.47611570037532591</v>
      </c>
      <c r="S86" s="154">
        <v>0.13781461645754378</v>
      </c>
      <c r="T86" s="156">
        <v>0.35161939374412315</v>
      </c>
      <c r="U86" s="157">
        <v>2311908</v>
      </c>
      <c r="V86" s="158">
        <v>2919990</v>
      </c>
      <c r="W86" s="157">
        <v>15622951</v>
      </c>
      <c r="X86" s="158">
        <v>23960510</v>
      </c>
      <c r="Y86" s="157">
        <v>1640429</v>
      </c>
      <c r="Z86" s="158">
        <v>1726128</v>
      </c>
      <c r="AA86" s="159">
        <v>4404161</v>
      </c>
      <c r="AB86" s="159">
        <v>6130289</v>
      </c>
      <c r="AC86" s="157">
        <v>0</v>
      </c>
      <c r="AD86" s="158">
        <v>0</v>
      </c>
      <c r="AE86" s="157">
        <v>0</v>
      </c>
      <c r="AF86" s="158">
        <v>0</v>
      </c>
      <c r="AG86" s="157">
        <v>237954.62000000034</v>
      </c>
      <c r="AH86" s="158">
        <v>1775018.16</v>
      </c>
      <c r="AI86" s="157">
        <v>4458503.18</v>
      </c>
      <c r="AJ86" s="158">
        <v>8937725.0700000022</v>
      </c>
      <c r="AK86" s="154">
        <v>0</v>
      </c>
      <c r="AL86" s="156">
        <v>0</v>
      </c>
      <c r="AM86" s="154">
        <v>1.803068984330012E-2</v>
      </c>
      <c r="AN86" s="156">
        <v>0.10617006619740575</v>
      </c>
      <c r="AO86" s="154">
        <v>0.33783705482981236</v>
      </c>
      <c r="AP86" s="156">
        <v>0.53459670651263269</v>
      </c>
      <c r="AQ86" s="154">
        <v>0.89949999999999997</v>
      </c>
      <c r="AR86" s="155">
        <v>0.78812000000000004</v>
      </c>
      <c r="AS86" s="156">
        <v>0.84379999999999999</v>
      </c>
    </row>
    <row r="87" spans="1:45" x14ac:dyDescent="0.2">
      <c r="A87" s="152">
        <v>5903</v>
      </c>
      <c r="B87" s="153" t="s">
        <v>123</v>
      </c>
      <c r="C87" s="154">
        <v>8.2601023473990093E-2</v>
      </c>
      <c r="D87" s="156">
        <v>8.8846045846136312E-2</v>
      </c>
      <c r="E87" s="154">
        <v>0.25446337700626331</v>
      </c>
      <c r="F87" s="156">
        <v>0.21003228819848632</v>
      </c>
      <c r="G87" s="154">
        <v>-3.2017547901151994E-2</v>
      </c>
      <c r="H87" s="156">
        <v>-0.18904220377773234</v>
      </c>
      <c r="I87" s="154">
        <v>7.7056634684267711E-2</v>
      </c>
      <c r="J87" s="156">
        <v>0.43565489002079305</v>
      </c>
      <c r="K87" s="157">
        <v>24</v>
      </c>
      <c r="L87" s="158">
        <v>137</v>
      </c>
      <c r="M87" s="154">
        <v>4.5620536197091235E-2</v>
      </c>
      <c r="N87" s="156">
        <v>0.11841345193979265</v>
      </c>
      <c r="O87" s="157">
        <v>120.17647058823529</v>
      </c>
      <c r="P87" s="158">
        <v>123.1</v>
      </c>
      <c r="Q87" s="154">
        <v>0.52790420155638418</v>
      </c>
      <c r="R87" s="156">
        <v>0.52161135730005759</v>
      </c>
      <c r="S87" s="154">
        <v>0.23982928932711148</v>
      </c>
      <c r="T87" s="156">
        <v>0.1562798339848657</v>
      </c>
      <c r="U87" s="157">
        <v>3047801</v>
      </c>
      <c r="V87" s="158">
        <v>3314324</v>
      </c>
      <c r="W87" s="157">
        <v>37592260</v>
      </c>
      <c r="X87" s="158">
        <v>44580032</v>
      </c>
      <c r="Y87" s="157">
        <v>-1181379</v>
      </c>
      <c r="Z87" s="158">
        <v>-7052054</v>
      </c>
      <c r="AA87" s="159">
        <v>6370441</v>
      </c>
      <c r="AB87" s="159">
        <v>1759822</v>
      </c>
      <c r="AC87" s="157">
        <v>485218</v>
      </c>
      <c r="AD87" s="158">
        <v>2862873</v>
      </c>
      <c r="AE87" s="157">
        <v>287268</v>
      </c>
      <c r="AF87" s="158">
        <v>778145</v>
      </c>
      <c r="AG87" s="157">
        <v>2373026.649999999</v>
      </c>
      <c r="AH87" s="158">
        <v>2537417.9600000018</v>
      </c>
      <c r="AI87" s="157">
        <v>12921709.200000001</v>
      </c>
      <c r="AJ87" s="158">
        <v>13108667.82</v>
      </c>
      <c r="AK87" s="154">
        <v>7.6416794308190039E-3</v>
      </c>
      <c r="AL87" s="156">
        <v>1.7455012145347944E-2</v>
      </c>
      <c r="AM87" s="154">
        <v>8.4663092661304978E-2</v>
      </c>
      <c r="AN87" s="156">
        <v>7.4489398223334502E-2</v>
      </c>
      <c r="AO87" s="154">
        <v>0.4610111999130046</v>
      </c>
      <c r="AP87" s="156">
        <v>0.38482299440388196</v>
      </c>
      <c r="AQ87" s="154">
        <v>0.80908999999999998</v>
      </c>
      <c r="AR87" s="155">
        <v>0.77639000000000002</v>
      </c>
      <c r="AS87" s="156">
        <v>0.79269999999999996</v>
      </c>
    </row>
    <row r="88" spans="1:45" x14ac:dyDescent="0.2">
      <c r="A88" s="152">
        <v>5904</v>
      </c>
      <c r="B88" s="153" t="s">
        <v>124</v>
      </c>
      <c r="C88" s="154">
        <v>0.32316208624102921</v>
      </c>
      <c r="D88" s="156">
        <v>0.34914844629347808</v>
      </c>
      <c r="E88" s="154">
        <v>0.55499596085557312</v>
      </c>
      <c r="F88" s="156">
        <v>0.89433230019728871</v>
      </c>
      <c r="G88" s="154">
        <v>-7.898432607031812E-2</v>
      </c>
      <c r="H88" s="156">
        <v>7.741823486225724E-2</v>
      </c>
      <c r="I88" s="154">
        <v>0</v>
      </c>
      <c r="J88" s="156">
        <v>0</v>
      </c>
      <c r="K88" s="157">
        <v>0</v>
      </c>
      <c r="L88" s="158">
        <v>0</v>
      </c>
      <c r="M88" s="154">
        <v>0</v>
      </c>
      <c r="N88" s="156">
        <v>0</v>
      </c>
      <c r="O88" s="157">
        <v>225.02631578947367</v>
      </c>
      <c r="P88" s="158">
        <v>214.4390243902439</v>
      </c>
      <c r="Q88" s="154">
        <v>0.4148809327055018</v>
      </c>
      <c r="R88" s="156">
        <v>0.54400529975095724</v>
      </c>
      <c r="S88" s="154">
        <v>0.36882253078972743</v>
      </c>
      <c r="T88" s="156">
        <v>0.14472303709355167</v>
      </c>
      <c r="U88" s="157">
        <v>16127147</v>
      </c>
      <c r="V88" s="158">
        <v>18195924</v>
      </c>
      <c r="W88" s="157">
        <v>53940799</v>
      </c>
      <c r="X88" s="158">
        <v>47821115</v>
      </c>
      <c r="Y88" s="157">
        <v>-3941650</v>
      </c>
      <c r="Z88" s="158">
        <v>4034663</v>
      </c>
      <c r="AA88" s="159">
        <v>9761590</v>
      </c>
      <c r="AB88" s="159">
        <v>13835926</v>
      </c>
      <c r="AC88" s="157">
        <v>0</v>
      </c>
      <c r="AD88" s="158">
        <v>0</v>
      </c>
      <c r="AE88" s="157">
        <v>0</v>
      </c>
      <c r="AF88" s="158">
        <v>0</v>
      </c>
      <c r="AG88" s="157">
        <v>966438.37</v>
      </c>
      <c r="AH88" s="158">
        <v>520486.38999999897</v>
      </c>
      <c r="AI88" s="157">
        <v>7024906.7199999988</v>
      </c>
      <c r="AJ88" s="158">
        <v>13936254.52</v>
      </c>
      <c r="AK88" s="154">
        <v>0</v>
      </c>
      <c r="AL88" s="156">
        <v>0</v>
      </c>
      <c r="AM88" s="154">
        <v>2.5419180735298464E-2</v>
      </c>
      <c r="AN88" s="156">
        <v>1.1939248989444005E-2</v>
      </c>
      <c r="AO88" s="154">
        <v>0.18476850579131363</v>
      </c>
      <c r="AP88" s="156">
        <v>0.31967870032979107</v>
      </c>
      <c r="AQ88" s="154">
        <v>0.95226</v>
      </c>
      <c r="AR88" s="155">
        <v>0.78849000000000002</v>
      </c>
      <c r="AS88" s="156">
        <v>0.87039999999999995</v>
      </c>
    </row>
    <row r="89" spans="1:45" x14ac:dyDescent="0.2">
      <c r="A89" s="152">
        <v>5905</v>
      </c>
      <c r="B89" s="153" t="s">
        <v>120</v>
      </c>
      <c r="C89" s="154">
        <v>0.19149755216990805</v>
      </c>
      <c r="D89" s="156">
        <v>0.20829163224393255</v>
      </c>
      <c r="E89" s="154">
        <v>0.76219344970262093</v>
      </c>
      <c r="F89" s="156">
        <v>0.53992138522897004</v>
      </c>
      <c r="G89" s="154">
        <v>7.588147440611126E-2</v>
      </c>
      <c r="H89" s="156">
        <v>-1.7952777255892585E-3</v>
      </c>
      <c r="I89" s="154">
        <v>0.29522533834011555</v>
      </c>
      <c r="J89" s="156">
        <v>0.33823030958230699</v>
      </c>
      <c r="K89" s="157">
        <v>145</v>
      </c>
      <c r="L89" s="158">
        <v>198</v>
      </c>
      <c r="M89" s="154">
        <v>0.25275873345803407</v>
      </c>
      <c r="N89" s="156">
        <v>4.9892797683610164E-2</v>
      </c>
      <c r="O89" s="157">
        <v>273.59130434782611</v>
      </c>
      <c r="P89" s="158">
        <v>317.10784313725492</v>
      </c>
      <c r="Q89" s="154">
        <v>0.61110100018813562</v>
      </c>
      <c r="R89" s="156">
        <v>0.52676576625603433</v>
      </c>
      <c r="S89" s="154">
        <v>6.0584023925467266E-2</v>
      </c>
      <c r="T89" s="156">
        <v>0.11747020968535685</v>
      </c>
      <c r="U89" s="157">
        <v>24651545</v>
      </c>
      <c r="V89" s="158">
        <v>31532215</v>
      </c>
      <c r="W89" s="157">
        <v>115980180</v>
      </c>
      <c r="X89" s="158">
        <v>161099423</v>
      </c>
      <c r="Y89" s="157">
        <v>9768248</v>
      </c>
      <c r="Z89" s="158">
        <v>-271778</v>
      </c>
      <c r="AA89" s="159">
        <v>21532736</v>
      </c>
      <c r="AB89" s="159">
        <v>21089992</v>
      </c>
      <c r="AC89" s="157">
        <v>9131333</v>
      </c>
      <c r="AD89" s="158">
        <v>12789846</v>
      </c>
      <c r="AE89" s="157">
        <v>7817839</v>
      </c>
      <c r="AF89" s="158">
        <v>1886647</v>
      </c>
      <c r="AG89" s="157">
        <v>32121840.439999998</v>
      </c>
      <c r="AH89" s="158">
        <v>38948754.649999991</v>
      </c>
      <c r="AI89" s="157">
        <v>59920091.459999993</v>
      </c>
      <c r="AJ89" s="158">
        <v>94588016.00999999</v>
      </c>
      <c r="AK89" s="154">
        <v>6.740668103808771E-2</v>
      </c>
      <c r="AL89" s="156">
        <v>1.1711072360575742E-2</v>
      </c>
      <c r="AM89" s="154">
        <v>0.33556306434135619</v>
      </c>
      <c r="AN89" s="156">
        <v>0.33188500151879513</v>
      </c>
      <c r="AO89" s="154">
        <v>0.62595944785571966</v>
      </c>
      <c r="AP89" s="156">
        <v>0.80599095193762949</v>
      </c>
      <c r="AQ89" s="154">
        <v>0.85094999999999998</v>
      </c>
      <c r="AR89" s="155">
        <v>0.75509000000000004</v>
      </c>
      <c r="AS89" s="156">
        <v>0.80300000000000005</v>
      </c>
    </row>
    <row r="90" spans="1:45" x14ac:dyDescent="0.2">
      <c r="A90" s="152">
        <v>5906</v>
      </c>
      <c r="B90" s="153" t="s">
        <v>125</v>
      </c>
      <c r="C90" s="154">
        <v>0.15336609402228707</v>
      </c>
      <c r="D90" s="156">
        <v>0.18722498567705093</v>
      </c>
      <c r="E90" s="154">
        <v>0.43227980444719533</v>
      </c>
      <c r="F90" s="156">
        <v>0.55925927382401153</v>
      </c>
      <c r="G90" s="154">
        <v>-5.24597223798682E-2</v>
      </c>
      <c r="H90" s="156">
        <v>-3.2350132875145921E-3</v>
      </c>
      <c r="I90" s="154">
        <v>0</v>
      </c>
      <c r="J90" s="156">
        <v>4.1070695342094454E-2</v>
      </c>
      <c r="K90" s="157">
        <v>0</v>
      </c>
      <c r="L90" s="158">
        <v>22</v>
      </c>
      <c r="M90" s="154">
        <v>0</v>
      </c>
      <c r="N90" s="156">
        <v>0</v>
      </c>
      <c r="O90" s="157">
        <v>130.79909706546275</v>
      </c>
      <c r="P90" s="158">
        <v>140.87119437939111</v>
      </c>
      <c r="Q90" s="154">
        <v>0.53182084842894606</v>
      </c>
      <c r="R90" s="156">
        <v>0.55477956073280599</v>
      </c>
      <c r="S90" s="154">
        <v>0.20424649841997058</v>
      </c>
      <c r="T90" s="156">
        <v>0.18988395569416741</v>
      </c>
      <c r="U90" s="157">
        <v>4134618</v>
      </c>
      <c r="V90" s="158">
        <v>6115258</v>
      </c>
      <c r="W90" s="157">
        <v>28343776</v>
      </c>
      <c r="X90" s="158">
        <v>32016823</v>
      </c>
      <c r="Y90" s="157">
        <v>-1414269</v>
      </c>
      <c r="Z90" s="158">
        <v>-105664</v>
      </c>
      <c r="AA90" s="159">
        <v>3926520</v>
      </c>
      <c r="AB90" s="159">
        <v>4359663</v>
      </c>
      <c r="AC90" s="157">
        <v>0</v>
      </c>
      <c r="AD90" s="158">
        <v>333480</v>
      </c>
      <c r="AE90" s="157">
        <v>0</v>
      </c>
      <c r="AF90" s="158">
        <v>0</v>
      </c>
      <c r="AG90" s="157">
        <v>1314433.3699999999</v>
      </c>
      <c r="AH90" s="158">
        <v>3427154.5800000015</v>
      </c>
      <c r="AI90" s="157">
        <v>8380340.2500000019</v>
      </c>
      <c r="AJ90" s="158">
        <v>12953993.98</v>
      </c>
      <c r="AK90" s="154">
        <v>0</v>
      </c>
      <c r="AL90" s="156">
        <v>0</v>
      </c>
      <c r="AM90" s="154">
        <v>5.9373018502916444E-2</v>
      </c>
      <c r="AN90" s="156">
        <v>0.13184648267955065</v>
      </c>
      <c r="AO90" s="154">
        <v>0.37854037190488066</v>
      </c>
      <c r="AP90" s="156">
        <v>0.49835468551146378</v>
      </c>
      <c r="AQ90" s="154">
        <v>0.89873000000000003</v>
      </c>
      <c r="AR90" s="155">
        <v>0.76198999999999995</v>
      </c>
      <c r="AS90" s="156">
        <v>0.83040000000000003</v>
      </c>
    </row>
    <row r="91" spans="1:45" x14ac:dyDescent="0.2">
      <c r="A91" s="152">
        <v>5907</v>
      </c>
      <c r="B91" s="153" t="s">
        <v>126</v>
      </c>
      <c r="C91" s="154">
        <v>8.3284242735337549E-2</v>
      </c>
      <c r="D91" s="156">
        <v>9.1592851192108291E-2</v>
      </c>
      <c r="E91" s="154">
        <v>0.24133371649863017</v>
      </c>
      <c r="F91" s="156">
        <v>0.21114954525882751</v>
      </c>
      <c r="G91" s="154">
        <v>5.6176124762876379E-3</v>
      </c>
      <c r="H91" s="156">
        <v>-9.9570185267148781E-2</v>
      </c>
      <c r="I91" s="154">
        <v>2.5988781660876217E-3</v>
      </c>
      <c r="J91" s="156">
        <v>0</v>
      </c>
      <c r="K91" s="157">
        <v>1</v>
      </c>
      <c r="L91" s="158">
        <v>0</v>
      </c>
      <c r="M91" s="154">
        <v>0</v>
      </c>
      <c r="N91" s="156">
        <v>0</v>
      </c>
      <c r="O91" s="157">
        <v>139.8909090909091</v>
      </c>
      <c r="P91" s="158">
        <v>135.10526315789474</v>
      </c>
      <c r="Q91" s="154">
        <v>0.58412834690043869</v>
      </c>
      <c r="R91" s="156">
        <v>0.55979438277511728</v>
      </c>
      <c r="S91" s="154">
        <v>0.19365631170222669</v>
      </c>
      <c r="T91" s="156">
        <v>0.27451565157682195</v>
      </c>
      <c r="U91" s="157">
        <v>1441919</v>
      </c>
      <c r="V91" s="158">
        <v>1740375</v>
      </c>
      <c r="W91" s="157">
        <v>17068367</v>
      </c>
      <c r="X91" s="158">
        <v>20832885</v>
      </c>
      <c r="Y91" s="157">
        <v>97259</v>
      </c>
      <c r="Z91" s="158">
        <v>-1891954</v>
      </c>
      <c r="AA91" s="159">
        <v>3360648</v>
      </c>
      <c r="AB91" s="159">
        <v>1461666</v>
      </c>
      <c r="AC91" s="157">
        <v>7713</v>
      </c>
      <c r="AD91" s="158">
        <v>0</v>
      </c>
      <c r="AE91" s="157">
        <v>0</v>
      </c>
      <c r="AF91" s="158">
        <v>0</v>
      </c>
      <c r="AG91" s="157">
        <v>786109.95</v>
      </c>
      <c r="AH91" s="158">
        <v>1172479.1900000002</v>
      </c>
      <c r="AI91" s="157">
        <v>1870417.1799999997</v>
      </c>
      <c r="AJ91" s="158">
        <v>3087827.5999999996</v>
      </c>
      <c r="AK91" s="154">
        <v>0</v>
      </c>
      <c r="AL91" s="156">
        <v>0</v>
      </c>
      <c r="AM91" s="154">
        <v>5.995199249194879E-2</v>
      </c>
      <c r="AN91" s="156">
        <v>7.4864312171525019E-2</v>
      </c>
      <c r="AO91" s="154">
        <v>0.14264574151767451</v>
      </c>
      <c r="AP91" s="156">
        <v>0.19716178449039323</v>
      </c>
      <c r="AQ91" s="154">
        <v>0.82418999999999998</v>
      </c>
      <c r="AR91" s="155">
        <v>0.79290000000000005</v>
      </c>
      <c r="AS91" s="156">
        <v>0.8085</v>
      </c>
    </row>
    <row r="92" spans="1:45" x14ac:dyDescent="0.2">
      <c r="A92" s="152">
        <v>6001</v>
      </c>
      <c r="B92" s="153" t="s">
        <v>128</v>
      </c>
      <c r="C92" s="154">
        <v>0.20929260106992853</v>
      </c>
      <c r="D92" s="156">
        <v>0.19295708818236232</v>
      </c>
      <c r="E92" s="154">
        <v>0.5726745733298898</v>
      </c>
      <c r="F92" s="156">
        <v>0.46704376576140411</v>
      </c>
      <c r="G92" s="154">
        <v>7.5660088976851073E-2</v>
      </c>
      <c r="H92" s="156">
        <v>6.9395212867772536E-3</v>
      </c>
      <c r="I92" s="154">
        <v>8.4961586755483209E-2</v>
      </c>
      <c r="J92" s="156">
        <v>0.32811476212542945</v>
      </c>
      <c r="K92" s="157">
        <v>53</v>
      </c>
      <c r="L92" s="158">
        <v>199</v>
      </c>
      <c r="M92" s="154">
        <v>0.19121229825795069</v>
      </c>
      <c r="N92" s="156">
        <v>0.14997284202640887</v>
      </c>
      <c r="O92" s="157">
        <v>166.1</v>
      </c>
      <c r="P92" s="158">
        <v>141.67391304347825</v>
      </c>
      <c r="Q92" s="154">
        <v>0.60321686553209386</v>
      </c>
      <c r="R92" s="156">
        <v>0.5727965115864232</v>
      </c>
      <c r="S92" s="154">
        <v>0.12271201658557104</v>
      </c>
      <c r="T92" s="156">
        <v>0.1524175883937961</v>
      </c>
      <c r="U92" s="157">
        <v>3206303</v>
      </c>
      <c r="V92" s="158">
        <v>3048404</v>
      </c>
      <c r="W92" s="157">
        <v>14144825</v>
      </c>
      <c r="X92" s="158">
        <v>16677839</v>
      </c>
      <c r="Y92" s="157">
        <v>1159091</v>
      </c>
      <c r="Z92" s="158">
        <v>109633</v>
      </c>
      <c r="AA92" s="159">
        <v>3068374</v>
      </c>
      <c r="AB92" s="159">
        <v>2927126</v>
      </c>
      <c r="AC92" s="157">
        <v>350025</v>
      </c>
      <c r="AD92" s="158">
        <v>1299992</v>
      </c>
      <c r="AE92" s="157">
        <v>787757</v>
      </c>
      <c r="AF92" s="158">
        <v>594193</v>
      </c>
      <c r="AG92" s="157">
        <v>2006036.0100000002</v>
      </c>
      <c r="AH92" s="158">
        <v>758065.62999999989</v>
      </c>
      <c r="AI92" s="157">
        <v>3100247.72</v>
      </c>
      <c r="AJ92" s="158">
        <v>4528434.25</v>
      </c>
      <c r="AK92" s="154">
        <v>5.5692240801848023E-2</v>
      </c>
      <c r="AL92" s="156">
        <v>3.5627697329372231E-2</v>
      </c>
      <c r="AM92" s="154">
        <v>0.17337077907851545</v>
      </c>
      <c r="AN92" s="156">
        <v>5.4663770122259571E-2</v>
      </c>
      <c r="AO92" s="154">
        <v>0.2679375444276253</v>
      </c>
      <c r="AP92" s="156">
        <v>0.32654334804199864</v>
      </c>
      <c r="AQ92" s="154">
        <v>0.66456000000000004</v>
      </c>
      <c r="AR92" s="155">
        <v>0.73885999999999996</v>
      </c>
      <c r="AS92" s="156">
        <v>0.70169999999999999</v>
      </c>
    </row>
    <row r="93" spans="1:45" x14ac:dyDescent="0.2">
      <c r="A93" s="152">
        <v>6002</v>
      </c>
      <c r="B93" s="153" t="s">
        <v>129</v>
      </c>
      <c r="C93" s="154">
        <v>0.13664934352409752</v>
      </c>
      <c r="D93" s="156">
        <v>0.11345810291708371</v>
      </c>
      <c r="E93" s="154">
        <v>0.2473763324438924</v>
      </c>
      <c r="F93" s="156">
        <v>0.44662058662293902</v>
      </c>
      <c r="G93" s="154">
        <v>-0.10421469564868537</v>
      </c>
      <c r="H93" s="156">
        <v>0.16873406423511125</v>
      </c>
      <c r="I93" s="154">
        <v>0</v>
      </c>
      <c r="J93" s="156">
        <v>0</v>
      </c>
      <c r="K93" s="157">
        <v>0</v>
      </c>
      <c r="L93" s="158">
        <v>0</v>
      </c>
      <c r="M93" s="154">
        <v>0</v>
      </c>
      <c r="N93" s="156">
        <v>0</v>
      </c>
      <c r="O93" s="157">
        <v>106.38095238095238</v>
      </c>
      <c r="P93" s="158">
        <v>103.72727272727273</v>
      </c>
      <c r="Q93" s="154">
        <v>0.52446114508780517</v>
      </c>
      <c r="R93" s="156">
        <v>0.71177351844072501</v>
      </c>
      <c r="S93" s="154">
        <v>5.6738301915237037E-2</v>
      </c>
      <c r="T93" s="156">
        <v>9.8189627102745397E-2</v>
      </c>
      <c r="U93" s="157">
        <v>630140</v>
      </c>
      <c r="V93" s="158">
        <v>649318</v>
      </c>
      <c r="W93" s="157">
        <v>5061149</v>
      </c>
      <c r="X93" s="158">
        <v>4741896</v>
      </c>
      <c r="Y93" s="157">
        <v>-480572</v>
      </c>
      <c r="Z93" s="158">
        <v>965661</v>
      </c>
      <c r="AA93" s="159">
        <v>952403</v>
      </c>
      <c r="AB93" s="159">
        <v>1606517</v>
      </c>
      <c r="AC93" s="157">
        <v>0</v>
      </c>
      <c r="AD93" s="158">
        <v>0</v>
      </c>
      <c r="AE93" s="157">
        <v>0</v>
      </c>
      <c r="AF93" s="158">
        <v>0</v>
      </c>
      <c r="AG93" s="157">
        <v>105823.99000000009</v>
      </c>
      <c r="AH93" s="158">
        <v>272626.92999999993</v>
      </c>
      <c r="AI93" s="157">
        <v>965.40000000002328</v>
      </c>
      <c r="AJ93" s="158">
        <v>44846.999999999985</v>
      </c>
      <c r="AK93" s="154">
        <v>0</v>
      </c>
      <c r="AL93" s="156">
        <v>0</v>
      </c>
      <c r="AM93" s="154">
        <v>3.0757709192203175E-2</v>
      </c>
      <c r="AN93" s="156">
        <v>6.6829875445437406E-2</v>
      </c>
      <c r="AO93" s="154">
        <v>2.8059320437788857E-4</v>
      </c>
      <c r="AP93" s="156">
        <v>1.0993482647152764E-2</v>
      </c>
      <c r="AQ93" s="154">
        <v>0.63219000000000003</v>
      </c>
      <c r="AR93" s="155">
        <v>0.69301000000000001</v>
      </c>
      <c r="AS93" s="156">
        <v>0.66259999999999997</v>
      </c>
    </row>
    <row r="94" spans="1:45" x14ac:dyDescent="0.2">
      <c r="A94" s="152">
        <v>6003</v>
      </c>
      <c r="B94" s="153" t="s">
        <v>130</v>
      </c>
      <c r="C94" s="154">
        <v>0.18238386428039688</v>
      </c>
      <c r="D94" s="156">
        <v>0.18437892028873692</v>
      </c>
      <c r="E94" s="154">
        <v>0.83974365664861994</v>
      </c>
      <c r="F94" s="156">
        <v>0.73572188881113942</v>
      </c>
      <c r="G94" s="154">
        <v>-9.2647788493697272E-2</v>
      </c>
      <c r="H94" s="156">
        <v>9.6340957369130051E-2</v>
      </c>
      <c r="I94" s="154">
        <v>0.7697521436628435</v>
      </c>
      <c r="J94" s="156">
        <v>0.33194297476150064</v>
      </c>
      <c r="K94" s="157">
        <v>300</v>
      </c>
      <c r="L94" s="158">
        <v>142</v>
      </c>
      <c r="M94" s="154">
        <v>0.16621227024604979</v>
      </c>
      <c r="N94" s="156">
        <v>0.14553281846938362</v>
      </c>
      <c r="O94" s="157">
        <v>262.82857142857142</v>
      </c>
      <c r="P94" s="158">
        <v>259.32142857142856</v>
      </c>
      <c r="Q94" s="154">
        <v>0.70972073073895092</v>
      </c>
      <c r="R94" s="156">
        <v>0.67497113276329479</v>
      </c>
      <c r="S94" s="154">
        <v>4.489909894861558E-2</v>
      </c>
      <c r="T94" s="156">
        <v>8.0975289634103151E-2</v>
      </c>
      <c r="U94" s="157">
        <v>11022597</v>
      </c>
      <c r="V94" s="158">
        <v>12265792</v>
      </c>
      <c r="W94" s="157">
        <v>56610312</v>
      </c>
      <c r="X94" s="158">
        <v>70939419</v>
      </c>
      <c r="Y94" s="157">
        <v>-5599285</v>
      </c>
      <c r="Z94" s="158">
        <v>6409074</v>
      </c>
      <c r="AA94" s="159">
        <v>4358152</v>
      </c>
      <c r="AB94" s="159">
        <v>4193683</v>
      </c>
      <c r="AC94" s="157">
        <v>11027159</v>
      </c>
      <c r="AD94" s="158">
        <v>5172200</v>
      </c>
      <c r="AE94" s="157">
        <v>2381090</v>
      </c>
      <c r="AF94" s="158">
        <v>2267633</v>
      </c>
      <c r="AG94" s="157">
        <v>4360963.0100000026</v>
      </c>
      <c r="AH94" s="158">
        <v>5858816.8699999992</v>
      </c>
      <c r="AI94" s="157">
        <v>25176428.619999997</v>
      </c>
      <c r="AJ94" s="158">
        <v>33674659.399999999</v>
      </c>
      <c r="AK94" s="154">
        <v>4.2061064775618974E-2</v>
      </c>
      <c r="AL94" s="156">
        <v>3.196576786173002E-2</v>
      </c>
      <c r="AM94" s="154">
        <v>9.3647821677573823E-2</v>
      </c>
      <c r="AN94" s="156">
        <v>0.10625978898348079</v>
      </c>
      <c r="AO94" s="154">
        <v>0.54064152630451323</v>
      </c>
      <c r="AP94" s="156">
        <v>0.61074825879215244</v>
      </c>
      <c r="AQ94" s="154">
        <v>0.85477000000000003</v>
      </c>
      <c r="AR94" s="155">
        <v>0.7157</v>
      </c>
      <c r="AS94" s="156">
        <v>0.78520000000000001</v>
      </c>
    </row>
    <row r="95" spans="1:45" x14ac:dyDescent="0.2">
      <c r="A95" s="152">
        <v>6004</v>
      </c>
      <c r="B95" s="153" t="s">
        <v>131</v>
      </c>
      <c r="C95" s="154">
        <v>0.12567634420118487</v>
      </c>
      <c r="D95" s="156">
        <v>0.11154891036326156</v>
      </c>
      <c r="E95" s="154">
        <v>0.47283080461630422</v>
      </c>
      <c r="F95" s="156">
        <v>0.26103285436828783</v>
      </c>
      <c r="G95" s="154">
        <v>8.8113726718913779E-2</v>
      </c>
      <c r="H95" s="156">
        <v>-7.910084009784292E-2</v>
      </c>
      <c r="I95" s="154">
        <v>0.39203015319134832</v>
      </c>
      <c r="J95" s="156">
        <v>0.30782869647839789</v>
      </c>
      <c r="K95" s="157">
        <v>192</v>
      </c>
      <c r="L95" s="158">
        <v>176</v>
      </c>
      <c r="M95" s="154">
        <v>0.40202447385824563</v>
      </c>
      <c r="N95" s="156">
        <v>5.5544663854888154E-2</v>
      </c>
      <c r="O95" s="157">
        <v>135.86666666666667</v>
      </c>
      <c r="P95" s="158">
        <v>135.83333333333334</v>
      </c>
      <c r="Q95" s="154">
        <v>0.64466516463037493</v>
      </c>
      <c r="R95" s="156">
        <v>0.51668505932963638</v>
      </c>
      <c r="S95" s="154">
        <v>0.11427112730413409</v>
      </c>
      <c r="T95" s="156">
        <v>0.28543172695109276</v>
      </c>
      <c r="U95" s="157">
        <v>1133531</v>
      </c>
      <c r="V95" s="158">
        <v>1447630</v>
      </c>
      <c r="W95" s="157">
        <v>8919891</v>
      </c>
      <c r="X95" s="158">
        <v>13629529</v>
      </c>
      <c r="Y95" s="157">
        <v>794737</v>
      </c>
      <c r="Z95" s="158">
        <v>-1026534</v>
      </c>
      <c r="AA95" s="159">
        <v>1535864</v>
      </c>
      <c r="AB95" s="159">
        <v>647871</v>
      </c>
      <c r="AC95" s="157">
        <v>780701</v>
      </c>
      <c r="AD95" s="158">
        <v>715988</v>
      </c>
      <c r="AE95" s="157">
        <v>800604</v>
      </c>
      <c r="AF95" s="158">
        <v>129193</v>
      </c>
      <c r="AG95" s="157">
        <v>317284.77999999991</v>
      </c>
      <c r="AH95" s="158">
        <v>465738.83000000013</v>
      </c>
      <c r="AI95" s="157">
        <v>3290621.6500000004</v>
      </c>
      <c r="AJ95" s="158">
        <v>8209506.6599999992</v>
      </c>
      <c r="AK95" s="154">
        <v>8.9754908440024664E-2</v>
      </c>
      <c r="AL95" s="156">
        <v>9.4789042233227577E-3</v>
      </c>
      <c r="AM95" s="154">
        <v>4.1255059123168958E-2</v>
      </c>
      <c r="AN95" s="156">
        <v>4.8997660049185057E-2</v>
      </c>
      <c r="AO95" s="154">
        <v>0.42786417527726933</v>
      </c>
      <c r="AP95" s="156">
        <v>0.86367421092675589</v>
      </c>
      <c r="AQ95" s="154">
        <v>0.77129000000000003</v>
      </c>
      <c r="AR95" s="155">
        <v>0.72704000000000002</v>
      </c>
      <c r="AS95" s="156">
        <v>0.74919999999999998</v>
      </c>
    </row>
    <row r="96" spans="1:45" x14ac:dyDescent="0.2">
      <c r="A96" s="152">
        <v>6005</v>
      </c>
      <c r="B96" s="153" t="s">
        <v>127</v>
      </c>
      <c r="C96" s="154">
        <v>0.21695886850691384</v>
      </c>
      <c r="D96" s="156">
        <v>0.20608482446298373</v>
      </c>
      <c r="E96" s="154">
        <v>0.66560426120025074</v>
      </c>
      <c r="F96" s="156">
        <v>0.70896061979000258</v>
      </c>
      <c r="G96" s="154">
        <v>-2.3250901350579806E-2</v>
      </c>
      <c r="H96" s="156">
        <v>-1.1626788430201769E-2</v>
      </c>
      <c r="I96" s="154">
        <v>0.53039695899106098</v>
      </c>
      <c r="J96" s="156">
        <v>0.47005819575411101</v>
      </c>
      <c r="K96" s="157">
        <v>260</v>
      </c>
      <c r="L96" s="158">
        <v>266</v>
      </c>
      <c r="M96" s="154">
        <v>3.0644691528619779E-4</v>
      </c>
      <c r="N96" s="156">
        <v>0</v>
      </c>
      <c r="O96" s="157">
        <v>143.5</v>
      </c>
      <c r="P96" s="158">
        <v>133.72033898305085</v>
      </c>
      <c r="Q96" s="154">
        <v>0.6566000430255744</v>
      </c>
      <c r="R96" s="156">
        <v>0.68201066905451802</v>
      </c>
      <c r="S96" s="154">
        <v>7.098501201668253E-2</v>
      </c>
      <c r="T96" s="156">
        <v>8.953953482606046E-2</v>
      </c>
      <c r="U96" s="157">
        <v>19024297</v>
      </c>
      <c r="V96" s="158">
        <v>22287025</v>
      </c>
      <c r="W96" s="157">
        <v>89900020</v>
      </c>
      <c r="X96" s="158">
        <v>109784611</v>
      </c>
      <c r="Y96" s="157">
        <v>-2038783</v>
      </c>
      <c r="Z96" s="158">
        <v>-1257378</v>
      </c>
      <c r="AA96" s="159">
        <v>12440764</v>
      </c>
      <c r="AB96" s="159">
        <v>11157805</v>
      </c>
      <c r="AC96" s="157">
        <v>12461728</v>
      </c>
      <c r="AD96" s="158">
        <v>12578205</v>
      </c>
      <c r="AE96" s="157">
        <v>7200</v>
      </c>
      <c r="AF96" s="158">
        <v>0</v>
      </c>
      <c r="AG96" s="157">
        <v>1604108.8799999983</v>
      </c>
      <c r="AH96" s="158">
        <v>2180202.2199999918</v>
      </c>
      <c r="AI96" s="157">
        <v>27615683.120000001</v>
      </c>
      <c r="AJ96" s="158">
        <v>63988667.970000014</v>
      </c>
      <c r="AK96" s="154">
        <v>8.0088969946836495E-5</v>
      </c>
      <c r="AL96" s="156">
        <v>0</v>
      </c>
      <c r="AM96" s="154">
        <v>2.313837913183335E-2</v>
      </c>
      <c r="AN96" s="156">
        <v>2.5966260165249815E-2</v>
      </c>
      <c r="AO96" s="154">
        <v>0.39834088195754597</v>
      </c>
      <c r="AP96" s="156">
        <v>0.76210655364657609</v>
      </c>
      <c r="AQ96" s="154">
        <v>0.81752999999999998</v>
      </c>
      <c r="AR96" s="155">
        <v>0.63592000000000004</v>
      </c>
      <c r="AS96" s="156">
        <v>0.72670000000000001</v>
      </c>
    </row>
    <row r="97" spans="1:45" x14ac:dyDescent="0.2">
      <c r="A97" s="152">
        <v>6006</v>
      </c>
      <c r="B97" s="153" t="s">
        <v>132</v>
      </c>
      <c r="C97" s="154">
        <v>0.11462266107281213</v>
      </c>
      <c r="D97" s="156">
        <v>0.12356218345939288</v>
      </c>
      <c r="E97" s="154">
        <v>0.2743621482479387</v>
      </c>
      <c r="F97" s="156">
        <v>0.31095492270595304</v>
      </c>
      <c r="G97" s="154">
        <v>-7.093573936474239E-3</v>
      </c>
      <c r="H97" s="156">
        <v>-2.3217957593193887E-2</v>
      </c>
      <c r="I97" s="154">
        <v>0</v>
      </c>
      <c r="J97" s="156">
        <v>0</v>
      </c>
      <c r="K97" s="157">
        <v>0</v>
      </c>
      <c r="L97" s="158">
        <v>0</v>
      </c>
      <c r="M97" s="154">
        <v>0</v>
      </c>
      <c r="N97" s="156">
        <v>0</v>
      </c>
      <c r="O97" s="157">
        <v>60.103448275862071</v>
      </c>
      <c r="P97" s="158">
        <v>52.029411764705884</v>
      </c>
      <c r="Q97" s="154">
        <v>0.58847350325079861</v>
      </c>
      <c r="R97" s="156">
        <v>0.60918952497924561</v>
      </c>
      <c r="S97" s="154">
        <v>0.21819294773145875</v>
      </c>
      <c r="T97" s="156">
        <v>0.13561177259959287</v>
      </c>
      <c r="U97" s="157">
        <v>707507</v>
      </c>
      <c r="V97" s="158">
        <v>841574</v>
      </c>
      <c r="W97" s="157">
        <v>6212781</v>
      </c>
      <c r="X97" s="158">
        <v>7034640</v>
      </c>
      <c r="Y97" s="157">
        <v>-43785</v>
      </c>
      <c r="Z97" s="158">
        <v>-158136</v>
      </c>
      <c r="AA97" s="159">
        <v>1477807</v>
      </c>
      <c r="AB97" s="159">
        <v>1272571</v>
      </c>
      <c r="AC97" s="157">
        <v>0</v>
      </c>
      <c r="AD97" s="158">
        <v>0</v>
      </c>
      <c r="AE97" s="157">
        <v>0</v>
      </c>
      <c r="AF97" s="158">
        <v>0</v>
      </c>
      <c r="AG97" s="157">
        <v>24116.170000000086</v>
      </c>
      <c r="AH97" s="158">
        <v>21231.490000000493</v>
      </c>
      <c r="AI97" s="157">
        <v>409011.14999999991</v>
      </c>
      <c r="AJ97" s="158">
        <v>574129.76000000024</v>
      </c>
      <c r="AK97" s="154">
        <v>0</v>
      </c>
      <c r="AL97" s="156">
        <v>0</v>
      </c>
      <c r="AM97" s="154">
        <v>5.1636364025664022E-3</v>
      </c>
      <c r="AN97" s="156">
        <v>3.8339989540762307E-3</v>
      </c>
      <c r="AO97" s="154">
        <v>8.7575467547107974E-2</v>
      </c>
      <c r="AP97" s="156">
        <v>0.10367679797056105</v>
      </c>
      <c r="AQ97" s="154">
        <v>0.76002999999999998</v>
      </c>
      <c r="AR97" s="155">
        <v>0.75856999999999997</v>
      </c>
      <c r="AS97" s="156">
        <v>0.75929999999999997</v>
      </c>
    </row>
    <row r="98" spans="1:45" x14ac:dyDescent="0.2">
      <c r="A98" s="152">
        <v>6007</v>
      </c>
      <c r="B98" s="153" t="s">
        <v>133</v>
      </c>
      <c r="C98" s="154">
        <v>0.15258689806293799</v>
      </c>
      <c r="D98" s="156">
        <v>0.17882925652848941</v>
      </c>
      <c r="E98" s="154">
        <v>0.5055072412394197</v>
      </c>
      <c r="F98" s="156">
        <v>0.5727028486309802</v>
      </c>
      <c r="G98" s="154">
        <v>0.13481458254229264</v>
      </c>
      <c r="H98" s="156">
        <v>8.4611406086734977E-3</v>
      </c>
      <c r="I98" s="154">
        <v>0.33895532483204283</v>
      </c>
      <c r="J98" s="156">
        <v>0.21720582962822965</v>
      </c>
      <c r="K98" s="157">
        <v>211</v>
      </c>
      <c r="L98" s="158">
        <v>149</v>
      </c>
      <c r="M98" s="154">
        <v>0.15364381365119728</v>
      </c>
      <c r="N98" s="156">
        <v>0.19603572220167612</v>
      </c>
      <c r="O98" s="157">
        <v>70.787878787878782</v>
      </c>
      <c r="P98" s="158">
        <v>66.51428571428572</v>
      </c>
      <c r="Q98" s="154">
        <v>0.54853620271251413</v>
      </c>
      <c r="R98" s="156">
        <v>0.58630257653888007</v>
      </c>
      <c r="S98" s="154">
        <v>0.1155220978305488</v>
      </c>
      <c r="T98" s="156">
        <v>0.10189520191988781</v>
      </c>
      <c r="U98" s="157">
        <v>1026758</v>
      </c>
      <c r="V98" s="158">
        <v>1143423</v>
      </c>
      <c r="W98" s="157">
        <v>5856412</v>
      </c>
      <c r="X98" s="158">
        <v>6343704</v>
      </c>
      <c r="Y98" s="157">
        <v>907168</v>
      </c>
      <c r="Z98" s="158">
        <v>54100</v>
      </c>
      <c r="AA98" s="159">
        <v>286477</v>
      </c>
      <c r="AB98" s="159">
        <v>86714</v>
      </c>
      <c r="AC98" s="157">
        <v>492115</v>
      </c>
      <c r="AD98" s="158">
        <v>345927</v>
      </c>
      <c r="AE98" s="157">
        <v>223069</v>
      </c>
      <c r="AF98" s="158">
        <v>312211</v>
      </c>
      <c r="AG98" s="157">
        <v>387584.56000000006</v>
      </c>
      <c r="AH98" s="158">
        <v>336387.47000000038</v>
      </c>
      <c r="AI98" s="157">
        <v>729037.98</v>
      </c>
      <c r="AJ98" s="158">
        <v>512526.17999999993</v>
      </c>
      <c r="AK98" s="154">
        <v>3.8089704071366561E-2</v>
      </c>
      <c r="AL98" s="156">
        <v>4.9215883969365534E-2</v>
      </c>
      <c r="AM98" s="154">
        <v>7.7724794736000913E-2</v>
      </c>
      <c r="AN98" s="156">
        <v>5.9212981926517964E-2</v>
      </c>
      <c r="AO98" s="154">
        <v>0.14619861882591179</v>
      </c>
      <c r="AP98" s="156">
        <v>9.0217996030610925E-2</v>
      </c>
      <c r="AQ98" s="154">
        <v>0.85458000000000001</v>
      </c>
      <c r="AR98" s="155">
        <v>0.74665000000000004</v>
      </c>
      <c r="AS98" s="156">
        <v>0.80059999999999998</v>
      </c>
    </row>
    <row r="99" spans="1:45" x14ac:dyDescent="0.2">
      <c r="A99" s="152">
        <v>6008</v>
      </c>
      <c r="B99" s="153" t="s">
        <v>134</v>
      </c>
      <c r="C99" s="154">
        <v>0.34595823278578275</v>
      </c>
      <c r="D99" s="156">
        <v>0.31385256399685579</v>
      </c>
      <c r="E99" s="154">
        <v>0.71252249813037405</v>
      </c>
      <c r="F99" s="156">
        <v>0.68496478572554509</v>
      </c>
      <c r="G99" s="154">
        <v>-3.4055876145445779E-2</v>
      </c>
      <c r="H99" s="156">
        <v>6.5805933846879213E-3</v>
      </c>
      <c r="I99" s="154">
        <v>0</v>
      </c>
      <c r="J99" s="156">
        <v>0</v>
      </c>
      <c r="K99" s="157">
        <v>0</v>
      </c>
      <c r="L99" s="158">
        <v>0</v>
      </c>
      <c r="M99" s="154">
        <v>1.9287177323963262E-2</v>
      </c>
      <c r="N99" s="156">
        <v>5.1861730483108229E-2</v>
      </c>
      <c r="O99" s="157">
        <v>148.85057471264369</v>
      </c>
      <c r="P99" s="158">
        <v>149.60919540229884</v>
      </c>
      <c r="Q99" s="154">
        <v>0.56884375491613959</v>
      </c>
      <c r="R99" s="156">
        <v>0.57165879400676178</v>
      </c>
      <c r="S99" s="154">
        <v>0.1253398556347016</v>
      </c>
      <c r="T99" s="156">
        <v>0.1159827516961635</v>
      </c>
      <c r="U99" s="157">
        <v>4779048</v>
      </c>
      <c r="V99" s="158">
        <v>5310021</v>
      </c>
      <c r="W99" s="157">
        <v>14213388</v>
      </c>
      <c r="X99" s="158">
        <v>16771968</v>
      </c>
      <c r="Y99" s="157">
        <v>-470446</v>
      </c>
      <c r="Z99" s="158">
        <v>111336</v>
      </c>
      <c r="AA99" s="159">
        <v>387162</v>
      </c>
      <c r="AB99" s="159">
        <v>511385</v>
      </c>
      <c r="AC99" s="157">
        <v>0</v>
      </c>
      <c r="AD99" s="158">
        <v>0</v>
      </c>
      <c r="AE99" s="157">
        <v>106443</v>
      </c>
      <c r="AF99" s="158">
        <v>313749</v>
      </c>
      <c r="AG99" s="157">
        <v>777182.51000000047</v>
      </c>
      <c r="AH99" s="158">
        <v>1854880.4599999995</v>
      </c>
      <c r="AI99" s="157">
        <v>4814590.6800000016</v>
      </c>
      <c r="AJ99" s="158">
        <v>5798444.2599999998</v>
      </c>
      <c r="AK99" s="154">
        <v>7.4889252302125292E-3</v>
      </c>
      <c r="AL99" s="156">
        <v>1.8706749261625112E-2</v>
      </c>
      <c r="AM99" s="154">
        <v>7.0098609279760304E-2</v>
      </c>
      <c r="AN99" s="156">
        <v>0.13839037075192517</v>
      </c>
      <c r="AO99" s="154">
        <v>0.43425592647381556</v>
      </c>
      <c r="AP99" s="156">
        <v>0.43261486021895584</v>
      </c>
      <c r="AQ99" s="154">
        <v>0.71364000000000005</v>
      </c>
      <c r="AR99" s="155">
        <v>0.74987000000000004</v>
      </c>
      <c r="AS99" s="156">
        <v>0.73180000000000001</v>
      </c>
    </row>
    <row r="100" spans="1:45" x14ac:dyDescent="0.2">
      <c r="A100" s="152">
        <v>6009</v>
      </c>
      <c r="B100" s="153" t="s">
        <v>135</v>
      </c>
      <c r="C100" s="154">
        <v>3.6264041984825607E-2</v>
      </c>
      <c r="D100" s="156">
        <v>3.0155537926156998E-2</v>
      </c>
      <c r="E100" s="154">
        <v>0.13067137210780339</v>
      </c>
      <c r="F100" s="156">
        <v>5.0510826108834374E-2</v>
      </c>
      <c r="G100" s="154">
        <v>0.21468199411715452</v>
      </c>
      <c r="H100" s="156">
        <v>-0.21812285565169356</v>
      </c>
      <c r="I100" s="154">
        <v>0</v>
      </c>
      <c r="J100" s="156">
        <v>0</v>
      </c>
      <c r="K100" s="157">
        <v>0</v>
      </c>
      <c r="L100" s="158">
        <v>0</v>
      </c>
      <c r="M100" s="154">
        <v>0</v>
      </c>
      <c r="N100" s="156">
        <v>0</v>
      </c>
      <c r="O100" s="157">
        <v>15.161290322580646</v>
      </c>
      <c r="P100" s="158">
        <v>17.806451612903224</v>
      </c>
      <c r="Q100" s="154">
        <v>0.6269200883968471</v>
      </c>
      <c r="R100" s="156">
        <v>0.52051125696195566</v>
      </c>
      <c r="S100" s="154">
        <v>8.5540329512943283E-2</v>
      </c>
      <c r="T100" s="156">
        <v>0.20876808733768529</v>
      </c>
      <c r="U100" s="157">
        <v>134260</v>
      </c>
      <c r="V100" s="158">
        <v>100883</v>
      </c>
      <c r="W100" s="157">
        <v>2905986</v>
      </c>
      <c r="X100" s="158">
        <v>4073568</v>
      </c>
      <c r="Y100" s="157">
        <v>794815</v>
      </c>
      <c r="Z100" s="158">
        <v>-729713</v>
      </c>
      <c r="AA100" s="159">
        <v>2263938</v>
      </c>
      <c r="AB100" s="159">
        <v>1530853</v>
      </c>
      <c r="AC100" s="157">
        <v>0</v>
      </c>
      <c r="AD100" s="158">
        <v>0</v>
      </c>
      <c r="AE100" s="157">
        <v>0</v>
      </c>
      <c r="AF100" s="158">
        <v>0</v>
      </c>
      <c r="AG100" s="157">
        <v>22702.020000000008</v>
      </c>
      <c r="AH100" s="158">
        <v>18137.339999999997</v>
      </c>
      <c r="AI100" s="157">
        <v>34977.499999999993</v>
      </c>
      <c r="AJ100" s="158">
        <v>62224.800000000003</v>
      </c>
      <c r="AK100" s="154">
        <v>0</v>
      </c>
      <c r="AL100" s="156">
        <v>0</v>
      </c>
      <c r="AM100" s="154">
        <v>9.1097295694370518E-3</v>
      </c>
      <c r="AN100" s="156">
        <v>6.004636232534671E-3</v>
      </c>
      <c r="AO100" s="154">
        <v>1.4035560096193393E-2</v>
      </c>
      <c r="AP100" s="156">
        <v>2.060044574575012E-2</v>
      </c>
      <c r="AQ100" s="154">
        <v>0.50702000000000003</v>
      </c>
      <c r="AR100" s="155">
        <v>0.60665999999999998</v>
      </c>
      <c r="AS100" s="156">
        <v>0.55679999999999996</v>
      </c>
    </row>
    <row r="101" spans="1:45" x14ac:dyDescent="0.2">
      <c r="A101" s="152">
        <v>6101</v>
      </c>
      <c r="B101" s="153" t="s">
        <v>137</v>
      </c>
      <c r="C101" s="154">
        <v>9.9191937291944657E-2</v>
      </c>
      <c r="D101" s="156">
        <v>0.12453873132670583</v>
      </c>
      <c r="E101" s="154">
        <v>0.30095182618755789</v>
      </c>
      <c r="F101" s="156">
        <v>0.14360732397183978</v>
      </c>
      <c r="G101" s="154">
        <v>0.39527883016497234</v>
      </c>
      <c r="H101" s="156">
        <v>-0.24902703482762925</v>
      </c>
      <c r="I101" s="154">
        <v>0</v>
      </c>
      <c r="J101" s="156">
        <v>0</v>
      </c>
      <c r="K101" s="157">
        <v>0</v>
      </c>
      <c r="L101" s="158">
        <v>0</v>
      </c>
      <c r="M101" s="154">
        <v>0</v>
      </c>
      <c r="N101" s="156">
        <v>0</v>
      </c>
      <c r="O101" s="157">
        <v>65.853658536585371</v>
      </c>
      <c r="P101" s="158">
        <v>59.222222222222221</v>
      </c>
      <c r="Q101" s="154">
        <v>0.42122195999254236</v>
      </c>
      <c r="R101" s="156">
        <v>0.29685597240495987</v>
      </c>
      <c r="S101" s="154">
        <v>0.39751572566054921</v>
      </c>
      <c r="T101" s="156">
        <v>0.57172539711408155</v>
      </c>
      <c r="U101" s="157">
        <v>1487960</v>
      </c>
      <c r="V101" s="158">
        <v>1536118</v>
      </c>
      <c r="W101" s="157">
        <v>9236178</v>
      </c>
      <c r="X101" s="158">
        <v>16192765</v>
      </c>
      <c r="Y101" s="157">
        <v>5929505</v>
      </c>
      <c r="Z101" s="158">
        <v>-3071614</v>
      </c>
      <c r="AA101" s="159">
        <v>8175910</v>
      </c>
      <c r="AB101" s="159">
        <v>5105768</v>
      </c>
      <c r="AC101" s="157">
        <v>0</v>
      </c>
      <c r="AD101" s="158">
        <v>0</v>
      </c>
      <c r="AE101" s="157">
        <v>0</v>
      </c>
      <c r="AF101" s="158">
        <v>0</v>
      </c>
      <c r="AG101" s="157">
        <v>33290.160000000149</v>
      </c>
      <c r="AH101" s="158">
        <v>726544.43999999948</v>
      </c>
      <c r="AI101" s="157">
        <v>12483560.219999999</v>
      </c>
      <c r="AJ101" s="158">
        <v>11805772.15</v>
      </c>
      <c r="AK101" s="154">
        <v>0</v>
      </c>
      <c r="AL101" s="156">
        <v>0</v>
      </c>
      <c r="AM101" s="154">
        <v>4.6254989512436893E-3</v>
      </c>
      <c r="AN101" s="156">
        <v>7.0894792708109056E-2</v>
      </c>
      <c r="AO101" s="154">
        <v>1.7345274010517573</v>
      </c>
      <c r="AP101" s="156">
        <v>1.1519842741256372</v>
      </c>
      <c r="AQ101" s="154">
        <v>0.82216999999999996</v>
      </c>
      <c r="AR101" s="155">
        <v>0.81803999999999999</v>
      </c>
      <c r="AS101" s="156">
        <v>0.82010000000000005</v>
      </c>
    </row>
    <row r="102" spans="1:45" x14ac:dyDescent="0.2">
      <c r="A102" s="152">
        <v>6102</v>
      </c>
      <c r="B102" s="153" t="s">
        <v>138</v>
      </c>
      <c r="C102" s="154">
        <v>0.24171778859228607</v>
      </c>
      <c r="D102" s="156">
        <v>0.20575753820474349</v>
      </c>
      <c r="E102" s="154">
        <v>0.45632433796577104</v>
      </c>
      <c r="F102" s="156">
        <v>0.46986298576542013</v>
      </c>
      <c r="G102" s="154">
        <v>-4.6774729581987869E-2</v>
      </c>
      <c r="H102" s="156">
        <v>2.3689369360108251E-3</v>
      </c>
      <c r="I102" s="154">
        <v>0</v>
      </c>
      <c r="J102" s="156">
        <v>0</v>
      </c>
      <c r="K102" s="157">
        <v>0</v>
      </c>
      <c r="L102" s="158">
        <v>0</v>
      </c>
      <c r="M102" s="154">
        <v>0</v>
      </c>
      <c r="N102" s="156">
        <v>0</v>
      </c>
      <c r="O102" s="157">
        <v>126.5</v>
      </c>
      <c r="P102" s="158">
        <v>110.96875</v>
      </c>
      <c r="Q102" s="154">
        <v>0.55002301610475879</v>
      </c>
      <c r="R102" s="156">
        <v>0.63518739652794454</v>
      </c>
      <c r="S102" s="154">
        <v>0.22630415574920862</v>
      </c>
      <c r="T102" s="156">
        <v>0.16483618180686627</v>
      </c>
      <c r="U102" s="157">
        <v>2209595</v>
      </c>
      <c r="V102" s="158">
        <v>1889476</v>
      </c>
      <c r="W102" s="157">
        <v>9517249</v>
      </c>
      <c r="X102" s="158">
        <v>9271223</v>
      </c>
      <c r="Y102" s="157">
        <v>-427578</v>
      </c>
      <c r="Z102" s="158">
        <v>21754</v>
      </c>
      <c r="AA102" s="159">
        <v>1695411</v>
      </c>
      <c r="AB102" s="159">
        <v>1684141</v>
      </c>
      <c r="AC102" s="157">
        <v>0</v>
      </c>
      <c r="AD102" s="158">
        <v>0</v>
      </c>
      <c r="AE102" s="157">
        <v>0</v>
      </c>
      <c r="AF102" s="158">
        <v>0</v>
      </c>
      <c r="AG102" s="157">
        <v>38626.770000000004</v>
      </c>
      <c r="AH102" s="158">
        <v>5465621.7400000002</v>
      </c>
      <c r="AI102" s="157">
        <v>1118325.77</v>
      </c>
      <c r="AJ102" s="158">
        <v>6929951.2800000003</v>
      </c>
      <c r="AK102" s="154">
        <v>0</v>
      </c>
      <c r="AL102" s="156">
        <v>0</v>
      </c>
      <c r="AM102" s="154">
        <v>5.5185680411474159E-3</v>
      </c>
      <c r="AN102" s="156">
        <v>0.67725900779025672</v>
      </c>
      <c r="AO102" s="154">
        <v>0.15977408553481368</v>
      </c>
      <c r="AP102" s="156">
        <v>0.85870778315654528</v>
      </c>
      <c r="AQ102" s="154">
        <v>0.68237999999999999</v>
      </c>
      <c r="AR102" s="155">
        <v>0.61463999999999996</v>
      </c>
      <c r="AS102" s="156">
        <v>0.64849999999999997</v>
      </c>
    </row>
    <row r="103" spans="1:45" x14ac:dyDescent="0.2">
      <c r="A103" s="152">
        <v>6103</v>
      </c>
      <c r="B103" s="153" t="s">
        <v>136</v>
      </c>
      <c r="C103" s="154">
        <v>0.18099856053436866</v>
      </c>
      <c r="D103" s="156">
        <v>0.17684435779915128</v>
      </c>
      <c r="E103" s="154">
        <v>0.7263009755764005</v>
      </c>
      <c r="F103" s="156">
        <v>0.81137237328645162</v>
      </c>
      <c r="G103" s="154">
        <v>5.3085919941273469E-3</v>
      </c>
      <c r="H103" s="156">
        <v>8.0340233256426391E-3</v>
      </c>
      <c r="I103" s="154">
        <v>0.1855500756142574</v>
      </c>
      <c r="J103" s="156">
        <v>0.13288444430121032</v>
      </c>
      <c r="K103" s="157">
        <v>87</v>
      </c>
      <c r="L103" s="158">
        <v>67</v>
      </c>
      <c r="M103" s="154">
        <v>0.28765849691419049</v>
      </c>
      <c r="N103" s="156">
        <v>7.9688974034666057E-2</v>
      </c>
      <c r="O103" s="157">
        <v>207.46814404432132</v>
      </c>
      <c r="P103" s="158">
        <v>204.28254847645428</v>
      </c>
      <c r="Q103" s="154">
        <v>0.62438397634518261</v>
      </c>
      <c r="R103" s="156">
        <v>0.65501055019744003</v>
      </c>
      <c r="S103" s="154">
        <v>8.2546270069300737E-2</v>
      </c>
      <c r="T103" s="156">
        <v>6.5664687286830378E-2</v>
      </c>
      <c r="U103" s="157">
        <v>13213399</v>
      </c>
      <c r="V103" s="158">
        <v>14428798</v>
      </c>
      <c r="W103" s="157">
        <v>71692458</v>
      </c>
      <c r="X103" s="158">
        <v>80489015</v>
      </c>
      <c r="Y103" s="157">
        <v>387542</v>
      </c>
      <c r="Z103" s="158">
        <v>655499</v>
      </c>
      <c r="AA103" s="159">
        <v>7832470</v>
      </c>
      <c r="AB103" s="159">
        <v>7741568</v>
      </c>
      <c r="AC103" s="157">
        <v>3240502</v>
      </c>
      <c r="AD103" s="158">
        <v>2482228</v>
      </c>
      <c r="AE103" s="157">
        <v>5023754</v>
      </c>
      <c r="AF103" s="158">
        <v>1488558</v>
      </c>
      <c r="AG103" s="157">
        <v>5227577.8400000008</v>
      </c>
      <c r="AH103" s="158">
        <v>1589867.1899999985</v>
      </c>
      <c r="AI103" s="157">
        <v>40752481.429999992</v>
      </c>
      <c r="AJ103" s="158">
        <v>39264685.599999994</v>
      </c>
      <c r="AK103" s="154">
        <v>7.0073674974290887E-2</v>
      </c>
      <c r="AL103" s="156">
        <v>1.849392740114909E-2</v>
      </c>
      <c r="AM103" s="154">
        <v>9.3250081471084253E-2</v>
      </c>
      <c r="AN103" s="156">
        <v>2.4295038749545094E-2</v>
      </c>
      <c r="AO103" s="154">
        <v>0.72694703547376482</v>
      </c>
      <c r="AP103" s="156">
        <v>0.60001053178580666</v>
      </c>
      <c r="AQ103" s="154">
        <v>0.76822000000000001</v>
      </c>
      <c r="AR103" s="155">
        <v>0.76988000000000001</v>
      </c>
      <c r="AS103" s="156">
        <v>0.76910000000000001</v>
      </c>
    </row>
    <row r="104" spans="1:45" x14ac:dyDescent="0.2">
      <c r="A104" s="152">
        <v>6104</v>
      </c>
      <c r="B104" s="153" t="s">
        <v>139</v>
      </c>
      <c r="C104" s="154">
        <v>0.16041246311368476</v>
      </c>
      <c r="D104" s="156">
        <v>0.12316538663435835</v>
      </c>
      <c r="E104" s="154">
        <v>0.74366655316593033</v>
      </c>
      <c r="F104" s="156">
        <v>0.54357743066662545</v>
      </c>
      <c r="G104" s="154">
        <v>4.9095298937644319E-2</v>
      </c>
      <c r="H104" s="156">
        <v>-1.7840199178180933E-2</v>
      </c>
      <c r="I104" s="154">
        <v>0</v>
      </c>
      <c r="J104" s="156">
        <v>0</v>
      </c>
      <c r="K104" s="157">
        <v>0</v>
      </c>
      <c r="L104" s="158">
        <v>0</v>
      </c>
      <c r="M104" s="154">
        <v>0</v>
      </c>
      <c r="N104" s="156">
        <v>0</v>
      </c>
      <c r="O104" s="157">
        <v>249.17741935483872</v>
      </c>
      <c r="P104" s="158">
        <v>415.72972972972974</v>
      </c>
      <c r="Q104" s="154">
        <v>0.65636116036169134</v>
      </c>
      <c r="R104" s="156">
        <v>0.63224195544825113</v>
      </c>
      <c r="S104" s="154">
        <v>7.4260786699734335E-2</v>
      </c>
      <c r="T104" s="156">
        <v>9.1963690822451372E-2</v>
      </c>
      <c r="U104" s="157">
        <v>5274429</v>
      </c>
      <c r="V104" s="158">
        <v>4695193</v>
      </c>
      <c r="W104" s="157">
        <v>31199858</v>
      </c>
      <c r="X104" s="158">
        <v>38410344</v>
      </c>
      <c r="Y104" s="157">
        <v>1614274</v>
      </c>
      <c r="Z104" s="158">
        <v>-680087</v>
      </c>
      <c r="AA104" s="159">
        <v>6481773</v>
      </c>
      <c r="AB104" s="159">
        <v>6513407</v>
      </c>
      <c r="AC104" s="157">
        <v>0</v>
      </c>
      <c r="AD104" s="158">
        <v>0</v>
      </c>
      <c r="AE104" s="157">
        <v>0</v>
      </c>
      <c r="AF104" s="158">
        <v>0</v>
      </c>
      <c r="AG104" s="157">
        <v>156662.31999999972</v>
      </c>
      <c r="AH104" s="158">
        <v>215159.39000000089</v>
      </c>
      <c r="AI104" s="157">
        <v>6212599.1999999993</v>
      </c>
      <c r="AJ104" s="158">
        <v>37651315.460000001</v>
      </c>
      <c r="AK104" s="154">
        <v>0</v>
      </c>
      <c r="AL104" s="156">
        <v>0</v>
      </c>
      <c r="AM104" s="154">
        <v>6.1144308187728322E-3</v>
      </c>
      <c r="AN104" s="156">
        <v>7.1263652281145801E-3</v>
      </c>
      <c r="AO104" s="154">
        <v>0.24247379978263764</v>
      </c>
      <c r="AP104" s="156">
        <v>1.2470616564162773</v>
      </c>
      <c r="AQ104" s="154">
        <v>0.76356000000000002</v>
      </c>
      <c r="AR104" s="155">
        <v>0.62434000000000001</v>
      </c>
      <c r="AS104" s="156">
        <v>0.69399999999999995</v>
      </c>
    </row>
    <row r="105" spans="1:45" x14ac:dyDescent="0.2">
      <c r="A105" s="152">
        <v>6105</v>
      </c>
      <c r="B105" s="153" t="s">
        <v>140</v>
      </c>
      <c r="C105" s="154">
        <v>0.18340797657912872</v>
      </c>
      <c r="D105" s="156">
        <v>0.15802803801433418</v>
      </c>
      <c r="E105" s="154">
        <v>0.62291756442065482</v>
      </c>
      <c r="F105" s="156">
        <v>0.60597013950972678</v>
      </c>
      <c r="G105" s="154">
        <v>-7.4769658798517927E-4</v>
      </c>
      <c r="H105" s="156">
        <v>-4.2714869432069993E-2</v>
      </c>
      <c r="I105" s="154">
        <v>0.14770815852635277</v>
      </c>
      <c r="J105" s="156">
        <v>9.7529968602452263E-2</v>
      </c>
      <c r="K105" s="157">
        <v>71</v>
      </c>
      <c r="L105" s="158">
        <v>47</v>
      </c>
      <c r="M105" s="154">
        <v>0</v>
      </c>
      <c r="N105" s="156">
        <v>0</v>
      </c>
      <c r="O105" s="157">
        <v>215.09202453987731</v>
      </c>
      <c r="P105" s="158">
        <v>212.40490797546013</v>
      </c>
      <c r="Q105" s="154">
        <v>0.64985233592733094</v>
      </c>
      <c r="R105" s="156">
        <v>0.65904299347069029</v>
      </c>
      <c r="S105" s="154">
        <v>9.005565847721031E-2</v>
      </c>
      <c r="T105" s="156">
        <v>9.044251975024005E-2</v>
      </c>
      <c r="U105" s="157">
        <v>6311255</v>
      </c>
      <c r="V105" s="158">
        <v>6126083</v>
      </c>
      <c r="W105" s="157">
        <v>34412907</v>
      </c>
      <c r="X105" s="158">
        <v>40166727</v>
      </c>
      <c r="Y105" s="157">
        <v>-25729</v>
      </c>
      <c r="Z105" s="158">
        <v>-1655876</v>
      </c>
      <c r="AA105" s="159">
        <v>4371368</v>
      </c>
      <c r="AB105" s="159">
        <v>2414325</v>
      </c>
      <c r="AC105" s="157">
        <v>1248984</v>
      </c>
      <c r="AD105" s="158">
        <v>807605</v>
      </c>
      <c r="AE105" s="157">
        <v>0</v>
      </c>
      <c r="AF105" s="158">
        <v>0</v>
      </c>
      <c r="AG105" s="157">
        <v>681294.76999999746</v>
      </c>
      <c r="AH105" s="158">
        <v>775225.80999999912</v>
      </c>
      <c r="AI105" s="157">
        <v>6348556.9600000009</v>
      </c>
      <c r="AJ105" s="158">
        <v>11254991.670000002</v>
      </c>
      <c r="AK105" s="154">
        <v>0</v>
      </c>
      <c r="AL105" s="156">
        <v>0</v>
      </c>
      <c r="AM105" s="154">
        <v>2.491859406259913E-2</v>
      </c>
      <c r="AN105" s="156">
        <v>2.400113122308532E-2</v>
      </c>
      <c r="AO105" s="154">
        <v>0.23220068718497427</v>
      </c>
      <c r="AP105" s="156">
        <v>0.34845657678296665</v>
      </c>
      <c r="AQ105" s="154">
        <v>0.76993999999999996</v>
      </c>
      <c r="AR105" s="155">
        <v>0.76585000000000003</v>
      </c>
      <c r="AS105" s="156">
        <v>0.76790000000000003</v>
      </c>
    </row>
    <row r="106" spans="1:45" x14ac:dyDescent="0.2">
      <c r="A106" s="152">
        <v>6106</v>
      </c>
      <c r="B106" s="153" t="s">
        <v>141</v>
      </c>
      <c r="C106" s="154">
        <v>0.21978953296717627</v>
      </c>
      <c r="D106" s="156">
        <v>0.20390088402356155</v>
      </c>
      <c r="E106" s="154">
        <v>0.58906041763393402</v>
      </c>
      <c r="F106" s="156">
        <v>0.69669201176437079</v>
      </c>
      <c r="G106" s="154">
        <v>9.9766453123022649E-3</v>
      </c>
      <c r="H106" s="156">
        <v>9.2903891514371558E-3</v>
      </c>
      <c r="I106" s="154">
        <v>0</v>
      </c>
      <c r="J106" s="156">
        <v>0</v>
      </c>
      <c r="K106" s="157">
        <v>0</v>
      </c>
      <c r="L106" s="158">
        <v>0</v>
      </c>
      <c r="M106" s="154">
        <v>0</v>
      </c>
      <c r="N106" s="156">
        <v>2.3831211718299116E-2</v>
      </c>
      <c r="O106" s="157">
        <v>239.06849315068493</v>
      </c>
      <c r="P106" s="158">
        <v>234.86363636363637</v>
      </c>
      <c r="Q106" s="154">
        <v>0.57722927640017352</v>
      </c>
      <c r="R106" s="156">
        <v>0.61961170689131251</v>
      </c>
      <c r="S106" s="154">
        <v>0.14084878707835749</v>
      </c>
      <c r="T106" s="156">
        <v>0.11334833002416025</v>
      </c>
      <c r="U106" s="157">
        <v>10028108</v>
      </c>
      <c r="V106" s="158">
        <v>10835221</v>
      </c>
      <c r="W106" s="157">
        <v>46634381</v>
      </c>
      <c r="X106" s="158">
        <v>53037923</v>
      </c>
      <c r="Y106" s="157">
        <v>455194</v>
      </c>
      <c r="Z106" s="158">
        <v>493688</v>
      </c>
      <c r="AA106" s="159">
        <v>9223652</v>
      </c>
      <c r="AB106" s="159">
        <v>9888591</v>
      </c>
      <c r="AC106" s="157">
        <v>0</v>
      </c>
      <c r="AD106" s="158">
        <v>0</v>
      </c>
      <c r="AE106" s="157">
        <v>0</v>
      </c>
      <c r="AF106" s="158">
        <v>320883</v>
      </c>
      <c r="AG106" s="157">
        <v>320328.93000000238</v>
      </c>
      <c r="AH106" s="158">
        <v>817886.71999999834</v>
      </c>
      <c r="AI106" s="157">
        <v>12313300.200000001</v>
      </c>
      <c r="AJ106" s="158">
        <v>14887917.43</v>
      </c>
      <c r="AK106" s="154">
        <v>0</v>
      </c>
      <c r="AL106" s="156">
        <v>6.0500672320822216E-3</v>
      </c>
      <c r="AM106" s="154">
        <v>9.089599494728675E-3</v>
      </c>
      <c r="AN106" s="156">
        <v>1.930216957407117E-2</v>
      </c>
      <c r="AO106" s="154">
        <v>0.34940012216930166</v>
      </c>
      <c r="AP106" s="156">
        <v>0.35135563374672524</v>
      </c>
      <c r="AQ106" s="154">
        <v>0.84496000000000004</v>
      </c>
      <c r="AR106" s="155">
        <v>0.81501000000000001</v>
      </c>
      <c r="AS106" s="156">
        <v>0.83</v>
      </c>
    </row>
    <row r="107" spans="1:45" x14ac:dyDescent="0.2">
      <c r="A107" s="152">
        <v>6107</v>
      </c>
      <c r="B107" s="153" t="s">
        <v>142</v>
      </c>
      <c r="C107" s="154">
        <v>0.11420598469496587</v>
      </c>
      <c r="D107" s="156">
        <v>8.859275334245767E-2</v>
      </c>
      <c r="E107" s="154">
        <v>0.29277780095842565</v>
      </c>
      <c r="F107" s="156">
        <v>0.16267373593847614</v>
      </c>
      <c r="G107" s="154">
        <v>0.12366325369738339</v>
      </c>
      <c r="H107" s="156">
        <v>7.4165652079684966E-2</v>
      </c>
      <c r="I107" s="154">
        <v>0</v>
      </c>
      <c r="J107" s="156">
        <v>8.2218212851683264E-2</v>
      </c>
      <c r="K107" s="157">
        <v>0</v>
      </c>
      <c r="L107" s="158">
        <v>55</v>
      </c>
      <c r="M107" s="154">
        <v>0</v>
      </c>
      <c r="N107" s="156">
        <v>0</v>
      </c>
      <c r="O107" s="157">
        <v>255.38461538461539</v>
      </c>
      <c r="P107" s="158">
        <v>115.34090909090909</v>
      </c>
      <c r="Q107" s="154">
        <v>0.5054720372788768</v>
      </c>
      <c r="R107" s="156">
        <v>0.38968360526645496</v>
      </c>
      <c r="S107" s="154">
        <v>0.24969574291336172</v>
      </c>
      <c r="T107" s="156">
        <v>0.43909962694870353</v>
      </c>
      <c r="U107" s="157">
        <v>2055927</v>
      </c>
      <c r="V107" s="158">
        <v>2339859</v>
      </c>
      <c r="W107" s="157">
        <v>16556722</v>
      </c>
      <c r="X107" s="158">
        <v>24990397</v>
      </c>
      <c r="Y107" s="157">
        <v>2226176</v>
      </c>
      <c r="Z107" s="158">
        <v>1958819</v>
      </c>
      <c r="AA107" s="159">
        <v>5667697</v>
      </c>
      <c r="AB107" s="159">
        <v>7910998</v>
      </c>
      <c r="AC107" s="157">
        <v>0</v>
      </c>
      <c r="AD107" s="158">
        <v>279481</v>
      </c>
      <c r="AE107" s="157">
        <v>0</v>
      </c>
      <c r="AF107" s="158">
        <v>0</v>
      </c>
      <c r="AG107" s="157">
        <v>36495.620000001159</v>
      </c>
      <c r="AH107" s="158">
        <v>267153.20000000048</v>
      </c>
      <c r="AI107" s="157">
        <v>8674423</v>
      </c>
      <c r="AJ107" s="158">
        <v>19460063.890000001</v>
      </c>
      <c r="AK107" s="154">
        <v>0</v>
      </c>
      <c r="AL107" s="156">
        <v>0</v>
      </c>
      <c r="AM107" s="154">
        <v>2.8101300638077075E-3</v>
      </c>
      <c r="AN107" s="156">
        <v>1.6063710987266347E-2</v>
      </c>
      <c r="AO107" s="154">
        <v>0.6679228043936305</v>
      </c>
      <c r="AP107" s="156">
        <v>1.1701182771634311</v>
      </c>
      <c r="AQ107" s="154">
        <v>0.70462999999999998</v>
      </c>
      <c r="AR107" s="155">
        <v>0.61975999999999998</v>
      </c>
      <c r="AS107" s="156">
        <v>0.66220000000000001</v>
      </c>
    </row>
    <row r="108" spans="1:45" x14ac:dyDescent="0.2">
      <c r="A108" s="152">
        <v>6108</v>
      </c>
      <c r="B108" s="153" t="s">
        <v>143</v>
      </c>
      <c r="C108" s="154">
        <v>0.10607173148404073</v>
      </c>
      <c r="D108" s="156">
        <v>9.8289528271682317E-2</v>
      </c>
      <c r="E108" s="154">
        <v>0.37573819816892856</v>
      </c>
      <c r="F108" s="156">
        <v>0.35359567183049895</v>
      </c>
      <c r="G108" s="154">
        <v>0.15748143790024829</v>
      </c>
      <c r="H108" s="156">
        <v>6.1610577248274026E-2</v>
      </c>
      <c r="I108" s="154">
        <v>0</v>
      </c>
      <c r="J108" s="156">
        <v>0</v>
      </c>
      <c r="K108" s="157">
        <v>0</v>
      </c>
      <c r="L108" s="158">
        <v>0</v>
      </c>
      <c r="M108" s="154">
        <v>0</v>
      </c>
      <c r="N108" s="156">
        <v>0</v>
      </c>
      <c r="O108" s="157">
        <v>112.83673469387755</v>
      </c>
      <c r="P108" s="158">
        <v>112.91836734693878</v>
      </c>
      <c r="Q108" s="154">
        <v>0.58466904340936976</v>
      </c>
      <c r="R108" s="156">
        <v>0.55362678147444389</v>
      </c>
      <c r="S108" s="154">
        <v>0.10709644087328898</v>
      </c>
      <c r="T108" s="156">
        <v>0.2065776013408992</v>
      </c>
      <c r="U108" s="157">
        <v>1790258</v>
      </c>
      <c r="V108" s="158">
        <v>1743727</v>
      </c>
      <c r="W108" s="157">
        <v>14179911</v>
      </c>
      <c r="X108" s="158">
        <v>16872260</v>
      </c>
      <c r="Y108" s="157">
        <v>2657941</v>
      </c>
      <c r="Z108" s="158">
        <v>1093016</v>
      </c>
      <c r="AA108" s="159">
        <v>6902252</v>
      </c>
      <c r="AB108" s="159">
        <v>7910183</v>
      </c>
      <c r="AC108" s="157">
        <v>0</v>
      </c>
      <c r="AD108" s="158">
        <v>0</v>
      </c>
      <c r="AE108" s="157">
        <v>0</v>
      </c>
      <c r="AF108" s="158">
        <v>0</v>
      </c>
      <c r="AG108" s="157">
        <v>107557.07999999943</v>
      </c>
      <c r="AH108" s="158">
        <v>148359.79999999958</v>
      </c>
      <c r="AI108" s="157">
        <v>3232317.45</v>
      </c>
      <c r="AJ108" s="158">
        <v>21307548.790000003</v>
      </c>
      <c r="AK108" s="154">
        <v>0</v>
      </c>
      <c r="AL108" s="156">
        <v>0</v>
      </c>
      <c r="AM108" s="154">
        <v>9.6000458415525861E-3</v>
      </c>
      <c r="AN108" s="156">
        <v>1.111442236839697E-2</v>
      </c>
      <c r="AO108" s="154">
        <v>0.28850165599931238</v>
      </c>
      <c r="AP108" s="156">
        <v>1.5962619044194348</v>
      </c>
      <c r="AQ108" s="154">
        <v>0.80528</v>
      </c>
      <c r="AR108" s="155">
        <v>0.68032000000000004</v>
      </c>
      <c r="AS108" s="156">
        <v>0.74280000000000002</v>
      </c>
    </row>
    <row r="109" spans="1:45" x14ac:dyDescent="0.2">
      <c r="A109" s="152">
        <v>6201</v>
      </c>
      <c r="B109" s="153" t="s">
        <v>145</v>
      </c>
      <c r="C109" s="154">
        <v>0.10040321370442103</v>
      </c>
      <c r="D109" s="156">
        <v>0.10126279402511752</v>
      </c>
      <c r="E109" s="154">
        <v>0.45962665685874565</v>
      </c>
      <c r="F109" s="156">
        <v>0.36763538924014111</v>
      </c>
      <c r="G109" s="154">
        <v>7.6396518568880051E-2</v>
      </c>
      <c r="H109" s="156">
        <v>7.7194379139081934E-2</v>
      </c>
      <c r="I109" s="154">
        <v>0.92263828078099086</v>
      </c>
      <c r="J109" s="156">
        <v>6.2979626916449913E-2</v>
      </c>
      <c r="K109" s="157">
        <v>368</v>
      </c>
      <c r="L109" s="158">
        <v>27</v>
      </c>
      <c r="M109" s="154">
        <v>2.9457953344475138E-2</v>
      </c>
      <c r="N109" s="156">
        <v>1.0291829914726896E-2</v>
      </c>
      <c r="O109" s="157">
        <v>195.63888888888889</v>
      </c>
      <c r="P109" s="158">
        <v>184.64</v>
      </c>
      <c r="Q109" s="154">
        <v>0.66593353977498426</v>
      </c>
      <c r="R109" s="156">
        <v>0.63784939440483746</v>
      </c>
      <c r="S109" s="154">
        <v>9.6119477234007947E-2</v>
      </c>
      <c r="T109" s="156">
        <v>0.15904346384849255</v>
      </c>
      <c r="U109" s="157">
        <v>3469097</v>
      </c>
      <c r="V109" s="158">
        <v>3688716</v>
      </c>
      <c r="W109" s="157">
        <v>31077385</v>
      </c>
      <c r="X109" s="158">
        <v>37757402</v>
      </c>
      <c r="Y109" s="157">
        <v>2639626</v>
      </c>
      <c r="Z109" s="158">
        <v>2811972</v>
      </c>
      <c r="AA109" s="159">
        <v>8278190</v>
      </c>
      <c r="AB109" s="159">
        <v>6189336</v>
      </c>
      <c r="AC109" s="157">
        <v>5177751</v>
      </c>
      <c r="AD109" s="158">
        <v>367273</v>
      </c>
      <c r="AE109" s="157">
        <v>165315</v>
      </c>
      <c r="AF109" s="158">
        <v>60018</v>
      </c>
      <c r="AG109" s="157">
        <v>779888.83</v>
      </c>
      <c r="AH109" s="158">
        <v>454873.53000000148</v>
      </c>
      <c r="AI109" s="157">
        <v>7365318.2199999988</v>
      </c>
      <c r="AJ109" s="158">
        <v>11130600.41</v>
      </c>
      <c r="AK109" s="154">
        <v>5.3194630114470698E-3</v>
      </c>
      <c r="AL109" s="156">
        <v>1.5895691128324984E-3</v>
      </c>
      <c r="AM109" s="154">
        <v>3.1953818593373498E-2</v>
      </c>
      <c r="AN109" s="156">
        <v>1.5593351436248773E-2</v>
      </c>
      <c r="AO109" s="154">
        <v>0.30177383395060109</v>
      </c>
      <c r="AP109" s="156">
        <v>0.38156400063460305</v>
      </c>
      <c r="AQ109" s="154">
        <v>0.74983</v>
      </c>
      <c r="AR109" s="155">
        <v>0.62065000000000003</v>
      </c>
      <c r="AS109" s="156">
        <v>0.68520000000000003</v>
      </c>
    </row>
    <row r="110" spans="1:45" x14ac:dyDescent="0.2">
      <c r="A110" s="152">
        <v>6202</v>
      </c>
      <c r="B110" s="153" t="s">
        <v>146</v>
      </c>
      <c r="C110" s="154">
        <v>0.11456787711103673</v>
      </c>
      <c r="D110" s="156">
        <v>0.12876458508865035</v>
      </c>
      <c r="E110" s="154">
        <v>0.29331863751842963</v>
      </c>
      <c r="F110" s="156">
        <v>0.40431854220308333</v>
      </c>
      <c r="G110" s="154">
        <v>-6.7348212881334329E-2</v>
      </c>
      <c r="H110" s="156">
        <v>-3.5179023269493674E-2</v>
      </c>
      <c r="I110" s="154">
        <v>0</v>
      </c>
      <c r="J110" s="156">
        <v>0</v>
      </c>
      <c r="K110" s="157">
        <v>0</v>
      </c>
      <c r="L110" s="158">
        <v>0</v>
      </c>
      <c r="M110" s="154">
        <v>0</v>
      </c>
      <c r="N110" s="156">
        <v>0</v>
      </c>
      <c r="O110" s="157">
        <v>130.98245614035088</v>
      </c>
      <c r="P110" s="158">
        <v>175.65116279069767</v>
      </c>
      <c r="Q110" s="154">
        <v>0.53755376992586101</v>
      </c>
      <c r="R110" s="156">
        <v>0.64358634165517681</v>
      </c>
      <c r="S110" s="154">
        <v>0.28863288577510349</v>
      </c>
      <c r="T110" s="156">
        <v>0.16706989596973035</v>
      </c>
      <c r="U110" s="157">
        <v>1653431</v>
      </c>
      <c r="V110" s="158">
        <v>1941665</v>
      </c>
      <c r="W110" s="157">
        <v>15602588</v>
      </c>
      <c r="X110" s="158">
        <v>15568065</v>
      </c>
      <c r="Y110" s="157">
        <v>-971962</v>
      </c>
      <c r="Z110" s="158">
        <v>-530471</v>
      </c>
      <c r="AA110" s="159">
        <v>4887444</v>
      </c>
      <c r="AB110" s="159">
        <v>4372463</v>
      </c>
      <c r="AC110" s="157">
        <v>0</v>
      </c>
      <c r="AD110" s="158">
        <v>0</v>
      </c>
      <c r="AE110" s="157">
        <v>0</v>
      </c>
      <c r="AF110" s="158">
        <v>0</v>
      </c>
      <c r="AG110" s="157">
        <v>445212.42</v>
      </c>
      <c r="AH110" s="158">
        <v>295011.78000000073</v>
      </c>
      <c r="AI110" s="157">
        <v>6720795.2699999996</v>
      </c>
      <c r="AJ110" s="158">
        <v>5053801.91</v>
      </c>
      <c r="AK110" s="154">
        <v>0</v>
      </c>
      <c r="AL110" s="156">
        <v>0</v>
      </c>
      <c r="AM110" s="154">
        <v>3.9252490153648227E-2</v>
      </c>
      <c r="AN110" s="156">
        <v>2.2111635314993956E-2</v>
      </c>
      <c r="AO110" s="154">
        <v>0.5925440044111091</v>
      </c>
      <c r="AP110" s="156">
        <v>0.37879105976086658</v>
      </c>
      <c r="AQ110" s="154">
        <v>0.65029999999999999</v>
      </c>
      <c r="AR110" s="155">
        <v>0.58133000000000001</v>
      </c>
      <c r="AS110" s="156">
        <v>0.61580000000000001</v>
      </c>
    </row>
    <row r="111" spans="1:45" x14ac:dyDescent="0.2">
      <c r="A111" s="152">
        <v>6203</v>
      </c>
      <c r="B111" s="153" t="s">
        <v>147</v>
      </c>
      <c r="C111" s="154">
        <v>6.4215743954010585E-2</v>
      </c>
      <c r="D111" s="156">
        <v>7.3912739355237692E-2</v>
      </c>
      <c r="E111" s="154">
        <v>0.15710206991180822</v>
      </c>
      <c r="F111" s="156">
        <v>0.16953762709452225</v>
      </c>
      <c r="G111" s="154">
        <v>-3.3280046059469034E-2</v>
      </c>
      <c r="H111" s="156">
        <v>-1.8922257737810668E-2</v>
      </c>
      <c r="I111" s="154">
        <v>7.9379673899718037E-3</v>
      </c>
      <c r="J111" s="156">
        <v>3.149818072840023E-2</v>
      </c>
      <c r="K111" s="157">
        <v>3</v>
      </c>
      <c r="L111" s="158">
        <v>15</v>
      </c>
      <c r="M111" s="154">
        <v>0</v>
      </c>
      <c r="N111" s="156">
        <v>0</v>
      </c>
      <c r="O111" s="157">
        <v>95.132530120481931</v>
      </c>
      <c r="P111" s="158">
        <v>121.56923076923077</v>
      </c>
      <c r="Q111" s="154">
        <v>0.58076246609474147</v>
      </c>
      <c r="R111" s="156">
        <v>0.53114356561747589</v>
      </c>
      <c r="S111" s="154">
        <v>0.22029935047749108</v>
      </c>
      <c r="T111" s="156">
        <v>0.30705883114845872</v>
      </c>
      <c r="U111" s="157">
        <v>586676</v>
      </c>
      <c r="V111" s="158">
        <v>1010183</v>
      </c>
      <c r="W111" s="157">
        <v>9804895</v>
      </c>
      <c r="X111" s="158">
        <v>13897060</v>
      </c>
      <c r="Y111" s="157">
        <v>-304047</v>
      </c>
      <c r="Z111" s="158">
        <v>-258615</v>
      </c>
      <c r="AA111" s="159">
        <v>948854</v>
      </c>
      <c r="AB111" s="159">
        <v>757162</v>
      </c>
      <c r="AC111" s="157">
        <v>10878</v>
      </c>
      <c r="AD111" s="158">
        <v>57386</v>
      </c>
      <c r="AE111" s="157">
        <v>0</v>
      </c>
      <c r="AF111" s="158">
        <v>0</v>
      </c>
      <c r="AG111" s="157">
        <v>34914.009999999667</v>
      </c>
      <c r="AH111" s="158">
        <v>56523.869999999442</v>
      </c>
      <c r="AI111" s="157">
        <v>3710264.3200000003</v>
      </c>
      <c r="AJ111" s="158">
        <v>10270968.039999999</v>
      </c>
      <c r="AK111" s="154">
        <v>0</v>
      </c>
      <c r="AL111" s="156">
        <v>0</v>
      </c>
      <c r="AM111" s="154">
        <v>4.6149558417559492E-3</v>
      </c>
      <c r="AN111" s="156">
        <v>5.8345594496978601E-3</v>
      </c>
      <c r="AO111" s="154">
        <v>0.4904250757229785</v>
      </c>
      <c r="AP111" s="156">
        <v>1.0601994101841805</v>
      </c>
      <c r="AQ111" s="154">
        <v>0.66788999999999998</v>
      </c>
      <c r="AR111" s="155">
        <v>0.52056000000000002</v>
      </c>
      <c r="AS111" s="156">
        <v>0.59419999999999995</v>
      </c>
    </row>
    <row r="112" spans="1:45" x14ac:dyDescent="0.2">
      <c r="A112" s="152">
        <v>6204</v>
      </c>
      <c r="B112" s="153" t="s">
        <v>148</v>
      </c>
      <c r="C112" s="154">
        <v>0.1478765120160587</v>
      </c>
      <c r="D112" s="156">
        <v>0.15310776729445622</v>
      </c>
      <c r="E112" s="154">
        <v>0.57180438762183794</v>
      </c>
      <c r="F112" s="156">
        <v>0.57292773279108244</v>
      </c>
      <c r="G112" s="154">
        <v>5.7072248415967509E-2</v>
      </c>
      <c r="H112" s="156">
        <v>-1.3757377654890275E-2</v>
      </c>
      <c r="I112" s="154">
        <v>0.21312562022593023</v>
      </c>
      <c r="J112" s="156">
        <v>0.17444069148956654</v>
      </c>
      <c r="K112" s="157">
        <v>105</v>
      </c>
      <c r="L112" s="158">
        <v>93</v>
      </c>
      <c r="M112" s="154">
        <v>0</v>
      </c>
      <c r="N112" s="156">
        <v>0</v>
      </c>
      <c r="O112" s="157">
        <v>132.7079646017699</v>
      </c>
      <c r="P112" s="158">
        <v>139.54285714285714</v>
      </c>
      <c r="Q112" s="154">
        <v>0.64762909219144893</v>
      </c>
      <c r="R112" s="156">
        <v>0.66970260127191783</v>
      </c>
      <c r="S112" s="154">
        <v>0.10175973839713742</v>
      </c>
      <c r="T112" s="156">
        <v>0.10848670410708323</v>
      </c>
      <c r="U112" s="157">
        <v>2472003</v>
      </c>
      <c r="V112" s="158">
        <v>2662001</v>
      </c>
      <c r="W112" s="157">
        <v>15925208</v>
      </c>
      <c r="X112" s="158">
        <v>17645637</v>
      </c>
      <c r="Y112" s="157">
        <v>954058</v>
      </c>
      <c r="Z112" s="158">
        <v>-239192</v>
      </c>
      <c r="AA112" s="159">
        <v>5539342</v>
      </c>
      <c r="AB112" s="159">
        <v>5216505</v>
      </c>
      <c r="AC112" s="157">
        <v>789695</v>
      </c>
      <c r="AD112" s="158">
        <v>679499</v>
      </c>
      <c r="AE112" s="157">
        <v>0</v>
      </c>
      <c r="AF112" s="158">
        <v>0</v>
      </c>
      <c r="AG112" s="157">
        <v>64936.449999999386</v>
      </c>
      <c r="AH112" s="158">
        <v>88390.680000000008</v>
      </c>
      <c r="AI112" s="157">
        <v>1077982.1399999997</v>
      </c>
      <c r="AJ112" s="158">
        <v>8208858.46</v>
      </c>
      <c r="AK112" s="154">
        <v>0</v>
      </c>
      <c r="AL112" s="156">
        <v>0</v>
      </c>
      <c r="AM112" s="154">
        <v>4.9672874687547797E-3</v>
      </c>
      <c r="AN112" s="156">
        <v>5.9226049666278955E-3</v>
      </c>
      <c r="AO112" s="154">
        <v>8.2459807635981167E-2</v>
      </c>
      <c r="AP112" s="156">
        <v>0.55003339589130229</v>
      </c>
      <c r="AQ112" s="154">
        <v>0.69554000000000005</v>
      </c>
      <c r="AR112" s="155">
        <v>0.62395999999999996</v>
      </c>
      <c r="AS112" s="156">
        <v>0.65980000000000005</v>
      </c>
    </row>
    <row r="113" spans="1:45" x14ac:dyDescent="0.2">
      <c r="A113" s="152">
        <v>6205</v>
      </c>
      <c r="B113" s="153" t="s">
        <v>149</v>
      </c>
      <c r="C113" s="154">
        <v>0.18186153998996693</v>
      </c>
      <c r="D113" s="156">
        <v>0.16098187183964635</v>
      </c>
      <c r="E113" s="154">
        <v>0.4758439959951869</v>
      </c>
      <c r="F113" s="156">
        <v>0.44350389891617314</v>
      </c>
      <c r="G113" s="154">
        <v>-0.12265913822936855</v>
      </c>
      <c r="H113" s="156">
        <v>4.3484281727686818E-3</v>
      </c>
      <c r="I113" s="154">
        <v>0</v>
      </c>
      <c r="J113" s="156">
        <v>0</v>
      </c>
      <c r="K113" s="157">
        <v>0</v>
      </c>
      <c r="L113" s="158">
        <v>0</v>
      </c>
      <c r="M113" s="154">
        <v>4.0840698536522918E-2</v>
      </c>
      <c r="N113" s="156">
        <v>2.7154953823812753E-2</v>
      </c>
      <c r="O113" s="157">
        <v>133.9</v>
      </c>
      <c r="P113" s="158">
        <v>151.43181818181819</v>
      </c>
      <c r="Q113" s="154">
        <v>0.55684247407254417</v>
      </c>
      <c r="R113" s="156">
        <v>0.62537639032460068</v>
      </c>
      <c r="S113" s="154">
        <v>0.2140243036846767</v>
      </c>
      <c r="T113" s="156">
        <v>0.17101420362077449</v>
      </c>
      <c r="U113" s="157">
        <v>2590233</v>
      </c>
      <c r="V113" s="158">
        <v>2741161</v>
      </c>
      <c r="W113" s="157">
        <v>16025965</v>
      </c>
      <c r="X113" s="158">
        <v>17152739</v>
      </c>
      <c r="Y113" s="157">
        <v>-1747020</v>
      </c>
      <c r="Z113" s="158">
        <v>74044</v>
      </c>
      <c r="AA113" s="159">
        <v>1661091</v>
      </c>
      <c r="AB113" s="159">
        <v>1745595</v>
      </c>
      <c r="AC113" s="157">
        <v>0</v>
      </c>
      <c r="AD113" s="158">
        <v>0</v>
      </c>
      <c r="AE113" s="157">
        <v>145480</v>
      </c>
      <c r="AF113" s="158">
        <v>100828</v>
      </c>
      <c r="AG113" s="157">
        <v>390926.30999999959</v>
      </c>
      <c r="AH113" s="158">
        <v>397864.31999999972</v>
      </c>
      <c r="AI113" s="157">
        <v>4220776.9499999993</v>
      </c>
      <c r="AJ113" s="158">
        <v>7517778.4899999993</v>
      </c>
      <c r="AK113" s="154">
        <v>9.0777684838323301E-3</v>
      </c>
      <c r="AL113" s="156">
        <v>5.8782448680645112E-3</v>
      </c>
      <c r="AM113" s="154">
        <v>3.3980333934055432E-2</v>
      </c>
      <c r="AN113" s="156">
        <v>2.8964471333157816E-2</v>
      </c>
      <c r="AO113" s="154">
        <v>0.36688093523857251</v>
      </c>
      <c r="AP113" s="156">
        <v>0.54729330733310189</v>
      </c>
      <c r="AQ113" s="154">
        <v>0.73294999999999999</v>
      </c>
      <c r="AR113" s="155">
        <v>0.72909999999999997</v>
      </c>
      <c r="AS113" s="156">
        <v>0.73099999999999998</v>
      </c>
    </row>
    <row r="114" spans="1:45" x14ac:dyDescent="0.2">
      <c r="A114" s="152">
        <v>6206</v>
      </c>
      <c r="B114" s="153" t="s">
        <v>150</v>
      </c>
      <c r="C114" s="154">
        <v>8.5081596589155983E-2</v>
      </c>
      <c r="D114" s="156">
        <v>6.8540495428991183E-2</v>
      </c>
      <c r="E114" s="154">
        <v>0.28844414352388958</v>
      </c>
      <c r="F114" s="156">
        <v>9.7835884443122537E-2</v>
      </c>
      <c r="G114" s="154">
        <v>0.27417486185520745</v>
      </c>
      <c r="H114" s="156">
        <v>-0.12628693716953823</v>
      </c>
      <c r="I114" s="154">
        <v>0</v>
      </c>
      <c r="J114" s="156">
        <v>0.12580208076641589</v>
      </c>
      <c r="K114" s="157">
        <v>0</v>
      </c>
      <c r="L114" s="158">
        <v>87</v>
      </c>
      <c r="M114" s="154">
        <v>0</v>
      </c>
      <c r="N114" s="156">
        <v>0</v>
      </c>
      <c r="O114" s="157">
        <v>53.583333333333336</v>
      </c>
      <c r="P114" s="158">
        <v>57.676470588235297</v>
      </c>
      <c r="Q114" s="154">
        <v>0.52964776985568884</v>
      </c>
      <c r="R114" s="156">
        <v>0.33086012838016188</v>
      </c>
      <c r="S114" s="154">
        <v>0.10152092126640354</v>
      </c>
      <c r="T114" s="156">
        <v>0.46511799839303086</v>
      </c>
      <c r="U114" s="157">
        <v>758311</v>
      </c>
      <c r="V114" s="158">
        <v>753929</v>
      </c>
      <c r="W114" s="157">
        <v>6454246</v>
      </c>
      <c r="X114" s="158">
        <v>12403474</v>
      </c>
      <c r="Y114" s="157">
        <v>2443652</v>
      </c>
      <c r="Z114" s="158">
        <v>-1389126</v>
      </c>
      <c r="AA114" s="159">
        <v>3065017</v>
      </c>
      <c r="AB114" s="159">
        <v>1867428</v>
      </c>
      <c r="AC114" s="157">
        <v>0</v>
      </c>
      <c r="AD114" s="158">
        <v>170000</v>
      </c>
      <c r="AE114" s="157">
        <v>0</v>
      </c>
      <c r="AF114" s="158">
        <v>0</v>
      </c>
      <c r="AG114" s="157">
        <v>149288.12000000005</v>
      </c>
      <c r="AH114" s="158">
        <v>215805.22999999952</v>
      </c>
      <c r="AI114" s="157">
        <v>1953321.0400000003</v>
      </c>
      <c r="AJ114" s="158">
        <v>10786319.640000001</v>
      </c>
      <c r="AK114" s="154">
        <v>0</v>
      </c>
      <c r="AL114" s="156">
        <v>0</v>
      </c>
      <c r="AM114" s="154">
        <v>2.5525104989537816E-2</v>
      </c>
      <c r="AN114" s="156">
        <v>2.9640192170371695E-2</v>
      </c>
      <c r="AO114" s="154">
        <v>0.33397650545986635</v>
      </c>
      <c r="AP114" s="156">
        <v>1.4814682060330751</v>
      </c>
      <c r="AQ114" s="154">
        <v>0.69874999999999998</v>
      </c>
      <c r="AR114" s="155">
        <v>0.75285000000000002</v>
      </c>
      <c r="AS114" s="156">
        <v>0.7258</v>
      </c>
    </row>
    <row r="115" spans="1:45" x14ac:dyDescent="0.2">
      <c r="A115" s="152">
        <v>6207</v>
      </c>
      <c r="B115" s="153" t="s">
        <v>151</v>
      </c>
      <c r="C115" s="154">
        <v>0.15704685377951039</v>
      </c>
      <c r="D115" s="156">
        <v>8.9497781515786856E-2</v>
      </c>
      <c r="E115" s="154">
        <v>0.62165088894209164</v>
      </c>
      <c r="F115" s="156">
        <v>0.18062774265361975</v>
      </c>
      <c r="G115" s="154">
        <v>1.7024161456741277E-3</v>
      </c>
      <c r="H115" s="156">
        <v>5.3606095038880835E-2</v>
      </c>
      <c r="I115" s="154">
        <v>0.42625016681555955</v>
      </c>
      <c r="J115" s="156">
        <v>0.24156442851121485</v>
      </c>
      <c r="K115" s="157">
        <v>177</v>
      </c>
      <c r="L115" s="158">
        <v>98</v>
      </c>
      <c r="M115" s="154">
        <v>9.4524908113650819E-3</v>
      </c>
      <c r="N115" s="156">
        <v>9.84488429375459E-3</v>
      </c>
      <c r="O115" s="157">
        <v>256.8125</v>
      </c>
      <c r="P115" s="158">
        <v>286.95714285714286</v>
      </c>
      <c r="Q115" s="154">
        <v>0.6815347517253717</v>
      </c>
      <c r="R115" s="156">
        <v>0.48517795555639531</v>
      </c>
      <c r="S115" s="154">
        <v>9.0625319586034953E-2</v>
      </c>
      <c r="T115" s="156">
        <v>0.37570779825484002</v>
      </c>
      <c r="U115" s="157">
        <v>6065582</v>
      </c>
      <c r="V115" s="158">
        <v>5725801</v>
      </c>
      <c r="W115" s="157">
        <v>38497067</v>
      </c>
      <c r="X115" s="158">
        <v>66049188</v>
      </c>
      <c r="Y115" s="157">
        <v>65752</v>
      </c>
      <c r="Z115" s="158">
        <v>3429558</v>
      </c>
      <c r="AA115" s="159">
        <v>8996136</v>
      </c>
      <c r="AB115" s="159">
        <v>10129803</v>
      </c>
      <c r="AC115" s="157">
        <v>3634798</v>
      </c>
      <c r="AD115" s="158">
        <v>1977809</v>
      </c>
      <c r="AE115" s="157">
        <v>80605</v>
      </c>
      <c r="AF115" s="158">
        <v>80605</v>
      </c>
      <c r="AG115" s="157">
        <v>776686.80999999982</v>
      </c>
      <c r="AH115" s="158">
        <v>4022899.48</v>
      </c>
      <c r="AI115" s="157">
        <v>31230436.039999999</v>
      </c>
      <c r="AJ115" s="158">
        <v>13887069.329999998</v>
      </c>
      <c r="AK115" s="154">
        <v>2.0937958728128561E-3</v>
      </c>
      <c r="AL115" s="156">
        <v>1.2203783640761792E-3</v>
      </c>
      <c r="AM115" s="154">
        <v>2.4233884388211637E-2</v>
      </c>
      <c r="AN115" s="156">
        <v>9.508657632830142E-2</v>
      </c>
      <c r="AO115" s="154">
        <v>0.97444010461153341</v>
      </c>
      <c r="AP115" s="156">
        <v>0.32823934189463233</v>
      </c>
      <c r="AQ115" s="154">
        <v>0.69091000000000002</v>
      </c>
      <c r="AR115" s="155">
        <v>0.60082999999999998</v>
      </c>
      <c r="AS115" s="156">
        <v>0.64590000000000003</v>
      </c>
    </row>
    <row r="116" spans="1:45" x14ac:dyDescent="0.2">
      <c r="A116" s="152">
        <v>6208</v>
      </c>
      <c r="B116" s="153" t="s">
        <v>152</v>
      </c>
      <c r="C116" s="154">
        <v>9.7709969187183693E-2</v>
      </c>
      <c r="D116" s="156">
        <v>6.3010267541031714E-2</v>
      </c>
      <c r="E116" s="154">
        <v>0.29365151409352236</v>
      </c>
      <c r="F116" s="156">
        <v>0.14756188612876986</v>
      </c>
      <c r="G116" s="154">
        <v>5.5224528504275337E-3</v>
      </c>
      <c r="H116" s="156">
        <v>-1.7466529102757326E-3</v>
      </c>
      <c r="I116" s="154">
        <v>0</v>
      </c>
      <c r="J116" s="156">
        <v>0</v>
      </c>
      <c r="K116" s="157">
        <v>0</v>
      </c>
      <c r="L116" s="158">
        <v>0</v>
      </c>
      <c r="M116" s="154">
        <v>0</v>
      </c>
      <c r="N116" s="156">
        <v>0</v>
      </c>
      <c r="O116" s="157">
        <v>89.696969696969703</v>
      </c>
      <c r="P116" s="158">
        <v>87.882352941176464</v>
      </c>
      <c r="Q116" s="154">
        <v>0.64986907590580545</v>
      </c>
      <c r="R116" s="156">
        <v>0.57347667127339341</v>
      </c>
      <c r="S116" s="154">
        <v>0.17462865828031177</v>
      </c>
      <c r="T116" s="156">
        <v>0.28545800570706664</v>
      </c>
      <c r="U116" s="157">
        <v>756969</v>
      </c>
      <c r="V116" s="158">
        <v>626909</v>
      </c>
      <c r="W116" s="157">
        <v>7689952</v>
      </c>
      <c r="X116" s="158">
        <v>10212602</v>
      </c>
      <c r="Y116" s="157">
        <v>42783</v>
      </c>
      <c r="Z116" s="158">
        <v>-17378</v>
      </c>
      <c r="AA116" s="159">
        <v>1058969</v>
      </c>
      <c r="AB116" s="159">
        <v>1052609</v>
      </c>
      <c r="AC116" s="157">
        <v>0</v>
      </c>
      <c r="AD116" s="158">
        <v>0</v>
      </c>
      <c r="AE116" s="157">
        <v>0</v>
      </c>
      <c r="AF116" s="158">
        <v>0</v>
      </c>
      <c r="AG116" s="157">
        <v>140632.01999999976</v>
      </c>
      <c r="AH116" s="158">
        <v>361721.07000000047</v>
      </c>
      <c r="AI116" s="157">
        <v>41006.929999999935</v>
      </c>
      <c r="AJ116" s="158">
        <v>354717.27</v>
      </c>
      <c r="AK116" s="154">
        <v>0</v>
      </c>
      <c r="AL116" s="156">
        <v>0</v>
      </c>
      <c r="AM116" s="154">
        <v>2.1305547892253585E-2</v>
      </c>
      <c r="AN116" s="156">
        <v>4.5379230720689917E-2</v>
      </c>
      <c r="AO116" s="154">
        <v>6.2124906620077735E-3</v>
      </c>
      <c r="AP116" s="156">
        <v>4.4500578404081462E-2</v>
      </c>
      <c r="AQ116" s="154">
        <v>0.79179999999999995</v>
      </c>
      <c r="AR116" s="155">
        <v>0.69882</v>
      </c>
      <c r="AS116" s="156">
        <v>0.74529999999999996</v>
      </c>
    </row>
    <row r="117" spans="1:45" x14ac:dyDescent="0.2">
      <c r="A117" s="152">
        <v>6209</v>
      </c>
      <c r="B117" s="153" t="s">
        <v>144</v>
      </c>
      <c r="C117" s="154">
        <v>0.19513324294963999</v>
      </c>
      <c r="D117" s="156">
        <v>0.16771117762272025</v>
      </c>
      <c r="E117" s="154">
        <v>0.69355753022532274</v>
      </c>
      <c r="F117" s="156">
        <v>0.4336495189345409</v>
      </c>
      <c r="G117" s="154">
        <v>2.349160142838403E-2</v>
      </c>
      <c r="H117" s="156">
        <v>-4.0309169613668053E-2</v>
      </c>
      <c r="I117" s="154">
        <v>0.38980014959065501</v>
      </c>
      <c r="J117" s="156">
        <v>0.28720990918273004</v>
      </c>
      <c r="K117" s="157">
        <v>180</v>
      </c>
      <c r="L117" s="158">
        <v>142</v>
      </c>
      <c r="M117" s="154">
        <v>0.10092629278022157</v>
      </c>
      <c r="N117" s="156">
        <v>0.11981892130506719</v>
      </c>
      <c r="O117" s="157">
        <v>332.71851851851852</v>
      </c>
      <c r="P117" s="158">
        <v>298.89795918367349</v>
      </c>
      <c r="Q117" s="154">
        <v>0.59599332088877288</v>
      </c>
      <c r="R117" s="156">
        <v>0.53727762654094535</v>
      </c>
      <c r="S117" s="154">
        <v>8.4547496515362586E-2</v>
      </c>
      <c r="T117" s="156">
        <v>0.20029977005364666</v>
      </c>
      <c r="U117" s="157">
        <v>16127880</v>
      </c>
      <c r="V117" s="158">
        <v>17200157</v>
      </c>
      <c r="W117" s="157">
        <v>78717659</v>
      </c>
      <c r="X117" s="158">
        <v>106811870</v>
      </c>
      <c r="Y117" s="157">
        <v>1941595</v>
      </c>
      <c r="Z117" s="158">
        <v>-4134036</v>
      </c>
      <c r="AA117" s="159">
        <v>10392614</v>
      </c>
      <c r="AB117" s="159">
        <v>4559217</v>
      </c>
      <c r="AC117" s="157">
        <v>8067491</v>
      </c>
      <c r="AD117" s="158">
        <v>6252174</v>
      </c>
      <c r="AE117" s="157">
        <v>2088819</v>
      </c>
      <c r="AF117" s="158">
        <v>2608297</v>
      </c>
      <c r="AG117" s="157">
        <v>5306322.2100000037</v>
      </c>
      <c r="AH117" s="158">
        <v>6783175.599999994</v>
      </c>
      <c r="AI117" s="157">
        <v>16906029.969999999</v>
      </c>
      <c r="AJ117" s="158">
        <v>22919257</v>
      </c>
      <c r="AK117" s="154">
        <v>2.6535583330800017E-2</v>
      </c>
      <c r="AL117" s="156">
        <v>2.4419542509648038E-2</v>
      </c>
      <c r="AM117" s="154">
        <v>8.3395417079303077E-2</v>
      </c>
      <c r="AN117" s="156">
        <v>8.6991992993831049E-2</v>
      </c>
      <c r="AO117" s="154">
        <v>0.26569917255427022</v>
      </c>
      <c r="AP117" s="156">
        <v>0.293931922441727</v>
      </c>
      <c r="AQ117" s="154">
        <v>0.83604999999999996</v>
      </c>
      <c r="AR117" s="155">
        <v>0.69599</v>
      </c>
      <c r="AS117" s="156">
        <v>0.76600000000000001</v>
      </c>
    </row>
    <row r="118" spans="1:45" x14ac:dyDescent="0.2">
      <c r="A118" s="152">
        <v>6210</v>
      </c>
      <c r="B118" s="153" t="s">
        <v>153</v>
      </c>
      <c r="C118" s="154">
        <v>0.11884882737999594</v>
      </c>
      <c r="D118" s="156">
        <v>0.16478185199984072</v>
      </c>
      <c r="E118" s="154">
        <v>0.30026577503126711</v>
      </c>
      <c r="F118" s="156">
        <v>0.3225518699301726</v>
      </c>
      <c r="G118" s="154">
        <v>6.2733388756540748E-2</v>
      </c>
      <c r="H118" s="156">
        <v>-3.0145668259060135E-2</v>
      </c>
      <c r="I118" s="154">
        <v>0.2898589034468656</v>
      </c>
      <c r="J118" s="156">
        <v>0</v>
      </c>
      <c r="K118" s="157">
        <v>148</v>
      </c>
      <c r="L118" s="158">
        <v>0</v>
      </c>
      <c r="M118" s="154">
        <v>9.4071493765260875E-2</v>
      </c>
      <c r="N118" s="156">
        <v>6.5926044791593946E-2</v>
      </c>
      <c r="O118" s="157">
        <v>72.15789473684211</v>
      </c>
      <c r="P118" s="158">
        <v>72.05263157894737</v>
      </c>
      <c r="Q118" s="154">
        <v>0.54353784225537338</v>
      </c>
      <c r="R118" s="156">
        <v>0.4829466159888372</v>
      </c>
      <c r="S118" s="154">
        <v>0.19878260583548327</v>
      </c>
      <c r="T118" s="156">
        <v>0.32839524760875394</v>
      </c>
      <c r="U118" s="157">
        <v>850607</v>
      </c>
      <c r="V118" s="158">
        <v>1353078</v>
      </c>
      <c r="W118" s="157">
        <v>6627763</v>
      </c>
      <c r="X118" s="158">
        <v>8514703</v>
      </c>
      <c r="Y118" s="157">
        <v>448986</v>
      </c>
      <c r="Z118" s="158">
        <v>-247536</v>
      </c>
      <c r="AA118" s="159">
        <v>1125949</v>
      </c>
      <c r="AB118" s="159">
        <v>602319</v>
      </c>
      <c r="AC118" s="157">
        <v>406819</v>
      </c>
      <c r="AD118" s="158">
        <v>0</v>
      </c>
      <c r="AE118" s="157">
        <v>132030</v>
      </c>
      <c r="AF118" s="158">
        <v>126537</v>
      </c>
      <c r="AG118" s="157">
        <v>459048.55000000069</v>
      </c>
      <c r="AH118" s="158">
        <v>256530.88999999964</v>
      </c>
      <c r="AI118" s="157">
        <v>1590311.2999999998</v>
      </c>
      <c r="AJ118" s="158">
        <v>9302665.7300000004</v>
      </c>
      <c r="AK118" s="154">
        <v>1.9920748524049518E-2</v>
      </c>
      <c r="AL118" s="156">
        <v>1.4860999849319465E-2</v>
      </c>
      <c r="AM118" s="154">
        <v>8.5748091652960698E-2</v>
      </c>
      <c r="AN118" s="156">
        <v>3.9591442364039005E-2</v>
      </c>
      <c r="AO118" s="154">
        <v>0.29706260723215189</v>
      </c>
      <c r="AP118" s="156">
        <v>1.4357177573477269</v>
      </c>
      <c r="AQ118" s="154">
        <v>0.70511000000000001</v>
      </c>
      <c r="AR118" s="155">
        <v>0.71543000000000001</v>
      </c>
      <c r="AS118" s="156">
        <v>0.71030000000000004</v>
      </c>
    </row>
    <row r="119" spans="1:45" x14ac:dyDescent="0.2">
      <c r="A119" s="152">
        <v>6211</v>
      </c>
      <c r="B119" s="153" t="s">
        <v>154</v>
      </c>
      <c r="C119" s="154">
        <v>6.2479039931306803E-2</v>
      </c>
      <c r="D119" s="156">
        <v>0.1152129168268132</v>
      </c>
      <c r="E119" s="154">
        <v>0.18789884500260159</v>
      </c>
      <c r="F119" s="156">
        <v>0.21960465310939378</v>
      </c>
      <c r="G119" s="154">
        <v>0.10586821701438791</v>
      </c>
      <c r="H119" s="156">
        <v>-0.21788158460570237</v>
      </c>
      <c r="I119" s="154">
        <v>0</v>
      </c>
      <c r="J119" s="156">
        <v>0</v>
      </c>
      <c r="K119" s="157">
        <v>0</v>
      </c>
      <c r="L119" s="158">
        <v>0</v>
      </c>
      <c r="M119" s="154">
        <v>0</v>
      </c>
      <c r="N119" s="156">
        <v>0</v>
      </c>
      <c r="O119" s="157">
        <v>85.721518987341767</v>
      </c>
      <c r="P119" s="158">
        <v>84.707317073170728</v>
      </c>
      <c r="Q119" s="154">
        <v>0.52542465439563146</v>
      </c>
      <c r="R119" s="156">
        <v>0.51932158743966272</v>
      </c>
      <c r="S119" s="154">
        <v>0.18977000120567813</v>
      </c>
      <c r="T119" s="156">
        <v>0.2543755121576412</v>
      </c>
      <c r="U119" s="157">
        <v>497990</v>
      </c>
      <c r="V119" s="158">
        <v>847419</v>
      </c>
      <c r="W119" s="157">
        <v>7489561</v>
      </c>
      <c r="X119" s="158">
        <v>8904729</v>
      </c>
      <c r="Y119" s="157">
        <v>843824</v>
      </c>
      <c r="Z119" s="158">
        <v>-1602572</v>
      </c>
      <c r="AA119" s="159">
        <v>2658409</v>
      </c>
      <c r="AB119" s="159">
        <v>1031003</v>
      </c>
      <c r="AC119" s="157">
        <v>0</v>
      </c>
      <c r="AD119" s="158">
        <v>0</v>
      </c>
      <c r="AE119" s="157">
        <v>0</v>
      </c>
      <c r="AF119" s="158">
        <v>0</v>
      </c>
      <c r="AG119" s="157">
        <v>107875.75999999994</v>
      </c>
      <c r="AH119" s="158">
        <v>90095.220000000656</v>
      </c>
      <c r="AI119" s="157">
        <v>355641.39</v>
      </c>
      <c r="AJ119" s="158">
        <v>3327192.96</v>
      </c>
      <c r="AK119" s="154">
        <v>0</v>
      </c>
      <c r="AL119" s="156">
        <v>0</v>
      </c>
      <c r="AM119" s="154">
        <v>1.7102458820819327E-2</v>
      </c>
      <c r="AN119" s="156">
        <v>1.2904683187542875E-2</v>
      </c>
      <c r="AO119" s="154">
        <v>5.638284474152442E-2</v>
      </c>
      <c r="AP119" s="156">
        <v>0.47656658202979807</v>
      </c>
      <c r="AQ119" s="154">
        <v>0.52146000000000003</v>
      </c>
      <c r="AR119" s="155">
        <v>0.55593999999999999</v>
      </c>
      <c r="AS119" s="156">
        <v>0.53869999999999996</v>
      </c>
    </row>
    <row r="120" spans="1:45" x14ac:dyDescent="0.2">
      <c r="A120" s="152">
        <v>6301</v>
      </c>
      <c r="B120" s="153" t="s">
        <v>156</v>
      </c>
      <c r="C120" s="154">
        <v>0.15671013679878029</v>
      </c>
      <c r="D120" s="156">
        <v>0.18940172428316307</v>
      </c>
      <c r="E120" s="154">
        <v>0.41431272784304629</v>
      </c>
      <c r="F120" s="156">
        <v>0.37746080490557482</v>
      </c>
      <c r="G120" s="154">
        <v>3.1181819252478069E-2</v>
      </c>
      <c r="H120" s="156">
        <v>-0.20506794428553066</v>
      </c>
      <c r="I120" s="154">
        <v>8.6595549113259812E-2</v>
      </c>
      <c r="J120" s="156">
        <v>0</v>
      </c>
      <c r="K120" s="157">
        <v>59</v>
      </c>
      <c r="L120" s="158">
        <v>0</v>
      </c>
      <c r="M120" s="154">
        <v>0.10043314416001917</v>
      </c>
      <c r="N120" s="156">
        <v>0</v>
      </c>
      <c r="O120" s="157">
        <v>107.11363636363636</v>
      </c>
      <c r="P120" s="158">
        <v>83.535714285714292</v>
      </c>
      <c r="Q120" s="154">
        <v>0.52490876100786943</v>
      </c>
      <c r="R120" s="156">
        <v>0.5263597961565315</v>
      </c>
      <c r="S120" s="154">
        <v>0.21256519991602071</v>
      </c>
      <c r="T120" s="156">
        <v>0.25002560787741185</v>
      </c>
      <c r="U120" s="157">
        <v>2514865</v>
      </c>
      <c r="V120" s="158">
        <v>2684713</v>
      </c>
      <c r="W120" s="157">
        <v>14917964</v>
      </c>
      <c r="X120" s="158">
        <v>16791708</v>
      </c>
      <c r="Y120" s="157">
        <v>500402</v>
      </c>
      <c r="Z120" s="158">
        <v>-2906777</v>
      </c>
      <c r="AA120" s="159">
        <v>5406543</v>
      </c>
      <c r="AB120" s="159">
        <v>2247563</v>
      </c>
      <c r="AC120" s="157">
        <v>278393</v>
      </c>
      <c r="AD120" s="158">
        <v>0</v>
      </c>
      <c r="AE120" s="157">
        <v>322879</v>
      </c>
      <c r="AF120" s="158">
        <v>0</v>
      </c>
      <c r="AG120" s="157">
        <v>197120.83999999973</v>
      </c>
      <c r="AH120" s="158">
        <v>260636.27999999921</v>
      </c>
      <c r="AI120" s="157">
        <v>7689884.6900000004</v>
      </c>
      <c r="AJ120" s="158">
        <v>3486251.58</v>
      </c>
      <c r="AK120" s="154">
        <v>2.1643637161210472E-2</v>
      </c>
      <c r="AL120" s="156">
        <v>0</v>
      </c>
      <c r="AM120" s="154">
        <v>1.8614961012342817E-2</v>
      </c>
      <c r="AN120" s="156">
        <v>2.0288576109128879E-2</v>
      </c>
      <c r="AO120" s="154">
        <v>0.72618858408761922</v>
      </c>
      <c r="AP120" s="156">
        <v>0.27137849157608074</v>
      </c>
      <c r="AQ120" s="154">
        <v>0.77081999999999995</v>
      </c>
      <c r="AR120" s="155">
        <v>0.75534000000000001</v>
      </c>
      <c r="AS120" s="156">
        <v>0.7631</v>
      </c>
    </row>
    <row r="121" spans="1:45" x14ac:dyDescent="0.2">
      <c r="A121" s="152">
        <v>6302</v>
      </c>
      <c r="B121" s="153" t="s">
        <v>157</v>
      </c>
      <c r="C121" s="154">
        <v>0.14685674537857421</v>
      </c>
      <c r="D121" s="156">
        <v>0.12110448199323784</v>
      </c>
      <c r="E121" s="154">
        <v>0.30975909303005</v>
      </c>
      <c r="F121" s="156">
        <v>0.23416909713281089</v>
      </c>
      <c r="G121" s="154">
        <v>8.307812743740578E-2</v>
      </c>
      <c r="H121" s="156">
        <v>3.4159934722012252E-2</v>
      </c>
      <c r="I121" s="154">
        <v>0.75791574128809214</v>
      </c>
      <c r="J121" s="156">
        <v>0.93985424149011343</v>
      </c>
      <c r="K121" s="157">
        <v>371</v>
      </c>
      <c r="L121" s="158">
        <v>389</v>
      </c>
      <c r="M121" s="154">
        <v>1.1423801767150228</v>
      </c>
      <c r="N121" s="156">
        <v>0.88524173596700406</v>
      </c>
      <c r="O121" s="157">
        <v>180.69230769230768</v>
      </c>
      <c r="P121" s="158">
        <v>180.12820512820514</v>
      </c>
      <c r="Q121" s="154">
        <v>0.49543535105033426</v>
      </c>
      <c r="R121" s="156">
        <v>0.54300558128451204</v>
      </c>
      <c r="S121" s="154">
        <v>0.26169332902764048</v>
      </c>
      <c r="T121" s="156">
        <v>0.22146238788805842</v>
      </c>
      <c r="U121" s="157">
        <v>2460887</v>
      </c>
      <c r="V121" s="158">
        <v>1923335</v>
      </c>
      <c r="W121" s="157">
        <v>14483151</v>
      </c>
      <c r="X121" s="158">
        <v>16005097</v>
      </c>
      <c r="Y121" s="157">
        <v>1392145</v>
      </c>
      <c r="Z121" s="158">
        <v>542515</v>
      </c>
      <c r="AA121" s="159">
        <v>1609010</v>
      </c>
      <c r="AB121" s="159">
        <v>1066422</v>
      </c>
      <c r="AC121" s="157">
        <v>2611692</v>
      </c>
      <c r="AD121" s="158">
        <v>2733317</v>
      </c>
      <c r="AE121" s="157">
        <v>3936513</v>
      </c>
      <c r="AF121" s="158">
        <v>2574491</v>
      </c>
      <c r="AG121" s="157">
        <v>3843998.9500000007</v>
      </c>
      <c r="AH121" s="158">
        <v>4406554.0200000005</v>
      </c>
      <c r="AI121" s="157">
        <v>9818478.9100000001</v>
      </c>
      <c r="AJ121" s="158">
        <v>9333645.1300000008</v>
      </c>
      <c r="AK121" s="154">
        <v>0.27179948617534955</v>
      </c>
      <c r="AL121" s="156">
        <v>0.16085444530576729</v>
      </c>
      <c r="AM121" s="154">
        <v>0.28909090286934086</v>
      </c>
      <c r="AN121" s="156">
        <v>0.29573515206600337</v>
      </c>
      <c r="AO121" s="154">
        <v>0.73840627164986117</v>
      </c>
      <c r="AP121" s="156">
        <v>0.62640488447947396</v>
      </c>
      <c r="AQ121" s="154">
        <v>0.64847999999999995</v>
      </c>
      <c r="AR121" s="155">
        <v>0.75973000000000002</v>
      </c>
      <c r="AS121" s="156">
        <v>0.70409999999999995</v>
      </c>
    </row>
    <row r="122" spans="1:45" x14ac:dyDescent="0.2">
      <c r="A122" s="152">
        <v>6303</v>
      </c>
      <c r="B122" s="153" t="s">
        <v>158</v>
      </c>
      <c r="C122" s="154">
        <v>0.1266720335811912</v>
      </c>
      <c r="D122" s="156">
        <v>0.12597113891313441</v>
      </c>
      <c r="E122" s="154">
        <v>0.4623356767942236</v>
      </c>
      <c r="F122" s="156">
        <v>0.4989015927779355</v>
      </c>
      <c r="G122" s="154">
        <v>-8.4815293062801399E-3</v>
      </c>
      <c r="H122" s="156">
        <v>1.9890115453181173E-2</v>
      </c>
      <c r="I122" s="154">
        <v>0.30654408115162068</v>
      </c>
      <c r="J122" s="156">
        <v>0.23034194842192068</v>
      </c>
      <c r="K122" s="157">
        <v>115</v>
      </c>
      <c r="L122" s="158">
        <v>95</v>
      </c>
      <c r="M122" s="154">
        <v>2.4245125356310161E-2</v>
      </c>
      <c r="N122" s="156">
        <v>9.2688062930397441E-2</v>
      </c>
      <c r="O122" s="157">
        <v>140.71153846153845</v>
      </c>
      <c r="P122" s="158">
        <v>142.87128712871288</v>
      </c>
      <c r="Q122" s="154">
        <v>0.65723590836314216</v>
      </c>
      <c r="R122" s="156">
        <v>0.67991034466749378</v>
      </c>
      <c r="S122" s="154">
        <v>8.9101385059611349E-2</v>
      </c>
      <c r="T122" s="156">
        <v>9.9897951636506777E-2</v>
      </c>
      <c r="U122" s="157">
        <v>1609998</v>
      </c>
      <c r="V122" s="158">
        <v>1853836</v>
      </c>
      <c r="W122" s="157">
        <v>12761328</v>
      </c>
      <c r="X122" s="158">
        <v>14345159</v>
      </c>
      <c r="Y122" s="157">
        <v>-107800</v>
      </c>
      <c r="Z122" s="158">
        <v>292710</v>
      </c>
      <c r="AA122" s="159">
        <v>1462884</v>
      </c>
      <c r="AB122" s="159">
        <v>1738780</v>
      </c>
      <c r="AC122" s="157">
        <v>841187</v>
      </c>
      <c r="AD122" s="158">
        <v>688247</v>
      </c>
      <c r="AE122" s="157">
        <v>66531</v>
      </c>
      <c r="AF122" s="158">
        <v>276946</v>
      </c>
      <c r="AG122" s="157">
        <v>597731.75999999966</v>
      </c>
      <c r="AH122" s="158">
        <v>831576.25000000012</v>
      </c>
      <c r="AI122" s="157">
        <v>1462088.4600000002</v>
      </c>
      <c r="AJ122" s="158">
        <v>5145128.57</v>
      </c>
      <c r="AK122" s="154">
        <v>5.2134856184246651E-3</v>
      </c>
      <c r="AL122" s="156">
        <v>1.9305885699837835E-2</v>
      </c>
      <c r="AM122" s="154">
        <v>5.5808558339019369E-2</v>
      </c>
      <c r="AN122" s="156">
        <v>6.9258456939806479E-2</v>
      </c>
      <c r="AO122" s="154">
        <v>0.13651114860739044</v>
      </c>
      <c r="AP122" s="156">
        <v>0.42851592444482756</v>
      </c>
      <c r="AQ122" s="154">
        <v>0.75353999999999999</v>
      </c>
      <c r="AR122" s="155">
        <v>0.74373999999999996</v>
      </c>
      <c r="AS122" s="156">
        <v>0.74860000000000004</v>
      </c>
    </row>
    <row r="123" spans="1:45" x14ac:dyDescent="0.2">
      <c r="A123" s="152">
        <v>6304</v>
      </c>
      <c r="B123" s="153" t="s">
        <v>159</v>
      </c>
      <c r="C123" s="154">
        <v>0.16895369289741971</v>
      </c>
      <c r="D123" s="156">
        <v>0.17575693189664834</v>
      </c>
      <c r="E123" s="154">
        <v>0.97266043560159454</v>
      </c>
      <c r="F123" s="156">
        <v>0.73307614907455276</v>
      </c>
      <c r="G123" s="154">
        <v>9.4732083557504773E-2</v>
      </c>
      <c r="H123" s="156">
        <v>-6.9397880361160499E-2</v>
      </c>
      <c r="I123" s="154">
        <v>0.50618639472549598</v>
      </c>
      <c r="J123" s="156">
        <v>0.29745118204345883</v>
      </c>
      <c r="K123" s="157">
        <v>209</v>
      </c>
      <c r="L123" s="158">
        <v>138</v>
      </c>
      <c r="M123" s="154">
        <v>1.4603310648457033</v>
      </c>
      <c r="N123" s="156">
        <v>1.3521961265279332</v>
      </c>
      <c r="O123" s="157">
        <v>226.18118466898954</v>
      </c>
      <c r="P123" s="158">
        <v>220.90102389078498</v>
      </c>
      <c r="Q123" s="154">
        <v>0.63720791394761989</v>
      </c>
      <c r="R123" s="156">
        <v>0.59346842561522439</v>
      </c>
      <c r="S123" s="154">
        <v>9.3194642138693481E-2</v>
      </c>
      <c r="T123" s="156">
        <v>0.14725397191725034</v>
      </c>
      <c r="U123" s="157">
        <v>10819401</v>
      </c>
      <c r="V123" s="158">
        <v>12366524</v>
      </c>
      <c r="W123" s="157">
        <v>56274469</v>
      </c>
      <c r="X123" s="158">
        <v>73843054</v>
      </c>
      <c r="Y123" s="157">
        <v>6066422</v>
      </c>
      <c r="Z123" s="158">
        <v>-4882940</v>
      </c>
      <c r="AA123" s="159">
        <v>9954667</v>
      </c>
      <c r="AB123" s="159">
        <v>6046302</v>
      </c>
      <c r="AC123" s="157">
        <v>6789428</v>
      </c>
      <c r="AD123" s="158">
        <v>4451840</v>
      </c>
      <c r="AE123" s="157">
        <v>19587276</v>
      </c>
      <c r="AF123" s="158">
        <v>20237811</v>
      </c>
      <c r="AG123" s="157">
        <v>17458800.640000001</v>
      </c>
      <c r="AH123" s="158">
        <v>24598373.84</v>
      </c>
      <c r="AI123" s="157">
        <v>23353898.029999997</v>
      </c>
      <c r="AJ123" s="158">
        <v>62079074.039999999</v>
      </c>
      <c r="AK123" s="154">
        <v>0.34806682938225503</v>
      </c>
      <c r="AL123" s="156">
        <v>0.27406519508253274</v>
      </c>
      <c r="AM123" s="154">
        <v>0.36007647840316687</v>
      </c>
      <c r="AN123" s="156">
        <v>0.42142169565774185</v>
      </c>
      <c r="AO123" s="154">
        <v>0.48165905167407047</v>
      </c>
      <c r="AP123" s="156">
        <v>1.063544639859791</v>
      </c>
      <c r="AQ123" s="154">
        <v>0.79632999999999998</v>
      </c>
      <c r="AR123" s="155">
        <v>0.71333999999999997</v>
      </c>
      <c r="AS123" s="156">
        <v>0.75480000000000003</v>
      </c>
    </row>
    <row r="124" spans="1:45" x14ac:dyDescent="0.2">
      <c r="A124" s="152">
        <v>6305</v>
      </c>
      <c r="B124" s="153" t="s">
        <v>160</v>
      </c>
      <c r="C124" s="154">
        <v>0.12065656751914496</v>
      </c>
      <c r="D124" s="156">
        <v>9.0757837520716367E-2</v>
      </c>
      <c r="E124" s="154">
        <v>0.2868485124921219</v>
      </c>
      <c r="F124" s="156">
        <v>0.18331378938212081</v>
      </c>
      <c r="G124" s="154">
        <v>7.1274377708574728E-3</v>
      </c>
      <c r="H124" s="156">
        <v>4.2428117696447346E-2</v>
      </c>
      <c r="I124" s="154">
        <v>6.7788327998776599E-2</v>
      </c>
      <c r="J124" s="156">
        <v>3.8288318290123045E-2</v>
      </c>
      <c r="K124" s="157">
        <v>33</v>
      </c>
      <c r="L124" s="158">
        <v>19</v>
      </c>
      <c r="M124" s="154">
        <v>9.8142022708759949E-2</v>
      </c>
      <c r="N124" s="156">
        <v>8.6026680302597346E-4</v>
      </c>
      <c r="O124" s="157">
        <v>102.15555555555555</v>
      </c>
      <c r="P124" s="158">
        <v>111.31764705882352</v>
      </c>
      <c r="Q124" s="154">
        <v>0.409491919239105</v>
      </c>
      <c r="R124" s="156">
        <v>0.35852728497002567</v>
      </c>
      <c r="S124" s="154">
        <v>0.28904978460811909</v>
      </c>
      <c r="T124" s="156">
        <v>0.38770048651664735</v>
      </c>
      <c r="U124" s="157">
        <v>1406823</v>
      </c>
      <c r="V124" s="158">
        <v>1471185</v>
      </c>
      <c r="W124" s="157">
        <v>11324243</v>
      </c>
      <c r="X124" s="158">
        <v>16294612</v>
      </c>
      <c r="Y124" s="157">
        <v>83104</v>
      </c>
      <c r="Z124" s="158">
        <v>687760</v>
      </c>
      <c r="AA124" s="159">
        <v>1276519</v>
      </c>
      <c r="AB124" s="159">
        <v>1927699</v>
      </c>
      <c r="AC124" s="157">
        <v>152044</v>
      </c>
      <c r="AD124" s="158">
        <v>89104</v>
      </c>
      <c r="AE124" s="157">
        <v>220125</v>
      </c>
      <c r="AF124" s="158">
        <v>2002</v>
      </c>
      <c r="AG124" s="157">
        <v>269004.85000000102</v>
      </c>
      <c r="AH124" s="158">
        <v>61258.559999997837</v>
      </c>
      <c r="AI124" s="157">
        <v>2867796.4699999997</v>
      </c>
      <c r="AJ124" s="158">
        <v>17290680.68</v>
      </c>
      <c r="AK124" s="154">
        <v>1.9438385417903874E-2</v>
      </c>
      <c r="AL124" s="156">
        <v>1.2286269841834836E-4</v>
      </c>
      <c r="AM124" s="154">
        <v>3.140252714576966E-2</v>
      </c>
      <c r="AN124" s="156">
        <v>5.4148757718211621E-3</v>
      </c>
      <c r="AO124" s="154">
        <v>0.33477484327036128</v>
      </c>
      <c r="AP124" s="156">
        <v>1.5283886511930995</v>
      </c>
      <c r="AQ124" s="154">
        <v>0.72316999999999998</v>
      </c>
      <c r="AR124" s="155">
        <v>0.60216000000000003</v>
      </c>
      <c r="AS124" s="156">
        <v>0.66269999999999996</v>
      </c>
    </row>
    <row r="125" spans="1:45" x14ac:dyDescent="0.2">
      <c r="A125" s="152">
        <v>6306</v>
      </c>
      <c r="B125" s="153" t="s">
        <v>155</v>
      </c>
      <c r="C125" s="154">
        <v>0.22280809156462456</v>
      </c>
      <c r="D125" s="156">
        <v>0.20176073331857305</v>
      </c>
      <c r="E125" s="154">
        <v>0.78250741396421952</v>
      </c>
      <c r="F125" s="156">
        <v>0.67248723259851517</v>
      </c>
      <c r="G125" s="154">
        <v>3.5428861006960896E-2</v>
      </c>
      <c r="H125" s="156">
        <v>2.1559657646796834E-2</v>
      </c>
      <c r="I125" s="154">
        <v>0.29703245780782039</v>
      </c>
      <c r="J125" s="156">
        <v>0.50826964549024611</v>
      </c>
      <c r="K125" s="157">
        <v>139</v>
      </c>
      <c r="L125" s="158">
        <v>243</v>
      </c>
      <c r="M125" s="154">
        <v>0.57874389409393434</v>
      </c>
      <c r="N125" s="156">
        <v>0.50429187622216787</v>
      </c>
      <c r="O125" s="157">
        <v>344.69083969465646</v>
      </c>
      <c r="P125" s="158">
        <v>379.2669491525424</v>
      </c>
      <c r="Q125" s="154">
        <v>0.57762836483907043</v>
      </c>
      <c r="R125" s="156">
        <v>0.56472325538464951</v>
      </c>
      <c r="S125" s="154">
        <v>4.8514692334307968E-2</v>
      </c>
      <c r="T125" s="156">
        <v>9.4852207190771282E-2</v>
      </c>
      <c r="U125" s="157">
        <v>34383947</v>
      </c>
      <c r="V125" s="158">
        <v>34837267</v>
      </c>
      <c r="W125" s="157">
        <v>147845295</v>
      </c>
      <c r="X125" s="158">
        <v>183628758</v>
      </c>
      <c r="Y125" s="157">
        <v>5467414</v>
      </c>
      <c r="Z125" s="158">
        <v>3722625</v>
      </c>
      <c r="AA125" s="159">
        <v>3568814</v>
      </c>
      <c r="AB125" s="159">
        <v>5594022</v>
      </c>
      <c r="AC125" s="157">
        <v>12578893</v>
      </c>
      <c r="AD125" s="158">
        <v>21758346</v>
      </c>
      <c r="AE125" s="157">
        <v>24508963</v>
      </c>
      <c r="AF125" s="158">
        <v>21588063</v>
      </c>
      <c r="AG125" s="157">
        <v>34189623.600000001</v>
      </c>
      <c r="AH125" s="158">
        <v>30777399.709999993</v>
      </c>
      <c r="AI125" s="157">
        <v>61366855.159999996</v>
      </c>
      <c r="AJ125" s="158">
        <v>72075169.489999995</v>
      </c>
      <c r="AK125" s="154">
        <v>0.16577438598908406</v>
      </c>
      <c r="AL125" s="156">
        <v>0.11756362802388502</v>
      </c>
      <c r="AM125" s="154">
        <v>0.26674345280193368</v>
      </c>
      <c r="AN125" s="156">
        <v>0.20701143688863741</v>
      </c>
      <c r="AO125" s="154">
        <v>0.47877704137621913</v>
      </c>
      <c r="AP125" s="156">
        <v>0.48478378747731388</v>
      </c>
      <c r="AQ125" s="154">
        <v>0.82621999999999995</v>
      </c>
      <c r="AR125" s="155">
        <v>0.73106000000000004</v>
      </c>
      <c r="AS125" s="156">
        <v>0.77859999999999996</v>
      </c>
    </row>
    <row r="126" spans="1:45" x14ac:dyDescent="0.2">
      <c r="A126" s="152">
        <v>6307</v>
      </c>
      <c r="B126" s="153" t="s">
        <v>161</v>
      </c>
      <c r="C126" s="154">
        <v>0.33733952278868873</v>
      </c>
      <c r="D126" s="156">
        <v>0.31465371736917047</v>
      </c>
      <c r="E126" s="154">
        <v>1.0375618793621293</v>
      </c>
      <c r="F126" s="156">
        <v>0.85527996081048618</v>
      </c>
      <c r="G126" s="154">
        <v>0.10081298712000944</v>
      </c>
      <c r="H126" s="156">
        <v>4.5847024987891248E-2</v>
      </c>
      <c r="I126" s="154">
        <v>0</v>
      </c>
      <c r="J126" s="156">
        <v>0</v>
      </c>
      <c r="K126" s="157">
        <v>0</v>
      </c>
      <c r="L126" s="158">
        <v>0</v>
      </c>
      <c r="M126" s="154">
        <v>0</v>
      </c>
      <c r="N126" s="156">
        <v>0</v>
      </c>
      <c r="O126" s="157">
        <v>198.83333333333334</v>
      </c>
      <c r="P126" s="158">
        <v>192.72727272727272</v>
      </c>
      <c r="Q126" s="154">
        <v>0.6007310429580961</v>
      </c>
      <c r="R126" s="156">
        <v>0.59079565370313358</v>
      </c>
      <c r="S126" s="154">
        <v>0.14706697239043387</v>
      </c>
      <c r="T126" s="156">
        <v>0.19462241595096064</v>
      </c>
      <c r="U126" s="157">
        <v>12166075</v>
      </c>
      <c r="V126" s="158">
        <v>13634017</v>
      </c>
      <c r="W126" s="157">
        <v>32797799</v>
      </c>
      <c r="X126" s="158">
        <v>41223047</v>
      </c>
      <c r="Y126" s="157">
        <v>3635798</v>
      </c>
      <c r="Z126" s="158">
        <v>1986562</v>
      </c>
      <c r="AA126" s="159">
        <v>13161062</v>
      </c>
      <c r="AB126" s="159">
        <v>14198017</v>
      </c>
      <c r="AC126" s="157">
        <v>0</v>
      </c>
      <c r="AD126" s="158">
        <v>0</v>
      </c>
      <c r="AE126" s="157">
        <v>0</v>
      </c>
      <c r="AF126" s="158">
        <v>0</v>
      </c>
      <c r="AG126" s="157">
        <v>413324.24999999872</v>
      </c>
      <c r="AH126" s="158">
        <v>4167023.6500000013</v>
      </c>
      <c r="AI126" s="157">
        <v>8070838</v>
      </c>
      <c r="AJ126" s="158">
        <v>34205903</v>
      </c>
      <c r="AK126" s="154">
        <v>0</v>
      </c>
      <c r="AL126" s="156">
        <v>0</v>
      </c>
      <c r="AM126" s="154">
        <v>1.5753761242334307E-2</v>
      </c>
      <c r="AN126" s="156">
        <v>0.13182807584206171</v>
      </c>
      <c r="AO126" s="154">
        <v>0.30761818324852541</v>
      </c>
      <c r="AP126" s="156">
        <v>1.0821388966511398</v>
      </c>
      <c r="AQ126" s="154">
        <v>0.89276999999999995</v>
      </c>
      <c r="AR126" s="155">
        <v>0.80637000000000003</v>
      </c>
      <c r="AS126" s="156">
        <v>0.84960000000000002</v>
      </c>
    </row>
    <row r="127" spans="1:45" x14ac:dyDescent="0.2">
      <c r="A127" s="152">
        <v>6308</v>
      </c>
      <c r="B127" s="153" t="s">
        <v>162</v>
      </c>
      <c r="C127" s="154">
        <v>0.16355369319267737</v>
      </c>
      <c r="D127" s="156">
        <v>0.16993269658526269</v>
      </c>
      <c r="E127" s="154">
        <v>0.33672496806401381</v>
      </c>
      <c r="F127" s="156">
        <v>0.41177111379131087</v>
      </c>
      <c r="G127" s="154">
        <v>-7.5931926043385389E-2</v>
      </c>
      <c r="H127" s="156">
        <v>-5.5102359345211252E-2</v>
      </c>
      <c r="I127" s="154">
        <v>0.37252002410409868</v>
      </c>
      <c r="J127" s="156">
        <v>0.25755361348461137</v>
      </c>
      <c r="K127" s="157">
        <v>170</v>
      </c>
      <c r="L127" s="158">
        <v>127</v>
      </c>
      <c r="M127" s="154">
        <v>9.2724393638845908E-4</v>
      </c>
      <c r="N127" s="156">
        <v>1.4289634305447456E-3</v>
      </c>
      <c r="O127" s="157">
        <v>227.70078740157481</v>
      </c>
      <c r="P127" s="158">
        <v>212.35294117647058</v>
      </c>
      <c r="Q127" s="154">
        <v>0.51185396117741866</v>
      </c>
      <c r="R127" s="156">
        <v>0.56267195397502634</v>
      </c>
      <c r="S127" s="154">
        <v>0.28400842054179776</v>
      </c>
      <c r="T127" s="156">
        <v>0.25706104299300664</v>
      </c>
      <c r="U127" s="157">
        <v>5374148</v>
      </c>
      <c r="V127" s="158">
        <v>5904344</v>
      </c>
      <c r="W127" s="157">
        <v>35409598</v>
      </c>
      <c r="X127" s="158">
        <v>36201911</v>
      </c>
      <c r="Y127" s="157">
        <v>-2495018</v>
      </c>
      <c r="Z127" s="158">
        <v>-1914542</v>
      </c>
      <c r="AA127" s="159">
        <v>7591758</v>
      </c>
      <c r="AB127" s="159">
        <v>4969075</v>
      </c>
      <c r="AC127" s="157">
        <v>2457905</v>
      </c>
      <c r="AD127" s="158">
        <v>1835905</v>
      </c>
      <c r="AE127" s="157">
        <v>6118</v>
      </c>
      <c r="AF127" s="158">
        <v>10186</v>
      </c>
      <c r="AG127" s="157">
        <v>892513.95000000042</v>
      </c>
      <c r="AH127" s="158">
        <v>3545710.6500000018</v>
      </c>
      <c r="AI127" s="157">
        <v>10196282.260000002</v>
      </c>
      <c r="AJ127" s="158">
        <v>13575826.430000002</v>
      </c>
      <c r="AK127" s="154">
        <v>1.7277801346403312E-4</v>
      </c>
      <c r="AL127" s="156">
        <v>2.8136636212381164E-4</v>
      </c>
      <c r="AM127" s="154">
        <v>3.5992424892544651E-2</v>
      </c>
      <c r="AN127" s="156">
        <v>0.12098507804003744</v>
      </c>
      <c r="AO127" s="154">
        <v>0.41118564413053182</v>
      </c>
      <c r="AP127" s="156">
        <v>0.46322799072494886</v>
      </c>
      <c r="AQ127" s="154">
        <v>0.87336999999999998</v>
      </c>
      <c r="AR127" s="155">
        <v>0.72680999999999996</v>
      </c>
      <c r="AS127" s="156">
        <v>0.80010000000000003</v>
      </c>
    </row>
    <row r="128" spans="1:45" x14ac:dyDescent="0.2">
      <c r="A128" s="152">
        <v>6309</v>
      </c>
      <c r="B128" s="153" t="s">
        <v>163</v>
      </c>
      <c r="C128" s="154">
        <v>0.12363940350145142</v>
      </c>
      <c r="D128" s="156">
        <v>0.11444439830772216</v>
      </c>
      <c r="E128" s="154">
        <v>0.35123553209577391</v>
      </c>
      <c r="F128" s="156">
        <v>0.29878280107586969</v>
      </c>
      <c r="G128" s="154">
        <v>-2.4187599509028115E-2</v>
      </c>
      <c r="H128" s="156">
        <v>-3.8286949709998588E-3</v>
      </c>
      <c r="I128" s="154">
        <v>6.8084554254985552E-2</v>
      </c>
      <c r="J128" s="156">
        <v>0</v>
      </c>
      <c r="K128" s="157">
        <v>26</v>
      </c>
      <c r="L128" s="158">
        <v>0</v>
      </c>
      <c r="M128" s="154">
        <v>3.9216815298915393E-3</v>
      </c>
      <c r="N128" s="156">
        <v>9.2469439387895321E-4</v>
      </c>
      <c r="O128" s="157">
        <v>289.13978494623655</v>
      </c>
      <c r="P128" s="158">
        <v>315.34831460674155</v>
      </c>
      <c r="Q128" s="154">
        <v>0.57413679223138359</v>
      </c>
      <c r="R128" s="156">
        <v>0.55470813015813825</v>
      </c>
      <c r="S128" s="154">
        <v>0.19850554202357656</v>
      </c>
      <c r="T128" s="156">
        <v>0.26664458240632655</v>
      </c>
      <c r="U128" s="157">
        <v>3124252</v>
      </c>
      <c r="V128" s="158">
        <v>3563722</v>
      </c>
      <c r="W128" s="157">
        <v>26136031</v>
      </c>
      <c r="X128" s="158">
        <v>31319440</v>
      </c>
      <c r="Y128" s="157">
        <v>-611198</v>
      </c>
      <c r="Z128" s="158">
        <v>-119223</v>
      </c>
      <c r="AA128" s="159">
        <v>3803894</v>
      </c>
      <c r="AB128" s="159">
        <v>3416585</v>
      </c>
      <c r="AC128" s="157">
        <v>349999</v>
      </c>
      <c r="AD128" s="158">
        <v>0</v>
      </c>
      <c r="AE128" s="157">
        <v>20160</v>
      </c>
      <c r="AF128" s="158">
        <v>5160</v>
      </c>
      <c r="AG128" s="157">
        <v>130163.07000000012</v>
      </c>
      <c r="AH128" s="158">
        <v>1517061.6200000003</v>
      </c>
      <c r="AI128" s="157">
        <v>4991012</v>
      </c>
      <c r="AJ128" s="158">
        <v>8053537.7199999988</v>
      </c>
      <c r="AK128" s="154">
        <v>7.7134894735929869E-4</v>
      </c>
      <c r="AL128" s="156">
        <v>1.6475390364578677E-4</v>
      </c>
      <c r="AM128" s="154">
        <v>6.9708659913147999E-3</v>
      </c>
      <c r="AN128" s="156">
        <v>6.6384854785856068E-2</v>
      </c>
      <c r="AO128" s="154">
        <v>0.26729298727391748</v>
      </c>
      <c r="AP128" s="156">
        <v>0.35241345836342114</v>
      </c>
      <c r="AQ128" s="154">
        <v>0.83391999999999999</v>
      </c>
      <c r="AR128" s="155">
        <v>0.72553999999999996</v>
      </c>
      <c r="AS128" s="156">
        <v>0.77969999999999995</v>
      </c>
    </row>
    <row r="129" spans="1:45" x14ac:dyDescent="0.2">
      <c r="A129" s="152">
        <v>6310</v>
      </c>
      <c r="B129" s="153" t="s">
        <v>164</v>
      </c>
      <c r="C129" s="154">
        <v>0.16438524677391425</v>
      </c>
      <c r="D129" s="156">
        <v>0.14248210478418463</v>
      </c>
      <c r="E129" s="154">
        <v>0.53189598727450249</v>
      </c>
      <c r="F129" s="156">
        <v>0.4483346972588223</v>
      </c>
      <c r="G129" s="154">
        <v>3.4706356398695563E-2</v>
      </c>
      <c r="H129" s="156">
        <v>1.0447923695449305E-2</v>
      </c>
      <c r="I129" s="154">
        <v>0.57254077724385999</v>
      </c>
      <c r="J129" s="156">
        <v>0.46214622522931925</v>
      </c>
      <c r="K129" s="157">
        <v>219</v>
      </c>
      <c r="L129" s="158">
        <v>202</v>
      </c>
      <c r="M129" s="154">
        <v>0.7310486015068951</v>
      </c>
      <c r="N129" s="156">
        <v>0.34063634506881824</v>
      </c>
      <c r="O129" s="157">
        <v>203.4</v>
      </c>
      <c r="P129" s="158">
        <v>207.20588235294119</v>
      </c>
      <c r="Q129" s="154">
        <v>0.58120022678378525</v>
      </c>
      <c r="R129" s="156">
        <v>0.54988296689744109</v>
      </c>
      <c r="S129" s="154">
        <v>9.4854811304573225E-2</v>
      </c>
      <c r="T129" s="156">
        <v>0.18312146776949428</v>
      </c>
      <c r="U129" s="157">
        <v>5506925</v>
      </c>
      <c r="V129" s="158">
        <v>6598287</v>
      </c>
      <c r="W129" s="157">
        <v>34053581</v>
      </c>
      <c r="X129" s="158">
        <v>44555770</v>
      </c>
      <c r="Y129" s="157">
        <v>1162667</v>
      </c>
      <c r="Z129" s="158">
        <v>483839</v>
      </c>
      <c r="AA129" s="159">
        <v>2719710</v>
      </c>
      <c r="AB129" s="159">
        <v>2679647</v>
      </c>
      <c r="AC129" s="157">
        <v>4667653</v>
      </c>
      <c r="AD129" s="158">
        <v>4274292</v>
      </c>
      <c r="AE129" s="157">
        <v>5959892</v>
      </c>
      <c r="AF129" s="158">
        <v>3150473</v>
      </c>
      <c r="AG129" s="157">
        <v>16558662.180000002</v>
      </c>
      <c r="AH129" s="158">
        <v>18743921.159999996</v>
      </c>
      <c r="AI129" s="157">
        <v>31688404.590000004</v>
      </c>
      <c r="AJ129" s="158">
        <v>57863508.329999998</v>
      </c>
      <c r="AK129" s="154">
        <v>0.17501513276973721</v>
      </c>
      <c r="AL129" s="156">
        <v>7.0708530006326903E-2</v>
      </c>
      <c r="AM129" s="154">
        <v>0.58919305520106824</v>
      </c>
      <c r="AN129" s="156">
        <v>0.55834002049400067</v>
      </c>
      <c r="AO129" s="154">
        <v>1.1275420509140224</v>
      </c>
      <c r="AP129" s="156">
        <v>1.7236261372978898</v>
      </c>
      <c r="AQ129" s="154">
        <v>0.82945999999999998</v>
      </c>
      <c r="AR129" s="155">
        <v>0.68672</v>
      </c>
      <c r="AS129" s="156">
        <v>0.7581</v>
      </c>
    </row>
    <row r="130" spans="1:45" x14ac:dyDescent="0.2">
      <c r="A130" s="152">
        <v>6311</v>
      </c>
      <c r="B130" s="153" t="s">
        <v>165</v>
      </c>
      <c r="C130" s="154">
        <v>0.20641727235109597</v>
      </c>
      <c r="D130" s="156">
        <v>0.15511214394876233</v>
      </c>
      <c r="E130" s="154">
        <v>0.34772002341197278</v>
      </c>
      <c r="F130" s="156">
        <v>0.25439725202383223</v>
      </c>
      <c r="G130" s="154">
        <v>-0.19797712850404781</v>
      </c>
      <c r="H130" s="156">
        <v>4.0679463458883548E-2</v>
      </c>
      <c r="I130" s="154">
        <v>0.25841654516762502</v>
      </c>
      <c r="J130" s="156">
        <v>0.16517522077572383</v>
      </c>
      <c r="K130" s="157">
        <v>164</v>
      </c>
      <c r="L130" s="158">
        <v>124</v>
      </c>
      <c r="M130" s="154">
        <v>0.42553906823364346</v>
      </c>
      <c r="N130" s="156">
        <v>5.6360171600160804E-2</v>
      </c>
      <c r="O130" s="157">
        <v>118.32876712328768</v>
      </c>
      <c r="P130" s="158">
        <v>116.05479452054794</v>
      </c>
      <c r="Q130" s="154">
        <v>0.4415025358120816</v>
      </c>
      <c r="R130" s="156">
        <v>0.38349631807222195</v>
      </c>
      <c r="S130" s="154">
        <v>0.32815132708861189</v>
      </c>
      <c r="T130" s="156">
        <v>0.49045442353649682</v>
      </c>
      <c r="U130" s="157">
        <v>2190407</v>
      </c>
      <c r="V130" s="158">
        <v>2621018</v>
      </c>
      <c r="W130" s="157">
        <v>12601683</v>
      </c>
      <c r="X130" s="158">
        <v>16781019</v>
      </c>
      <c r="Y130" s="157">
        <v>-2100844</v>
      </c>
      <c r="Z130" s="158">
        <v>687384</v>
      </c>
      <c r="AA130" s="159">
        <v>1359102</v>
      </c>
      <c r="AB130" s="159">
        <v>1864211</v>
      </c>
      <c r="AC130" s="157">
        <v>710208</v>
      </c>
      <c r="AD130" s="158">
        <v>525095</v>
      </c>
      <c r="AE130" s="157">
        <v>1169512</v>
      </c>
      <c r="AF130" s="158">
        <v>179170</v>
      </c>
      <c r="AG130" s="157">
        <v>2963294.2800000003</v>
      </c>
      <c r="AH130" s="158">
        <v>1725898.530000001</v>
      </c>
      <c r="AI130" s="157">
        <v>7925327.2800000012</v>
      </c>
      <c r="AJ130" s="158">
        <v>9378786.4100000001</v>
      </c>
      <c r="AK130" s="154">
        <v>9.2806016466213281E-2</v>
      </c>
      <c r="AL130" s="156">
        <v>1.067694399249533E-2</v>
      </c>
      <c r="AM130" s="154">
        <v>0.33224155004049738</v>
      </c>
      <c r="AN130" s="156">
        <v>0.14873469659655883</v>
      </c>
      <c r="AO130" s="154">
        <v>0.88857965874568468</v>
      </c>
      <c r="AP130" s="156">
        <v>0.80824621313935441</v>
      </c>
      <c r="AQ130" s="154">
        <v>0.86089000000000004</v>
      </c>
      <c r="AR130" s="155">
        <v>0.76053000000000004</v>
      </c>
      <c r="AS130" s="156">
        <v>0.81069999999999998</v>
      </c>
    </row>
    <row r="131" spans="1:45" x14ac:dyDescent="0.2">
      <c r="A131" s="152">
        <v>6312</v>
      </c>
      <c r="B131" s="160" t="s">
        <v>166</v>
      </c>
      <c r="C131" s="154">
        <v>0.10114035730852765</v>
      </c>
      <c r="D131" s="156">
        <v>0.10165390833103555</v>
      </c>
      <c r="E131" s="154">
        <v>0.24096824223461477</v>
      </c>
      <c r="F131" s="156">
        <v>0.25183152444347079</v>
      </c>
      <c r="G131" s="154">
        <v>2.596554021144127E-2</v>
      </c>
      <c r="H131" s="156">
        <v>-5.484909515781812E-2</v>
      </c>
      <c r="I131" s="154">
        <v>0</v>
      </c>
      <c r="J131" s="156">
        <v>0</v>
      </c>
      <c r="K131" s="157">
        <v>0</v>
      </c>
      <c r="L131" s="158">
        <v>0</v>
      </c>
      <c r="M131" s="154">
        <v>0</v>
      </c>
      <c r="N131" s="156">
        <v>0</v>
      </c>
      <c r="O131" s="157">
        <v>120.8974358974359</v>
      </c>
      <c r="P131" s="158">
        <v>120.48717948717949</v>
      </c>
      <c r="Q131" s="154">
        <v>0.49909966191059218</v>
      </c>
      <c r="R131" s="156">
        <v>0.54347268017401029</v>
      </c>
      <c r="S131" s="154">
        <v>0.35689117172240903</v>
      </c>
      <c r="T131" s="156">
        <v>0.30478237446364154</v>
      </c>
      <c r="U131" s="157">
        <v>1160151</v>
      </c>
      <c r="V131" s="158">
        <v>1274850</v>
      </c>
      <c r="W131" s="157">
        <v>11240222</v>
      </c>
      <c r="X131" s="158">
        <v>12999003</v>
      </c>
      <c r="Y131" s="157">
        <v>297843</v>
      </c>
      <c r="Z131" s="158">
        <v>-687867</v>
      </c>
      <c r="AA131" s="159">
        <v>4515674</v>
      </c>
      <c r="AB131" s="159">
        <v>3833421</v>
      </c>
      <c r="AC131" s="157">
        <v>0</v>
      </c>
      <c r="AD131" s="158">
        <v>0</v>
      </c>
      <c r="AE131" s="157">
        <v>0</v>
      </c>
      <c r="AF131" s="158">
        <v>0</v>
      </c>
      <c r="AG131" s="157">
        <v>106589.05000000009</v>
      </c>
      <c r="AH131" s="158">
        <v>69289.760000000257</v>
      </c>
      <c r="AI131" s="157">
        <v>3367904.3999999994</v>
      </c>
      <c r="AJ131" s="158">
        <v>7199130.1999999993</v>
      </c>
      <c r="AK131" s="154">
        <v>0</v>
      </c>
      <c r="AL131" s="156">
        <v>0</v>
      </c>
      <c r="AM131" s="154">
        <v>1.4013525887915785E-2</v>
      </c>
      <c r="AN131" s="156">
        <v>7.2466434872278914E-3</v>
      </c>
      <c r="AO131" s="154">
        <v>0.44278671681026738</v>
      </c>
      <c r="AP131" s="156">
        <v>0.7529183241150702</v>
      </c>
      <c r="AQ131" s="154">
        <v>0.92888000000000004</v>
      </c>
      <c r="AR131" s="155">
        <v>0.84923999999999999</v>
      </c>
      <c r="AS131" s="156">
        <v>0.8891</v>
      </c>
    </row>
    <row r="132" spans="1:45" x14ac:dyDescent="0.2">
      <c r="A132" s="152">
        <v>6401</v>
      </c>
      <c r="B132" s="153" t="s">
        <v>168</v>
      </c>
      <c r="C132" s="154">
        <v>0.15496741724865637</v>
      </c>
      <c r="D132" s="156">
        <v>0.15658203222129852</v>
      </c>
      <c r="E132" s="154">
        <v>0.48794733564902532</v>
      </c>
      <c r="F132" s="156">
        <v>0.34539710875562529</v>
      </c>
      <c r="G132" s="154">
        <v>1.0586088139609011E-2</v>
      </c>
      <c r="H132" s="156">
        <v>-7.7811927898192995E-2</v>
      </c>
      <c r="I132" s="154">
        <v>0</v>
      </c>
      <c r="J132" s="156">
        <v>0</v>
      </c>
      <c r="K132" s="157">
        <v>0</v>
      </c>
      <c r="L132" s="158">
        <v>0</v>
      </c>
      <c r="M132" s="154">
        <v>0</v>
      </c>
      <c r="N132" s="156">
        <v>0</v>
      </c>
      <c r="O132" s="157">
        <v>137.04878048780489</v>
      </c>
      <c r="P132" s="158">
        <v>132.14285714285714</v>
      </c>
      <c r="Q132" s="154">
        <v>0.54771560962898047</v>
      </c>
      <c r="R132" s="156">
        <v>0.48730527129757323</v>
      </c>
      <c r="S132" s="154">
        <v>0.21770107892421575</v>
      </c>
      <c r="T132" s="156">
        <v>0.28829752285370591</v>
      </c>
      <c r="U132" s="157">
        <v>2162060</v>
      </c>
      <c r="V132" s="158">
        <v>2625943</v>
      </c>
      <c r="W132" s="157">
        <v>13668986</v>
      </c>
      <c r="X132" s="158">
        <v>18032524</v>
      </c>
      <c r="Y132" s="157">
        <v>147694</v>
      </c>
      <c r="Z132" s="158">
        <v>-1304937</v>
      </c>
      <c r="AA132" s="159">
        <v>3533548</v>
      </c>
      <c r="AB132" s="159">
        <v>2208751</v>
      </c>
      <c r="AC132" s="157">
        <v>0</v>
      </c>
      <c r="AD132" s="158">
        <v>0</v>
      </c>
      <c r="AE132" s="157">
        <v>0</v>
      </c>
      <c r="AF132" s="158">
        <v>0</v>
      </c>
      <c r="AG132" s="157">
        <v>104545.25000000045</v>
      </c>
      <c r="AH132" s="158">
        <v>288412.90000000008</v>
      </c>
      <c r="AI132" s="157">
        <v>2551175.69</v>
      </c>
      <c r="AJ132" s="158">
        <v>5852161.6800000016</v>
      </c>
      <c r="AK132" s="154">
        <v>0</v>
      </c>
      <c r="AL132" s="156">
        <v>0</v>
      </c>
      <c r="AM132" s="154">
        <v>9.0382681493731323E-3</v>
      </c>
      <c r="AN132" s="156">
        <v>2.0786901839327902E-2</v>
      </c>
      <c r="AO132" s="154">
        <v>0.22055722266082797</v>
      </c>
      <c r="AP132" s="156">
        <v>0.42178526130431843</v>
      </c>
      <c r="AQ132" s="154">
        <v>0.74836000000000003</v>
      </c>
      <c r="AR132" s="155">
        <v>0.76749000000000001</v>
      </c>
      <c r="AS132" s="156">
        <v>0.75790000000000002</v>
      </c>
    </row>
    <row r="133" spans="1:45" x14ac:dyDescent="0.2">
      <c r="A133" s="152">
        <v>6402</v>
      </c>
      <c r="B133" s="153" t="s">
        <v>169</v>
      </c>
      <c r="C133" s="154">
        <v>9.5212771893106313E-2</v>
      </c>
      <c r="D133" s="156">
        <v>8.8678621737701344E-2</v>
      </c>
      <c r="E133" s="154">
        <v>0.17927893034649903</v>
      </c>
      <c r="F133" s="156">
        <v>0.128186643330649</v>
      </c>
      <c r="G133" s="154">
        <v>0.12126739415340704</v>
      </c>
      <c r="H133" s="156">
        <v>-0.13953483321667989</v>
      </c>
      <c r="I133" s="154">
        <v>0</v>
      </c>
      <c r="J133" s="156">
        <v>0</v>
      </c>
      <c r="K133" s="157">
        <v>0</v>
      </c>
      <c r="L133" s="158">
        <v>0</v>
      </c>
      <c r="M133" s="154">
        <v>0</v>
      </c>
      <c r="N133" s="156">
        <v>0</v>
      </c>
      <c r="O133" s="157">
        <v>58.738461538461536</v>
      </c>
      <c r="P133" s="158">
        <v>67.873015873015873</v>
      </c>
      <c r="Q133" s="154">
        <v>0.42497872747743581</v>
      </c>
      <c r="R133" s="156">
        <v>0.37421293063718136</v>
      </c>
      <c r="S133" s="154">
        <v>0.35463066723005576</v>
      </c>
      <c r="T133" s="156">
        <v>0.40852636523612218</v>
      </c>
      <c r="U133" s="157">
        <v>767911</v>
      </c>
      <c r="V133" s="158">
        <v>694179</v>
      </c>
      <c r="W133" s="157">
        <v>7563748</v>
      </c>
      <c r="X133" s="158">
        <v>9015565</v>
      </c>
      <c r="Y133" s="157">
        <v>978047</v>
      </c>
      <c r="Z133" s="158">
        <v>-1092283</v>
      </c>
      <c r="AA133" s="159">
        <v>3193261</v>
      </c>
      <c r="AB133" s="159">
        <v>2100978</v>
      </c>
      <c r="AC133" s="157">
        <v>0</v>
      </c>
      <c r="AD133" s="158">
        <v>0</v>
      </c>
      <c r="AE133" s="157">
        <v>0</v>
      </c>
      <c r="AF133" s="158">
        <v>0</v>
      </c>
      <c r="AG133" s="157">
        <v>98791.990000000078</v>
      </c>
      <c r="AH133" s="158">
        <v>287835.82000000012</v>
      </c>
      <c r="AI133" s="157">
        <v>503126.05000000028</v>
      </c>
      <c r="AJ133" s="158">
        <v>290475.52000000048</v>
      </c>
      <c r="AK133" s="154">
        <v>0</v>
      </c>
      <c r="AL133" s="156">
        <v>0</v>
      </c>
      <c r="AM133" s="154">
        <v>1.6779263293251773E-2</v>
      </c>
      <c r="AN133" s="156">
        <v>4.1060668503753152E-2</v>
      </c>
      <c r="AO133" s="154">
        <v>8.5453126945248842E-2</v>
      </c>
      <c r="AP133" s="156">
        <v>4.1437229859630859E-2</v>
      </c>
      <c r="AQ133" s="154">
        <v>0.59367999999999999</v>
      </c>
      <c r="AR133" s="155">
        <v>0.65325999999999995</v>
      </c>
      <c r="AS133" s="156">
        <v>0.62350000000000005</v>
      </c>
    </row>
    <row r="134" spans="1:45" x14ac:dyDescent="0.2">
      <c r="A134" s="152">
        <v>6403</v>
      </c>
      <c r="B134" s="153" t="s">
        <v>170</v>
      </c>
      <c r="C134" s="154">
        <v>0.16105369886384385</v>
      </c>
      <c r="D134" s="156">
        <v>0.16908016909842849</v>
      </c>
      <c r="E134" s="154">
        <v>0.54700950212292676</v>
      </c>
      <c r="F134" s="156">
        <v>0.32025795146257557</v>
      </c>
      <c r="G134" s="154">
        <v>0.17238632064973605</v>
      </c>
      <c r="H134" s="156">
        <v>-9.5488564602801446E-2</v>
      </c>
      <c r="I134" s="154">
        <v>9.2861844710662011E-3</v>
      </c>
      <c r="J134" s="156">
        <v>6.1840468238434886E-3</v>
      </c>
      <c r="K134" s="157">
        <v>11</v>
      </c>
      <c r="L134" s="158">
        <v>7</v>
      </c>
      <c r="M134" s="154">
        <v>0</v>
      </c>
      <c r="N134" s="156">
        <v>0</v>
      </c>
      <c r="O134" s="157">
        <v>47.230769230769234</v>
      </c>
      <c r="P134" s="158">
        <v>51.230769230769234</v>
      </c>
      <c r="Q134" s="154">
        <v>0.58977299540909911</v>
      </c>
      <c r="R134" s="156">
        <v>0.4662804348488887</v>
      </c>
      <c r="S134" s="154">
        <v>0.16833544363992034</v>
      </c>
      <c r="T134" s="156">
        <v>0.33604251045449152</v>
      </c>
      <c r="U134" s="157">
        <v>934947</v>
      </c>
      <c r="V134" s="158">
        <v>1027849</v>
      </c>
      <c r="W134" s="157">
        <v>4699949</v>
      </c>
      <c r="X134" s="158">
        <v>6625382</v>
      </c>
      <c r="Y134" s="157">
        <v>1000735</v>
      </c>
      <c r="Z134" s="158">
        <v>-580481</v>
      </c>
      <c r="AA134" s="159">
        <v>2904782</v>
      </c>
      <c r="AB134" s="159">
        <v>2327637</v>
      </c>
      <c r="AC134" s="157">
        <v>13952</v>
      </c>
      <c r="AD134" s="158">
        <v>9956</v>
      </c>
      <c r="AE134" s="157">
        <v>0</v>
      </c>
      <c r="AF134" s="158">
        <v>0</v>
      </c>
      <c r="AG134" s="157">
        <v>40985.560000000056</v>
      </c>
      <c r="AH134" s="158">
        <v>4803.2299999999814</v>
      </c>
      <c r="AI134" s="157">
        <v>1506585.18</v>
      </c>
      <c r="AJ134" s="158">
        <v>1526393.39</v>
      </c>
      <c r="AK134" s="154">
        <v>0</v>
      </c>
      <c r="AL134" s="156">
        <v>0</v>
      </c>
      <c r="AM134" s="154">
        <v>1.0177394895653655E-2</v>
      </c>
      <c r="AN134" s="156">
        <v>9.7083864072119996E-4</v>
      </c>
      <c r="AO134" s="154">
        <v>0.37411010904326841</v>
      </c>
      <c r="AP134" s="156">
        <v>0.3085177440916696</v>
      </c>
      <c r="AQ134" s="154">
        <v>0.59040999999999999</v>
      </c>
      <c r="AR134" s="155">
        <v>0.65156999999999998</v>
      </c>
      <c r="AS134" s="156">
        <v>0.621</v>
      </c>
    </row>
    <row r="135" spans="1:45" x14ac:dyDescent="0.2">
      <c r="A135" s="152">
        <v>6404</v>
      </c>
      <c r="B135" s="153" t="s">
        <v>167</v>
      </c>
      <c r="C135" s="154">
        <v>0.29225505276889829</v>
      </c>
      <c r="D135" s="156">
        <v>0.27230498364189315</v>
      </c>
      <c r="E135" s="154">
        <v>0.72494047816212803</v>
      </c>
      <c r="F135" s="156">
        <v>0.80882356892795526</v>
      </c>
      <c r="G135" s="154">
        <v>-0.18327619132040532</v>
      </c>
      <c r="H135" s="156">
        <v>-2.8524588508850063E-2</v>
      </c>
      <c r="I135" s="154">
        <v>0.98205605413228569</v>
      </c>
      <c r="J135" s="156">
        <v>0.62069698359753922</v>
      </c>
      <c r="K135" s="157">
        <v>493</v>
      </c>
      <c r="L135" s="158">
        <v>386</v>
      </c>
      <c r="M135" s="154">
        <v>0.1421482798432526</v>
      </c>
      <c r="N135" s="156">
        <v>8.6814705976763287E-2</v>
      </c>
      <c r="O135" s="157">
        <v>490.97922848664689</v>
      </c>
      <c r="P135" s="158">
        <v>472.94219653179192</v>
      </c>
      <c r="Q135" s="154">
        <v>0.53990866236162938</v>
      </c>
      <c r="R135" s="156">
        <v>0.56051235456362225</v>
      </c>
      <c r="S135" s="154">
        <v>0.13709801433627444</v>
      </c>
      <c r="T135" s="156">
        <v>0.11466477565966804</v>
      </c>
      <c r="U135" s="157">
        <v>35739546</v>
      </c>
      <c r="V135" s="158">
        <v>45150345</v>
      </c>
      <c r="W135" s="157">
        <v>145385191</v>
      </c>
      <c r="X135" s="158">
        <v>168443586</v>
      </c>
      <c r="Y135" s="157">
        <v>-22412642</v>
      </c>
      <c r="Z135" s="158">
        <v>-4729605</v>
      </c>
      <c r="AA135" s="159">
        <v>41677754</v>
      </c>
      <c r="AB135" s="159">
        <v>30287393</v>
      </c>
      <c r="AC135" s="157">
        <v>40779530</v>
      </c>
      <c r="AD135" s="158">
        <v>31615415</v>
      </c>
      <c r="AE135" s="157">
        <v>5902657</v>
      </c>
      <c r="AF135" s="158">
        <v>4421937</v>
      </c>
      <c r="AG135" s="157">
        <v>10154426.4</v>
      </c>
      <c r="AH135" s="158">
        <v>5864647.1100000013</v>
      </c>
      <c r="AI135" s="157">
        <v>44368303.250000007</v>
      </c>
      <c r="AJ135" s="158">
        <v>49880752.490000002</v>
      </c>
      <c r="AK135" s="154">
        <v>4.0600125496963443E-2</v>
      </c>
      <c r="AL135" s="156">
        <v>2.6251738668161578E-2</v>
      </c>
      <c r="AM135" s="154">
        <v>8.8009501853595212E-2</v>
      </c>
      <c r="AN135" s="156">
        <v>4.417515802834189E-2</v>
      </c>
      <c r="AO135" s="154">
        <v>0.38454483919660393</v>
      </c>
      <c r="AP135" s="156">
        <v>0.37572424776609581</v>
      </c>
      <c r="AQ135" s="154">
        <v>0.85089999999999999</v>
      </c>
      <c r="AR135" s="155">
        <v>0.77373000000000003</v>
      </c>
      <c r="AS135" s="156">
        <v>0.81230000000000002</v>
      </c>
    </row>
    <row r="136" spans="1:45" x14ac:dyDescent="0.2">
      <c r="A136" s="152">
        <v>6405</v>
      </c>
      <c r="B136" s="153" t="s">
        <v>171</v>
      </c>
      <c r="C136" s="154">
        <v>0.22855690633284426</v>
      </c>
      <c r="D136" s="156">
        <v>0.20999860471298204</v>
      </c>
      <c r="E136" s="154">
        <v>0.50616039185877204</v>
      </c>
      <c r="F136" s="156">
        <v>0.36096832015038849</v>
      </c>
      <c r="G136" s="154">
        <v>3.7307964862236302E-2</v>
      </c>
      <c r="H136" s="156">
        <v>-0.11837300872004622</v>
      </c>
      <c r="I136" s="154">
        <v>3.0803973688046001E-2</v>
      </c>
      <c r="J136" s="156">
        <v>2.8054271038331417E-2</v>
      </c>
      <c r="K136" s="157">
        <v>18</v>
      </c>
      <c r="L136" s="158">
        <v>16</v>
      </c>
      <c r="M136" s="154">
        <v>1.7621524492518938E-2</v>
      </c>
      <c r="N136" s="156">
        <v>1.8013902472540224E-2</v>
      </c>
      <c r="O136" s="157">
        <v>306.38181818181818</v>
      </c>
      <c r="P136" s="158">
        <v>294.59649122807019</v>
      </c>
      <c r="Q136" s="154">
        <v>0.56400367513900362</v>
      </c>
      <c r="R136" s="156">
        <v>0.53404293181933471</v>
      </c>
      <c r="S136" s="154">
        <v>9.9304515859606229E-2</v>
      </c>
      <c r="T136" s="156">
        <v>0.21469874790077895</v>
      </c>
      <c r="U136" s="157">
        <v>7939352</v>
      </c>
      <c r="V136" s="158">
        <v>7806729</v>
      </c>
      <c r="W136" s="157">
        <v>33327719</v>
      </c>
      <c r="X136" s="158">
        <v>42066794</v>
      </c>
      <c r="Y136" s="157">
        <v>1295962</v>
      </c>
      <c r="Z136" s="158">
        <v>-4400534</v>
      </c>
      <c r="AA136" s="159">
        <v>10806511</v>
      </c>
      <c r="AB136" s="159">
        <v>6286050</v>
      </c>
      <c r="AC136" s="157">
        <v>306036</v>
      </c>
      <c r="AD136" s="158">
        <v>275000</v>
      </c>
      <c r="AE136" s="157">
        <v>175069</v>
      </c>
      <c r="AF136" s="158">
        <v>176580</v>
      </c>
      <c r="AG136" s="157">
        <v>886095.41999999958</v>
      </c>
      <c r="AH136" s="158">
        <v>505425.12000000145</v>
      </c>
      <c r="AI136" s="157">
        <v>12434029.420000002</v>
      </c>
      <c r="AJ136" s="158">
        <v>13013683.880000001</v>
      </c>
      <c r="AK136" s="154">
        <v>5.2529547551694129E-3</v>
      </c>
      <c r="AL136" s="156">
        <v>4.1976101149994935E-3</v>
      </c>
      <c r="AM136" s="154">
        <v>3.2685689779883356E-2</v>
      </c>
      <c r="AN136" s="156">
        <v>1.5173419603576181E-2</v>
      </c>
      <c r="AO136" s="154">
        <v>0.45865808485508619</v>
      </c>
      <c r="AP136" s="156">
        <v>0.39068514461555609</v>
      </c>
      <c r="AQ136" s="154">
        <v>0.73231000000000002</v>
      </c>
      <c r="AR136" s="155">
        <v>0.70718000000000003</v>
      </c>
      <c r="AS136" s="156">
        <v>0.71970000000000001</v>
      </c>
    </row>
    <row r="137" spans="1:45" x14ac:dyDescent="0.2">
      <c r="A137" s="152">
        <v>6406</v>
      </c>
      <c r="B137" s="153" t="s">
        <v>172</v>
      </c>
      <c r="C137" s="154">
        <v>0.17938411352925665</v>
      </c>
      <c r="D137" s="156">
        <v>0.1389313177299554</v>
      </c>
      <c r="E137" s="154">
        <v>0.3532883385301766</v>
      </c>
      <c r="F137" s="156">
        <v>0.28155775180445691</v>
      </c>
      <c r="G137" s="154">
        <v>3.0732292616669952E-3</v>
      </c>
      <c r="H137" s="156">
        <v>-2.7416102802473009E-2</v>
      </c>
      <c r="I137" s="154">
        <v>0</v>
      </c>
      <c r="J137" s="156">
        <v>0</v>
      </c>
      <c r="K137" s="157">
        <v>0</v>
      </c>
      <c r="L137" s="158">
        <v>0</v>
      </c>
      <c r="M137" s="154">
        <v>0</v>
      </c>
      <c r="N137" s="156">
        <v>0</v>
      </c>
      <c r="O137" s="157">
        <v>54.111111111111114</v>
      </c>
      <c r="P137" s="158">
        <v>53.984126984126981</v>
      </c>
      <c r="Q137" s="154">
        <v>0.48032968254732111</v>
      </c>
      <c r="R137" s="156">
        <v>0.47876944786738207</v>
      </c>
      <c r="S137" s="154">
        <v>0.25827669403669656</v>
      </c>
      <c r="T137" s="156">
        <v>0.29631295145454001</v>
      </c>
      <c r="U137" s="157">
        <v>2293237</v>
      </c>
      <c r="V137" s="158">
        <v>2023613</v>
      </c>
      <c r="W137" s="157">
        <v>12655083</v>
      </c>
      <c r="X137" s="158">
        <v>14870268</v>
      </c>
      <c r="Y137" s="157">
        <v>39288</v>
      </c>
      <c r="Z137" s="158">
        <v>-399331</v>
      </c>
      <c r="AA137" s="159">
        <v>3450932</v>
      </c>
      <c r="AB137" s="159">
        <v>3272621</v>
      </c>
      <c r="AC137" s="157">
        <v>0</v>
      </c>
      <c r="AD137" s="158">
        <v>0</v>
      </c>
      <c r="AE137" s="157">
        <v>0</v>
      </c>
      <c r="AF137" s="158">
        <v>0</v>
      </c>
      <c r="AG137" s="157">
        <v>144301.04999999932</v>
      </c>
      <c r="AH137" s="158">
        <v>2339893.37</v>
      </c>
      <c r="AI137" s="157">
        <v>833943.48</v>
      </c>
      <c r="AJ137" s="158">
        <v>9898229.1899999995</v>
      </c>
      <c r="AK137" s="154">
        <v>0</v>
      </c>
      <c r="AL137" s="156">
        <v>0</v>
      </c>
      <c r="AM137" s="154">
        <v>1.3442786129903071E-2</v>
      </c>
      <c r="AN137" s="156">
        <v>0.18447665215436765</v>
      </c>
      <c r="AO137" s="154">
        <v>7.768844264173512E-2</v>
      </c>
      <c r="AP137" s="156">
        <v>0.78037410022142928</v>
      </c>
      <c r="AQ137" s="154">
        <v>0.47954000000000002</v>
      </c>
      <c r="AR137" s="155">
        <v>0.46084000000000003</v>
      </c>
      <c r="AS137" s="156">
        <v>0.47020000000000001</v>
      </c>
    </row>
    <row r="138" spans="1:45" x14ac:dyDescent="0.2">
      <c r="A138" s="152">
        <v>6501</v>
      </c>
      <c r="B138" s="153" t="s">
        <v>174</v>
      </c>
      <c r="C138" s="154">
        <v>0.18924794924676022</v>
      </c>
      <c r="D138" s="156">
        <v>0.19327204061072886</v>
      </c>
      <c r="E138" s="154">
        <v>0.57302892112179393</v>
      </c>
      <c r="F138" s="156">
        <v>0.48874760053076421</v>
      </c>
      <c r="G138" s="154">
        <v>-2.6221087626997073E-2</v>
      </c>
      <c r="H138" s="156">
        <v>-0.11582880004155532</v>
      </c>
      <c r="I138" s="154">
        <v>0.37519104336025505</v>
      </c>
      <c r="J138" s="156">
        <v>0.32281652586501336</v>
      </c>
      <c r="K138" s="157">
        <v>182</v>
      </c>
      <c r="L138" s="158">
        <v>169</v>
      </c>
      <c r="M138" s="154">
        <v>5.9273672907416433E-2</v>
      </c>
      <c r="N138" s="156">
        <v>5.58666569155329E-2</v>
      </c>
      <c r="O138" s="157">
        <v>202.48648648648648</v>
      </c>
      <c r="P138" s="158">
        <v>140.46153846153845</v>
      </c>
      <c r="Q138" s="154">
        <v>0.57797282454312371</v>
      </c>
      <c r="R138" s="156">
        <v>0.61308462698247579</v>
      </c>
      <c r="S138" s="154">
        <v>0.20425214209479095</v>
      </c>
      <c r="T138" s="156">
        <v>0.18112927502363615</v>
      </c>
      <c r="U138" s="157">
        <v>2648452</v>
      </c>
      <c r="V138" s="158">
        <v>2820341</v>
      </c>
      <c r="W138" s="157">
        <v>14281931</v>
      </c>
      <c r="X138" s="158">
        <v>16308711</v>
      </c>
      <c r="Y138" s="157">
        <v>-366954</v>
      </c>
      <c r="Z138" s="158">
        <v>-1690243</v>
      </c>
      <c r="AA138" s="159">
        <v>3021851</v>
      </c>
      <c r="AB138" s="159">
        <v>1109870</v>
      </c>
      <c r="AC138" s="157">
        <v>1366878</v>
      </c>
      <c r="AD138" s="158">
        <v>1231526</v>
      </c>
      <c r="AE138" s="157">
        <v>215943</v>
      </c>
      <c r="AF138" s="158">
        <v>213128</v>
      </c>
      <c r="AG138" s="157">
        <v>437142.03000000014</v>
      </c>
      <c r="AH138" s="158">
        <v>508495.26999999938</v>
      </c>
      <c r="AI138" s="157">
        <v>5531603.5700000003</v>
      </c>
      <c r="AJ138" s="158">
        <v>7054571.8700000001</v>
      </c>
      <c r="AK138" s="154">
        <v>1.5120014233369424E-2</v>
      </c>
      <c r="AL138" s="156">
        <v>1.3068353470731072E-2</v>
      </c>
      <c r="AM138" s="154">
        <v>4.1078368412446942E-2</v>
      </c>
      <c r="AN138" s="156">
        <v>4.0332487942774081E-2</v>
      </c>
      <c r="AO138" s="154">
        <v>0.51980645594766228</v>
      </c>
      <c r="AP138" s="156">
        <v>0.55954981624157207</v>
      </c>
      <c r="AQ138" s="154">
        <v>0.75073000000000001</v>
      </c>
      <c r="AR138" s="155">
        <v>0.81452000000000002</v>
      </c>
      <c r="AS138" s="156">
        <v>0.78259999999999996</v>
      </c>
    </row>
    <row r="139" spans="1:45" x14ac:dyDescent="0.2">
      <c r="A139" s="152">
        <v>6502</v>
      </c>
      <c r="B139" s="153" t="s">
        <v>175</v>
      </c>
      <c r="C139" s="154">
        <v>0.14988068705796168</v>
      </c>
      <c r="D139" s="156">
        <v>0.10069096101388167</v>
      </c>
      <c r="E139" s="154">
        <v>0.58389976595975901</v>
      </c>
      <c r="F139" s="156">
        <v>0.24224043406570603</v>
      </c>
      <c r="G139" s="154">
        <v>1.1626567615954731E-2</v>
      </c>
      <c r="H139" s="156">
        <v>-1.1163079804257774E-3</v>
      </c>
      <c r="I139" s="154">
        <v>0</v>
      </c>
      <c r="J139" s="156">
        <v>0</v>
      </c>
      <c r="K139" s="157">
        <v>0</v>
      </c>
      <c r="L139" s="158">
        <v>0</v>
      </c>
      <c r="M139" s="154">
        <v>0</v>
      </c>
      <c r="N139" s="156">
        <v>0</v>
      </c>
      <c r="O139" s="157">
        <v>194.46808510638297</v>
      </c>
      <c r="P139" s="158">
        <v>182.87755102040816</v>
      </c>
      <c r="Q139" s="154">
        <v>0.63728251339543573</v>
      </c>
      <c r="R139" s="156">
        <v>0.52256094327268154</v>
      </c>
      <c r="S139" s="154">
        <v>0.11115402910060883</v>
      </c>
      <c r="T139" s="156">
        <v>0.30875196926885762</v>
      </c>
      <c r="U139" s="157">
        <v>3325910</v>
      </c>
      <c r="V139" s="158">
        <v>3210037</v>
      </c>
      <c r="W139" s="157">
        <v>21700302</v>
      </c>
      <c r="X139" s="158">
        <v>32564751</v>
      </c>
      <c r="Y139" s="157">
        <v>257998</v>
      </c>
      <c r="Z139" s="158">
        <v>-35588</v>
      </c>
      <c r="AA139" s="159">
        <v>3071865</v>
      </c>
      <c r="AB139" s="159">
        <v>2976423</v>
      </c>
      <c r="AC139" s="157">
        <v>0</v>
      </c>
      <c r="AD139" s="158">
        <v>0</v>
      </c>
      <c r="AE139" s="157">
        <v>0</v>
      </c>
      <c r="AF139" s="158">
        <v>0</v>
      </c>
      <c r="AG139" s="157">
        <v>111173.24000000051</v>
      </c>
      <c r="AH139" s="158">
        <v>995969.28000000119</v>
      </c>
      <c r="AI139" s="157">
        <v>21146104.91</v>
      </c>
      <c r="AJ139" s="158">
        <v>13417297.33</v>
      </c>
      <c r="AK139" s="154">
        <v>0</v>
      </c>
      <c r="AL139" s="156">
        <v>0</v>
      </c>
      <c r="AM139" s="154">
        <v>7.052809584385515E-3</v>
      </c>
      <c r="AN139" s="156">
        <v>4.6731080284642401E-2</v>
      </c>
      <c r="AO139" s="154">
        <v>1.3415049465291191</v>
      </c>
      <c r="AP139" s="156">
        <v>0.62954230750083717</v>
      </c>
      <c r="AQ139" s="154">
        <v>0.72326000000000001</v>
      </c>
      <c r="AR139" s="155">
        <v>0.66137000000000001</v>
      </c>
      <c r="AS139" s="156">
        <v>0.69230000000000003</v>
      </c>
    </row>
    <row r="140" spans="1:45" x14ac:dyDescent="0.2">
      <c r="A140" s="152">
        <v>6503</v>
      </c>
      <c r="B140" s="153" t="s">
        <v>176</v>
      </c>
      <c r="C140" s="154">
        <v>0.18700828581173623</v>
      </c>
      <c r="D140" s="156">
        <v>0.16095750931718369</v>
      </c>
      <c r="E140" s="154">
        <v>0.81095766206371189</v>
      </c>
      <c r="F140" s="156">
        <v>0.4711941823922195</v>
      </c>
      <c r="G140" s="154">
        <v>4.8709653403675529E-2</v>
      </c>
      <c r="H140" s="156">
        <v>-8.0977288807917144E-2</v>
      </c>
      <c r="I140" s="154">
        <v>0.76115488107061957</v>
      </c>
      <c r="J140" s="156">
        <v>0.338939022596704</v>
      </c>
      <c r="K140" s="157">
        <v>363</v>
      </c>
      <c r="L140" s="158">
        <v>159</v>
      </c>
      <c r="M140" s="154">
        <v>0</v>
      </c>
      <c r="N140" s="156">
        <v>0</v>
      </c>
      <c r="O140" s="157">
        <v>203.01249999999999</v>
      </c>
      <c r="P140" s="158">
        <v>205.36305732484075</v>
      </c>
      <c r="Q140" s="154">
        <v>0.68592484180355318</v>
      </c>
      <c r="R140" s="156">
        <v>0.61759783505002852</v>
      </c>
      <c r="S140" s="154">
        <v>5.5613512429321707E-2</v>
      </c>
      <c r="T140" s="156">
        <v>0.13387930265953765</v>
      </c>
      <c r="U140" s="157">
        <v>5232311</v>
      </c>
      <c r="V140" s="158">
        <v>5031313</v>
      </c>
      <c r="W140" s="157">
        <v>25950330</v>
      </c>
      <c r="X140" s="158">
        <v>34503892</v>
      </c>
      <c r="Y140" s="157">
        <v>1362849</v>
      </c>
      <c r="Z140" s="158">
        <v>-2531240</v>
      </c>
      <c r="AA140" s="159">
        <v>12658065</v>
      </c>
      <c r="AB140" s="159">
        <v>9702617</v>
      </c>
      <c r="AC140" s="157">
        <v>5892565</v>
      </c>
      <c r="AD140" s="158">
        <v>2555808</v>
      </c>
      <c r="AE140" s="157">
        <v>0</v>
      </c>
      <c r="AF140" s="158">
        <v>0</v>
      </c>
      <c r="AG140" s="157">
        <v>297785.02999999974</v>
      </c>
      <c r="AH140" s="158">
        <v>228410.39999999973</v>
      </c>
      <c r="AI140" s="157">
        <v>4202073.05</v>
      </c>
      <c r="AJ140" s="158">
        <v>11995121.699999999</v>
      </c>
      <c r="AK140" s="154">
        <v>0</v>
      </c>
      <c r="AL140" s="156">
        <v>0</v>
      </c>
      <c r="AM140" s="154">
        <v>1.4275226883492269E-2</v>
      </c>
      <c r="AN140" s="156">
        <v>8.9903855274923519E-3</v>
      </c>
      <c r="AO140" s="154">
        <v>0.20143909238741251</v>
      </c>
      <c r="AP140" s="156">
        <v>0.47213598212773839</v>
      </c>
      <c r="AQ140" s="154">
        <v>0.86351</v>
      </c>
      <c r="AR140" s="155">
        <v>0.67464000000000002</v>
      </c>
      <c r="AS140" s="156">
        <v>0.76910000000000001</v>
      </c>
    </row>
    <row r="141" spans="1:45" x14ac:dyDescent="0.2">
      <c r="A141" s="152">
        <v>6504</v>
      </c>
      <c r="B141" s="153" t="s">
        <v>177</v>
      </c>
      <c r="C141" s="154">
        <v>0.14113627377767496</v>
      </c>
      <c r="D141" s="156">
        <v>0.13323205948628122</v>
      </c>
      <c r="E141" s="154">
        <v>0.49454418130021377</v>
      </c>
      <c r="F141" s="156">
        <v>0.42644529596345399</v>
      </c>
      <c r="G141" s="154">
        <v>3.1571255443740981E-2</v>
      </c>
      <c r="H141" s="156">
        <v>-7.6925234268494624E-2</v>
      </c>
      <c r="I141" s="154">
        <v>0</v>
      </c>
      <c r="J141" s="156">
        <v>0</v>
      </c>
      <c r="K141" s="157">
        <v>0</v>
      </c>
      <c r="L141" s="158">
        <v>0</v>
      </c>
      <c r="M141" s="154">
        <v>0</v>
      </c>
      <c r="N141" s="156">
        <v>0</v>
      </c>
      <c r="O141" s="157">
        <v>151.71875</v>
      </c>
      <c r="P141" s="158">
        <v>170.05263157894737</v>
      </c>
      <c r="Q141" s="154">
        <v>0.66069615675154647</v>
      </c>
      <c r="R141" s="156">
        <v>0.65873030368108265</v>
      </c>
      <c r="S141" s="154">
        <v>0.13392584349223507</v>
      </c>
      <c r="T141" s="156">
        <v>0.14290659611375375</v>
      </c>
      <c r="U141" s="157">
        <v>2903912</v>
      </c>
      <c r="V141" s="158">
        <v>2893097</v>
      </c>
      <c r="W141" s="157">
        <v>19952288</v>
      </c>
      <c r="X141" s="158">
        <v>23817585</v>
      </c>
      <c r="Y141" s="157">
        <v>649586</v>
      </c>
      <c r="Z141" s="158">
        <v>-1670410</v>
      </c>
      <c r="AA141" s="159">
        <v>4560793</v>
      </c>
      <c r="AB141" s="159">
        <v>2864745</v>
      </c>
      <c r="AC141" s="157">
        <v>0</v>
      </c>
      <c r="AD141" s="158">
        <v>0</v>
      </c>
      <c r="AE141" s="157">
        <v>0</v>
      </c>
      <c r="AF141" s="158">
        <v>0</v>
      </c>
      <c r="AG141" s="157">
        <v>109406.02999999907</v>
      </c>
      <c r="AH141" s="158">
        <v>1412955.1500000001</v>
      </c>
      <c r="AI141" s="157">
        <v>4852555.92</v>
      </c>
      <c r="AJ141" s="158">
        <v>2300645.9699999997</v>
      </c>
      <c r="AK141" s="154">
        <v>0</v>
      </c>
      <c r="AL141" s="156">
        <v>0</v>
      </c>
      <c r="AM141" s="154">
        <v>7.0753458224195823E-3</v>
      </c>
      <c r="AN141" s="156">
        <v>7.5872114002731708E-2</v>
      </c>
      <c r="AO141" s="154">
        <v>0.31381735775102804</v>
      </c>
      <c r="AP141" s="156">
        <v>0.12353886343509575</v>
      </c>
      <c r="AQ141" s="154">
        <v>0.70455999999999996</v>
      </c>
      <c r="AR141" s="155">
        <v>0.63236999999999999</v>
      </c>
      <c r="AS141" s="156">
        <v>0.66849999999999998</v>
      </c>
    </row>
    <row r="142" spans="1:45" x14ac:dyDescent="0.2">
      <c r="A142" s="152">
        <v>6505</v>
      </c>
      <c r="B142" s="153" t="s">
        <v>178</v>
      </c>
      <c r="C142" s="154">
        <v>0.17886703452126262</v>
      </c>
      <c r="D142" s="156">
        <v>0.17065079070746347</v>
      </c>
      <c r="E142" s="154">
        <v>0.66625450850360857</v>
      </c>
      <c r="F142" s="156">
        <v>0.68766156544250012</v>
      </c>
      <c r="G142" s="154">
        <v>-5.5545948716629531E-2</v>
      </c>
      <c r="H142" s="156">
        <v>0.16086289778829349</v>
      </c>
      <c r="I142" s="154">
        <v>0.33277135380483353</v>
      </c>
      <c r="J142" s="156">
        <v>0.24868282627651325</v>
      </c>
      <c r="K142" s="157">
        <v>188</v>
      </c>
      <c r="L142" s="158">
        <v>149</v>
      </c>
      <c r="M142" s="154">
        <v>0</v>
      </c>
      <c r="N142" s="156">
        <v>0</v>
      </c>
      <c r="O142" s="157">
        <v>151.50684931506851</v>
      </c>
      <c r="P142" s="158">
        <v>141.58441558441558</v>
      </c>
      <c r="Q142" s="154">
        <v>0.52921388587455798</v>
      </c>
      <c r="R142" s="156">
        <v>0.70449157958886399</v>
      </c>
      <c r="S142" s="154">
        <v>0.21953398844932531</v>
      </c>
      <c r="T142" s="156">
        <v>0.1148885949135663</v>
      </c>
      <c r="U142" s="157">
        <v>2252865</v>
      </c>
      <c r="V142" s="158">
        <v>2413023</v>
      </c>
      <c r="W142" s="157">
        <v>13165811</v>
      </c>
      <c r="X142" s="158">
        <v>11773475</v>
      </c>
      <c r="Y142" s="157">
        <v>-699612</v>
      </c>
      <c r="Z142" s="158">
        <v>2274621</v>
      </c>
      <c r="AA142" s="159">
        <v>1548772</v>
      </c>
      <c r="AB142" s="159">
        <v>3612357</v>
      </c>
      <c r="AC142" s="157">
        <v>1037037</v>
      </c>
      <c r="AD142" s="158">
        <v>814815</v>
      </c>
      <c r="AE142" s="157">
        <v>0</v>
      </c>
      <c r="AF142" s="158">
        <v>0</v>
      </c>
      <c r="AG142" s="157">
        <v>37293.230000000221</v>
      </c>
      <c r="AH142" s="158">
        <v>281064.63000000006</v>
      </c>
      <c r="AI142" s="157">
        <v>1260635.6999999997</v>
      </c>
      <c r="AJ142" s="158">
        <v>7363615.3399999999</v>
      </c>
      <c r="AK142" s="154">
        <v>0</v>
      </c>
      <c r="AL142" s="156">
        <v>0</v>
      </c>
      <c r="AM142" s="154">
        <v>4.0683091655899749E-3</v>
      </c>
      <c r="AN142" s="156">
        <v>2.6727978214764799E-2</v>
      </c>
      <c r="AO142" s="154">
        <v>0.13752243430724295</v>
      </c>
      <c r="AP142" s="156">
        <v>0.70024659591435545</v>
      </c>
      <c r="AQ142" s="154">
        <v>0.70889999999999997</v>
      </c>
      <c r="AR142" s="155">
        <v>0.62990999999999997</v>
      </c>
      <c r="AS142" s="156">
        <v>0.6694</v>
      </c>
    </row>
    <row r="143" spans="1:45" x14ac:dyDescent="0.2">
      <c r="A143" s="152">
        <v>6506</v>
      </c>
      <c r="B143" s="153" t="s">
        <v>179</v>
      </c>
      <c r="C143" s="154">
        <v>0.13766381685198673</v>
      </c>
      <c r="D143" s="156">
        <v>0.15401623787515883</v>
      </c>
      <c r="E143" s="154">
        <v>0.50059857743966241</v>
      </c>
      <c r="F143" s="156">
        <v>0.47704416795499127</v>
      </c>
      <c r="G143" s="154">
        <v>5.7245289361522143E-2</v>
      </c>
      <c r="H143" s="156">
        <v>-8.5650360286361776E-2</v>
      </c>
      <c r="I143" s="154">
        <v>6.6498530635347636E-2</v>
      </c>
      <c r="J143" s="156">
        <v>4.9789287943819142E-2</v>
      </c>
      <c r="K143" s="157">
        <v>30</v>
      </c>
      <c r="L143" s="158">
        <v>24</v>
      </c>
      <c r="M143" s="154">
        <v>0</v>
      </c>
      <c r="N143" s="156">
        <v>0</v>
      </c>
      <c r="O143" s="157">
        <v>225.71212121212122</v>
      </c>
      <c r="P143" s="158">
        <v>211.52857142857144</v>
      </c>
      <c r="Q143" s="154">
        <v>0.60602217645622125</v>
      </c>
      <c r="R143" s="156">
        <v>0.63437843649190029</v>
      </c>
      <c r="S143" s="154">
        <v>0.13578062589351841</v>
      </c>
      <c r="T143" s="156">
        <v>0.13431688087776675</v>
      </c>
      <c r="U143" s="157">
        <v>4618543</v>
      </c>
      <c r="V143" s="158">
        <v>5001592</v>
      </c>
      <c r="W143" s="157">
        <v>31309511</v>
      </c>
      <c r="X143" s="158">
        <v>35561338</v>
      </c>
      <c r="Y143" s="157">
        <v>1920547</v>
      </c>
      <c r="Z143" s="158">
        <v>-2781448</v>
      </c>
      <c r="AA143" s="159">
        <v>7119166</v>
      </c>
      <c r="AB143" s="159">
        <v>4282045</v>
      </c>
      <c r="AC143" s="157">
        <v>446208</v>
      </c>
      <c r="AD143" s="158">
        <v>353160</v>
      </c>
      <c r="AE143" s="157">
        <v>0</v>
      </c>
      <c r="AF143" s="158">
        <v>0</v>
      </c>
      <c r="AG143" s="157">
        <v>54474.750000001266</v>
      </c>
      <c r="AH143" s="158">
        <v>101509.28999999978</v>
      </c>
      <c r="AI143" s="157">
        <v>6752880.9899999993</v>
      </c>
      <c r="AJ143" s="158">
        <v>17912821.449999999</v>
      </c>
      <c r="AK143" s="154">
        <v>0</v>
      </c>
      <c r="AL143" s="156">
        <v>0</v>
      </c>
      <c r="AM143" s="154">
        <v>2.2259809929976696E-3</v>
      </c>
      <c r="AN143" s="156">
        <v>3.4786563526463033E-3</v>
      </c>
      <c r="AO143" s="154">
        <v>0.27594040783509677</v>
      </c>
      <c r="AP143" s="156">
        <v>0.61386056518434517</v>
      </c>
      <c r="AQ143" s="154">
        <v>0.72214</v>
      </c>
      <c r="AR143" s="155">
        <v>0.69721</v>
      </c>
      <c r="AS143" s="156">
        <v>0.7097</v>
      </c>
    </row>
    <row r="144" spans="1:45" x14ac:dyDescent="0.2">
      <c r="A144" s="152">
        <v>6507</v>
      </c>
      <c r="B144" s="153" t="s">
        <v>180</v>
      </c>
      <c r="C144" s="154">
        <v>0.15438056817667911</v>
      </c>
      <c r="D144" s="156">
        <v>0.13156763558186022</v>
      </c>
      <c r="E144" s="154">
        <v>0.51170532533414448</v>
      </c>
      <c r="F144" s="156">
        <v>0.34997838389997576</v>
      </c>
      <c r="G144" s="154">
        <v>-6.7387372705964932E-4</v>
      </c>
      <c r="H144" s="156">
        <v>5.1264716048178158E-2</v>
      </c>
      <c r="I144" s="154">
        <v>1.4834382254099245</v>
      </c>
      <c r="J144" s="156">
        <v>0.92580813272794771</v>
      </c>
      <c r="K144" s="157">
        <v>748</v>
      </c>
      <c r="L144" s="158">
        <v>555</v>
      </c>
      <c r="M144" s="154">
        <v>0</v>
      </c>
      <c r="N144" s="156">
        <v>0.20306450987831096</v>
      </c>
      <c r="O144" s="157">
        <v>103.95348837209302</v>
      </c>
      <c r="P144" s="158">
        <v>95.591240875912405</v>
      </c>
      <c r="Q144" s="154">
        <v>0.63315596568878829</v>
      </c>
      <c r="R144" s="156">
        <v>0.57354330067519188</v>
      </c>
      <c r="S144" s="154">
        <v>7.8618733626722198E-2</v>
      </c>
      <c r="T144" s="156">
        <v>0.21043171917098918</v>
      </c>
      <c r="U144" s="157">
        <v>2341801</v>
      </c>
      <c r="V144" s="158">
        <v>2856028</v>
      </c>
      <c r="W144" s="157">
        <v>15518426</v>
      </c>
      <c r="X144" s="158">
        <v>21221967</v>
      </c>
      <c r="Y144" s="157">
        <v>-10222</v>
      </c>
      <c r="Z144" s="158">
        <v>1112838</v>
      </c>
      <c r="AA144" s="159">
        <v>828676</v>
      </c>
      <c r="AB144" s="159">
        <v>1940743</v>
      </c>
      <c r="AC144" s="157">
        <v>5018473</v>
      </c>
      <c r="AD144" s="158">
        <v>3631138</v>
      </c>
      <c r="AE144" s="157">
        <v>0</v>
      </c>
      <c r="AF144" s="158">
        <v>796445</v>
      </c>
      <c r="AG144" s="157">
        <v>293136.7200000002</v>
      </c>
      <c r="AH144" s="158">
        <v>1021399.0699999997</v>
      </c>
      <c r="AI144" s="157">
        <v>3493422.95</v>
      </c>
      <c r="AJ144" s="158">
        <v>8238120.0599999996</v>
      </c>
      <c r="AK144" s="154">
        <v>0</v>
      </c>
      <c r="AL144" s="156">
        <v>3.7529273323250387E-2</v>
      </c>
      <c r="AM144" s="154">
        <v>2.3710882854034741E-2</v>
      </c>
      <c r="AN144" s="156">
        <v>6.5890312205794693E-2</v>
      </c>
      <c r="AO144" s="154">
        <v>0.28257170349400929</v>
      </c>
      <c r="AP144" s="156">
        <v>0.53143998137987369</v>
      </c>
      <c r="AQ144" s="154">
        <v>0.80120000000000002</v>
      </c>
      <c r="AR144" s="155">
        <v>0.71928999999999998</v>
      </c>
      <c r="AS144" s="156">
        <v>0.76019999999999999</v>
      </c>
    </row>
    <row r="145" spans="1:45" x14ac:dyDescent="0.2">
      <c r="A145" s="152">
        <v>6508</v>
      </c>
      <c r="B145" s="153" t="s">
        <v>173</v>
      </c>
      <c r="C145" s="154">
        <v>0.23597785103898411</v>
      </c>
      <c r="D145" s="156">
        <v>0.21200553911367603</v>
      </c>
      <c r="E145" s="154">
        <v>1.1152286336663877</v>
      </c>
      <c r="F145" s="156">
        <v>1.017215155984482</v>
      </c>
      <c r="G145" s="154">
        <v>2.4634515444512783E-2</v>
      </c>
      <c r="H145" s="156">
        <v>1.1833965579074334E-2</v>
      </c>
      <c r="I145" s="154">
        <v>0.21969222461095117</v>
      </c>
      <c r="J145" s="156">
        <v>0.11165673339649</v>
      </c>
      <c r="K145" s="157">
        <v>96</v>
      </c>
      <c r="L145" s="158">
        <v>51</v>
      </c>
      <c r="M145" s="154">
        <v>3.5602606024542086E-4</v>
      </c>
      <c r="N145" s="156">
        <v>7.373348414982603E-3</v>
      </c>
      <c r="O145" s="157">
        <v>282.40254777070066</v>
      </c>
      <c r="P145" s="158">
        <v>291.54581673306774</v>
      </c>
      <c r="Q145" s="154">
        <v>0.67016026572459098</v>
      </c>
      <c r="R145" s="156">
        <v>0.6848697324127172</v>
      </c>
      <c r="S145" s="154">
        <v>3.5514975290187108E-2</v>
      </c>
      <c r="T145" s="156">
        <v>4.6145651203856969E-2</v>
      </c>
      <c r="U145" s="157">
        <v>43839177</v>
      </c>
      <c r="V145" s="158">
        <v>45259785</v>
      </c>
      <c r="W145" s="157">
        <v>182978925</v>
      </c>
      <c r="X145" s="158">
        <v>212560550</v>
      </c>
      <c r="Y145" s="157">
        <v>4576518</v>
      </c>
      <c r="Z145" s="158">
        <v>2526362</v>
      </c>
      <c r="AA145" s="159">
        <v>25254567</v>
      </c>
      <c r="AB145" s="159">
        <v>23431494</v>
      </c>
      <c r="AC145" s="157">
        <v>10599991</v>
      </c>
      <c r="AD145" s="158">
        <v>5547183</v>
      </c>
      <c r="AE145" s="157">
        <v>17178</v>
      </c>
      <c r="AF145" s="158">
        <v>366313</v>
      </c>
      <c r="AG145" s="157">
        <v>9838451.3900000006</v>
      </c>
      <c r="AH145" s="158">
        <v>12376505.090000005</v>
      </c>
      <c r="AI145" s="157">
        <v>76310606.620000005</v>
      </c>
      <c r="AJ145" s="158">
        <v>74545989.350000009</v>
      </c>
      <c r="AK145" s="154">
        <v>9.3879664010486447E-5</v>
      </c>
      <c r="AL145" s="156">
        <v>1.7233348332980885E-3</v>
      </c>
      <c r="AM145" s="154">
        <v>6.7604594826348757E-2</v>
      </c>
      <c r="AN145" s="156">
        <v>7.2364333433522152E-2</v>
      </c>
      <c r="AO145" s="154">
        <v>0.52436582110286634</v>
      </c>
      <c r="AP145" s="156">
        <v>0.4358638234483358</v>
      </c>
      <c r="AQ145" s="154">
        <v>0.83108000000000004</v>
      </c>
      <c r="AR145" s="155">
        <v>0.70982000000000001</v>
      </c>
      <c r="AS145" s="156">
        <v>0.77049999999999996</v>
      </c>
    </row>
    <row r="146" spans="1:45" x14ac:dyDescent="0.2">
      <c r="A146" s="152">
        <v>6509</v>
      </c>
      <c r="B146" s="153" t="s">
        <v>181</v>
      </c>
      <c r="C146" s="154">
        <v>0.17764959421784038</v>
      </c>
      <c r="D146" s="156">
        <v>0.13399838808523737</v>
      </c>
      <c r="E146" s="154">
        <v>0.4295402899480405</v>
      </c>
      <c r="F146" s="156">
        <v>0.29607865554219526</v>
      </c>
      <c r="G146" s="154">
        <v>4.6202421468264789E-2</v>
      </c>
      <c r="H146" s="156">
        <v>-6.6719078134051063E-2</v>
      </c>
      <c r="I146" s="154">
        <v>2.9044251393727925E-2</v>
      </c>
      <c r="J146" s="156">
        <v>2.2766755954516518E-2</v>
      </c>
      <c r="K146" s="157">
        <v>22</v>
      </c>
      <c r="L146" s="158">
        <v>15</v>
      </c>
      <c r="M146" s="154">
        <v>0</v>
      </c>
      <c r="N146" s="156">
        <v>0</v>
      </c>
      <c r="O146" s="157">
        <v>121.61538461538461</v>
      </c>
      <c r="P146" s="158">
        <v>112.5</v>
      </c>
      <c r="Q146" s="154">
        <v>0.6978943481560842</v>
      </c>
      <c r="R146" s="156">
        <v>0.64670870442149342</v>
      </c>
      <c r="S146" s="154">
        <v>3.9151285596360157E-2</v>
      </c>
      <c r="T146" s="156">
        <v>0.1379309026727035</v>
      </c>
      <c r="U146" s="157">
        <v>2632902</v>
      </c>
      <c r="V146" s="158">
        <v>2146914</v>
      </c>
      <c r="W146" s="157">
        <v>13957958</v>
      </c>
      <c r="X146" s="158">
        <v>17266225</v>
      </c>
      <c r="Y146" s="157">
        <v>684755</v>
      </c>
      <c r="Z146" s="158">
        <v>-1068969</v>
      </c>
      <c r="AA146" s="159">
        <v>2499372</v>
      </c>
      <c r="AB146" s="159">
        <v>1437502</v>
      </c>
      <c r="AC146" s="157">
        <v>102352</v>
      </c>
      <c r="AD146" s="158">
        <v>69168</v>
      </c>
      <c r="AE146" s="157">
        <v>0</v>
      </c>
      <c r="AF146" s="158">
        <v>0</v>
      </c>
      <c r="AG146" s="157">
        <v>170690.00000000009</v>
      </c>
      <c r="AH146" s="158">
        <v>159557.36000000016</v>
      </c>
      <c r="AI146" s="157">
        <v>3545899.89</v>
      </c>
      <c r="AJ146" s="158">
        <v>5519242</v>
      </c>
      <c r="AK146" s="154">
        <v>0</v>
      </c>
      <c r="AL146" s="156">
        <v>0</v>
      </c>
      <c r="AM146" s="154">
        <v>1.5577796716004426E-2</v>
      </c>
      <c r="AN146" s="156">
        <v>1.1923772978546656E-2</v>
      </c>
      <c r="AO146" s="154">
        <v>0.32361185577199852</v>
      </c>
      <c r="AP146" s="156">
        <v>0.41245473490950046</v>
      </c>
      <c r="AQ146" s="154">
        <v>0.81101999999999996</v>
      </c>
      <c r="AR146" s="155">
        <v>0.69111</v>
      </c>
      <c r="AS146" s="156">
        <v>0.75109999999999999</v>
      </c>
    </row>
    <row r="147" spans="1:45" x14ac:dyDescent="0.2">
      <c r="A147" s="152">
        <v>6510</v>
      </c>
      <c r="B147" s="153" t="s">
        <v>182</v>
      </c>
      <c r="C147" s="154">
        <v>0.1512315315901864</v>
      </c>
      <c r="D147" s="156">
        <v>0.140313580668921</v>
      </c>
      <c r="E147" s="154">
        <v>0.4581194176053599</v>
      </c>
      <c r="F147" s="156">
        <v>0.72417800890504735</v>
      </c>
      <c r="G147" s="154">
        <v>-0.15433737286944474</v>
      </c>
      <c r="H147" s="156">
        <v>0.10962574599447304</v>
      </c>
      <c r="I147" s="154">
        <v>0.81735057169768444</v>
      </c>
      <c r="J147" s="156">
        <v>0.82923389485143806</v>
      </c>
      <c r="K147" s="157">
        <v>329</v>
      </c>
      <c r="L147" s="158">
        <v>351</v>
      </c>
      <c r="M147" s="154">
        <v>1.8129886899508343E-3</v>
      </c>
      <c r="N147" s="156">
        <v>0</v>
      </c>
      <c r="O147" s="157">
        <v>203.11312217194569</v>
      </c>
      <c r="P147" s="158">
        <v>182.45454545454547</v>
      </c>
      <c r="Q147" s="154">
        <v>0.60969480407473886</v>
      </c>
      <c r="R147" s="156">
        <v>0.707524613550643</v>
      </c>
      <c r="S147" s="154">
        <v>0.14669037943355123</v>
      </c>
      <c r="T147" s="156">
        <v>4.7717121747904039E-2</v>
      </c>
      <c r="U147" s="157">
        <v>5997518</v>
      </c>
      <c r="V147" s="158">
        <v>6294338</v>
      </c>
      <c r="W147" s="157">
        <v>44738769</v>
      </c>
      <c r="X147" s="158">
        <v>44561531</v>
      </c>
      <c r="Y147" s="157">
        <v>-6120689</v>
      </c>
      <c r="Z147" s="158">
        <v>4917710</v>
      </c>
      <c r="AA147" s="159">
        <v>2573047</v>
      </c>
      <c r="AB147" s="159">
        <v>4640588</v>
      </c>
      <c r="AC147" s="157">
        <v>7388210</v>
      </c>
      <c r="AD147" s="158">
        <v>7741925</v>
      </c>
      <c r="AE147" s="157">
        <v>16388</v>
      </c>
      <c r="AF147" s="158">
        <v>0</v>
      </c>
      <c r="AG147" s="157">
        <v>462873.7300000001</v>
      </c>
      <c r="AH147" s="158">
        <v>3107584.2399999988</v>
      </c>
      <c r="AI147" s="157">
        <v>3600627.0500000007</v>
      </c>
      <c r="AJ147" s="158">
        <v>31799105.289999999</v>
      </c>
      <c r="AK147" s="154">
        <v>3.6630422263071206E-4</v>
      </c>
      <c r="AL147" s="156">
        <v>0</v>
      </c>
      <c r="AM147" s="154">
        <v>1.3688382738611459E-2</v>
      </c>
      <c r="AN147" s="156">
        <v>8.0721090593285333E-2</v>
      </c>
      <c r="AO147" s="154">
        <v>0.10647992738623879</v>
      </c>
      <c r="AP147" s="156">
        <v>0.82599802954963808</v>
      </c>
      <c r="AQ147" s="154">
        <v>0.74902999999999997</v>
      </c>
      <c r="AR147" s="155">
        <v>0.66315999999999997</v>
      </c>
      <c r="AS147" s="156">
        <v>0.70609999999999995</v>
      </c>
    </row>
    <row r="148" spans="1:45" x14ac:dyDescent="0.2">
      <c r="A148" s="152">
        <v>6511</v>
      </c>
      <c r="B148" s="153" t="s">
        <v>183</v>
      </c>
      <c r="C148" s="154">
        <v>0.18424392088016947</v>
      </c>
      <c r="D148" s="156">
        <v>0.17012964064951694</v>
      </c>
      <c r="E148" s="154">
        <v>0.61539513855370354</v>
      </c>
      <c r="F148" s="156">
        <v>0.37935706906437755</v>
      </c>
      <c r="G148" s="154">
        <v>8.2914107412456112E-2</v>
      </c>
      <c r="H148" s="156">
        <v>-0.10498955167945416</v>
      </c>
      <c r="I148" s="154">
        <v>0.29056515591009585</v>
      </c>
      <c r="J148" s="156">
        <v>0.27550860317895076</v>
      </c>
      <c r="K148" s="157">
        <v>156</v>
      </c>
      <c r="L148" s="158">
        <v>160</v>
      </c>
      <c r="M148" s="154">
        <v>0</v>
      </c>
      <c r="N148" s="156">
        <v>0</v>
      </c>
      <c r="O148" s="157">
        <v>244.67961165048544</v>
      </c>
      <c r="P148" s="158">
        <v>261.62105263157895</v>
      </c>
      <c r="Q148" s="154">
        <v>0.65464756309457639</v>
      </c>
      <c r="R148" s="156">
        <v>0.5467383827029777</v>
      </c>
      <c r="S148" s="154">
        <v>0.12033022647375832</v>
      </c>
      <c r="T148" s="156">
        <v>0.26307561583318956</v>
      </c>
      <c r="U148" s="157">
        <v>5177731</v>
      </c>
      <c r="V148" s="158">
        <v>5629591</v>
      </c>
      <c r="W148" s="157">
        <v>26017054</v>
      </c>
      <c r="X148" s="158">
        <v>36997397</v>
      </c>
      <c r="Y148" s="157">
        <v>2330101</v>
      </c>
      <c r="Z148" s="158">
        <v>-3474105</v>
      </c>
      <c r="AA148" s="159">
        <v>5243601</v>
      </c>
      <c r="AB148" s="159">
        <v>2007177</v>
      </c>
      <c r="AC148" s="157">
        <v>1967077</v>
      </c>
      <c r="AD148" s="158">
        <v>1989638</v>
      </c>
      <c r="AE148" s="157">
        <v>0</v>
      </c>
      <c r="AF148" s="158">
        <v>0</v>
      </c>
      <c r="AG148" s="157">
        <v>490955.38999999932</v>
      </c>
      <c r="AH148" s="158">
        <v>885883.8699999993</v>
      </c>
      <c r="AI148" s="157">
        <v>5798364.1699999999</v>
      </c>
      <c r="AJ148" s="158">
        <v>8540021.6699999999</v>
      </c>
      <c r="AK148" s="154">
        <v>0</v>
      </c>
      <c r="AL148" s="156">
        <v>0</v>
      </c>
      <c r="AM148" s="154">
        <v>2.3740208329344002E-2</v>
      </c>
      <c r="AN148" s="156">
        <v>3.3933453367273762E-2</v>
      </c>
      <c r="AO148" s="154">
        <v>0.28038061332864483</v>
      </c>
      <c r="AP148" s="156">
        <v>0.32712236547940832</v>
      </c>
      <c r="AQ148" s="154">
        <v>0.80313999999999997</v>
      </c>
      <c r="AR148" s="155">
        <v>0.7006</v>
      </c>
      <c r="AS148" s="156">
        <v>0.75190000000000001</v>
      </c>
    </row>
    <row r="149" spans="1:45" x14ac:dyDescent="0.2">
      <c r="A149" s="152">
        <v>6601</v>
      </c>
      <c r="B149" s="153" t="s">
        <v>185</v>
      </c>
      <c r="C149" s="154">
        <v>0.21249961538297413</v>
      </c>
      <c r="D149" s="156">
        <v>0.22207346695570135</v>
      </c>
      <c r="E149" s="154">
        <v>0.6585457016137255</v>
      </c>
      <c r="F149" s="156">
        <v>0.73091890243931823</v>
      </c>
      <c r="G149" s="154">
        <v>9.1445271374169437E-3</v>
      </c>
      <c r="H149" s="156">
        <v>3.2246682962329104E-2</v>
      </c>
      <c r="I149" s="154">
        <v>0.42234464827616691</v>
      </c>
      <c r="J149" s="156">
        <v>0.39818800814448241</v>
      </c>
      <c r="K149" s="157">
        <v>173</v>
      </c>
      <c r="L149" s="158">
        <v>193</v>
      </c>
      <c r="M149" s="154">
        <v>0</v>
      </c>
      <c r="N149" s="156">
        <v>0</v>
      </c>
      <c r="O149" s="157">
        <v>357.05329153605015</v>
      </c>
      <c r="P149" s="158">
        <v>318.10614525139664</v>
      </c>
      <c r="Q149" s="154">
        <v>0.62917868887858674</v>
      </c>
      <c r="R149" s="156">
        <v>0.64183291863983982</v>
      </c>
      <c r="S149" s="154">
        <v>0.14480361213926332</v>
      </c>
      <c r="T149" s="156">
        <v>0.15162307808588951</v>
      </c>
      <c r="U149" s="157">
        <v>17030709</v>
      </c>
      <c r="V149" s="158">
        <v>21231877</v>
      </c>
      <c r="W149" s="157">
        <v>81240943</v>
      </c>
      <c r="X149" s="158">
        <v>95107593</v>
      </c>
      <c r="Y149" s="157">
        <v>732885</v>
      </c>
      <c r="Z149" s="158">
        <v>3083023</v>
      </c>
      <c r="AA149" s="159">
        <v>12380925</v>
      </c>
      <c r="AB149" s="159">
        <v>19155612</v>
      </c>
      <c r="AC149" s="157">
        <v>9878983</v>
      </c>
      <c r="AD149" s="158">
        <v>10986874</v>
      </c>
      <c r="AE149" s="157">
        <v>0</v>
      </c>
      <c r="AF149" s="158">
        <v>0</v>
      </c>
      <c r="AG149" s="157">
        <v>1086168.2500000023</v>
      </c>
      <c r="AH149" s="158">
        <v>3902163.3600000008</v>
      </c>
      <c r="AI149" s="157">
        <v>26414237.069999985</v>
      </c>
      <c r="AJ149" s="158">
        <v>60745007.890000001</v>
      </c>
      <c r="AK149" s="154">
        <v>0</v>
      </c>
      <c r="AL149" s="156">
        <v>0</v>
      </c>
      <c r="AM149" s="154">
        <v>1.7358683409416074E-2</v>
      </c>
      <c r="AN149" s="156">
        <v>5.2256142297026541E-2</v>
      </c>
      <c r="AO149" s="154">
        <v>0.42214120952199696</v>
      </c>
      <c r="AP149" s="156">
        <v>0.81347178046739677</v>
      </c>
      <c r="AQ149" s="154">
        <v>0.87124000000000001</v>
      </c>
      <c r="AR149" s="155">
        <v>0.78127000000000002</v>
      </c>
      <c r="AS149" s="156">
        <v>0.82630000000000003</v>
      </c>
    </row>
    <row r="150" spans="1:45" x14ac:dyDescent="0.2">
      <c r="A150" s="152">
        <v>6602</v>
      </c>
      <c r="B150" s="153" t="s">
        <v>186</v>
      </c>
      <c r="C150" s="154">
        <v>0.14138972858329604</v>
      </c>
      <c r="D150" s="156">
        <v>0.14479544108678649</v>
      </c>
      <c r="E150" s="154">
        <v>0.39101437407640166</v>
      </c>
      <c r="F150" s="156">
        <v>0.32081752604539571</v>
      </c>
      <c r="G150" s="154">
        <v>6.9090932763464161E-2</v>
      </c>
      <c r="H150" s="156">
        <v>4.8370388574182311E-3</v>
      </c>
      <c r="I150" s="154">
        <v>0</v>
      </c>
      <c r="J150" s="156">
        <v>0</v>
      </c>
      <c r="K150" s="157">
        <v>0</v>
      </c>
      <c r="L150" s="158">
        <v>0</v>
      </c>
      <c r="M150" s="154">
        <v>0</v>
      </c>
      <c r="N150" s="156">
        <v>0</v>
      </c>
      <c r="O150" s="157">
        <v>137</v>
      </c>
      <c r="P150" s="158">
        <v>172.63768115942028</v>
      </c>
      <c r="Q150" s="154">
        <v>0.58416157659701373</v>
      </c>
      <c r="R150" s="156">
        <v>0.51406393057778843</v>
      </c>
      <c r="S150" s="154">
        <v>0.1643643178134</v>
      </c>
      <c r="T150" s="156">
        <v>0.24009654592457655</v>
      </c>
      <c r="U150" s="157">
        <v>2106744</v>
      </c>
      <c r="V150" s="158">
        <v>2654911</v>
      </c>
      <c r="W150" s="157">
        <v>13757834</v>
      </c>
      <c r="X150" s="158">
        <v>17927634</v>
      </c>
      <c r="Y150" s="157">
        <v>1029473</v>
      </c>
      <c r="Z150" s="158">
        <v>88690</v>
      </c>
      <c r="AA150" s="159">
        <v>4846891</v>
      </c>
      <c r="AB150" s="159">
        <v>5132126</v>
      </c>
      <c r="AC150" s="157">
        <v>0</v>
      </c>
      <c r="AD150" s="158">
        <v>0</v>
      </c>
      <c r="AE150" s="157">
        <v>0</v>
      </c>
      <c r="AF150" s="158">
        <v>0</v>
      </c>
      <c r="AG150" s="157">
        <v>166898.54999999999</v>
      </c>
      <c r="AH150" s="158">
        <v>222272.72999999943</v>
      </c>
      <c r="AI150" s="157">
        <v>7490584.5899999999</v>
      </c>
      <c r="AJ150" s="158">
        <v>8444153.4100000001</v>
      </c>
      <c r="AK150" s="154">
        <v>0</v>
      </c>
      <c r="AL150" s="156">
        <v>0</v>
      </c>
      <c r="AM150" s="154">
        <v>1.4951207488461087E-2</v>
      </c>
      <c r="AN150" s="156">
        <v>1.6422619358991482E-2</v>
      </c>
      <c r="AO150" s="154">
        <v>0.67102610786588157</v>
      </c>
      <c r="AP150" s="156">
        <v>0.6238962254225261</v>
      </c>
      <c r="AQ150" s="154">
        <v>0.74663999999999997</v>
      </c>
      <c r="AR150" s="155">
        <v>0.72560999999999998</v>
      </c>
      <c r="AS150" s="156">
        <v>0.73609999999999998</v>
      </c>
    </row>
    <row r="151" spans="1:45" x14ac:dyDescent="0.2">
      <c r="A151" s="152">
        <v>6603</v>
      </c>
      <c r="B151" s="153" t="s">
        <v>187</v>
      </c>
      <c r="C151" s="154">
        <v>0.18464988864521736</v>
      </c>
      <c r="D151" s="156">
        <v>0.15678379460518674</v>
      </c>
      <c r="E151" s="154">
        <v>0.64024775963125902</v>
      </c>
      <c r="F151" s="156">
        <v>0.45906877932767548</v>
      </c>
      <c r="G151" s="154">
        <v>3.0944108364827496E-2</v>
      </c>
      <c r="H151" s="156">
        <v>4.8814509569446239E-2</v>
      </c>
      <c r="I151" s="154">
        <v>0</v>
      </c>
      <c r="J151" s="156">
        <v>0</v>
      </c>
      <c r="K151" s="157">
        <v>0</v>
      </c>
      <c r="L151" s="158">
        <v>0</v>
      </c>
      <c r="M151" s="154">
        <v>0</v>
      </c>
      <c r="N151" s="156">
        <v>0</v>
      </c>
      <c r="O151" s="157">
        <v>227.8901098901099</v>
      </c>
      <c r="P151" s="158">
        <v>202.50980392156862</v>
      </c>
      <c r="Q151" s="154">
        <v>0.61339071201758488</v>
      </c>
      <c r="R151" s="156">
        <v>0.56819015401843231</v>
      </c>
      <c r="S151" s="154">
        <v>9.0010364196720163E-2</v>
      </c>
      <c r="T151" s="156">
        <v>0.17332588277353025</v>
      </c>
      <c r="U151" s="157">
        <v>3123409</v>
      </c>
      <c r="V151" s="158">
        <v>3544936</v>
      </c>
      <c r="W151" s="157">
        <v>16484635</v>
      </c>
      <c r="X151" s="158">
        <v>21560796</v>
      </c>
      <c r="Y151" s="157">
        <v>523429</v>
      </c>
      <c r="Z151" s="158">
        <v>1103713</v>
      </c>
      <c r="AA151" s="159">
        <v>2529980</v>
      </c>
      <c r="AB151" s="159">
        <v>3616824</v>
      </c>
      <c r="AC151" s="157">
        <v>0</v>
      </c>
      <c r="AD151" s="158">
        <v>0</v>
      </c>
      <c r="AE151" s="157">
        <v>0</v>
      </c>
      <c r="AF151" s="158">
        <v>0</v>
      </c>
      <c r="AG151" s="157">
        <v>338776.03000000032</v>
      </c>
      <c r="AH151" s="158">
        <v>305543.63000000105</v>
      </c>
      <c r="AI151" s="157">
        <v>2594303.4299999997</v>
      </c>
      <c r="AJ151" s="158">
        <v>5104140.8699999992</v>
      </c>
      <c r="AK151" s="154">
        <v>0</v>
      </c>
      <c r="AL151" s="156">
        <v>0</v>
      </c>
      <c r="AM151" s="154">
        <v>2.575942884233668E-2</v>
      </c>
      <c r="AN151" s="156">
        <v>1.9071902728334606E-2</v>
      </c>
      <c r="AO151" s="154">
        <v>0.19726240549107002</v>
      </c>
      <c r="AP151" s="156">
        <v>0.31859829047771943</v>
      </c>
      <c r="AQ151" s="154">
        <v>0.79420999999999997</v>
      </c>
      <c r="AR151" s="155">
        <v>0.74507999999999996</v>
      </c>
      <c r="AS151" s="156">
        <v>0.76959999999999995</v>
      </c>
    </row>
    <row r="152" spans="1:45" x14ac:dyDescent="0.2">
      <c r="A152" s="152">
        <v>6604</v>
      </c>
      <c r="B152" s="153" t="s">
        <v>188</v>
      </c>
      <c r="C152" s="154">
        <v>0.16821920546022534</v>
      </c>
      <c r="D152" s="156">
        <v>0.14695489046280449</v>
      </c>
      <c r="E152" s="154">
        <v>0.41234956943024148</v>
      </c>
      <c r="F152" s="156">
        <v>0.50912909866107248</v>
      </c>
      <c r="G152" s="154">
        <v>-0.12491600735608462</v>
      </c>
      <c r="H152" s="156">
        <v>9.4374968691414124E-2</v>
      </c>
      <c r="I152" s="154">
        <v>0.71512976864326527</v>
      </c>
      <c r="J152" s="156">
        <v>0.58211758314733708</v>
      </c>
      <c r="K152" s="157">
        <v>316</v>
      </c>
      <c r="L152" s="158">
        <v>266</v>
      </c>
      <c r="M152" s="154">
        <v>3.7082524846621475E-4</v>
      </c>
      <c r="N152" s="156">
        <v>3.6388891842489119E-4</v>
      </c>
      <c r="O152" s="157">
        <v>259.30508474576271</v>
      </c>
      <c r="P152" s="158">
        <v>260.44252873563221</v>
      </c>
      <c r="Q152" s="154">
        <v>0.41290966050789252</v>
      </c>
      <c r="R152" s="156">
        <v>0.48824168881629731</v>
      </c>
      <c r="S152" s="154">
        <v>0.30921778540974448</v>
      </c>
      <c r="T152" s="156">
        <v>0.25015333414270358</v>
      </c>
      <c r="U152" s="157">
        <v>15291764</v>
      </c>
      <c r="V152" s="158">
        <v>15662480</v>
      </c>
      <c r="W152" s="157">
        <v>101345655</v>
      </c>
      <c r="X152" s="158">
        <v>97639702</v>
      </c>
      <c r="Y152" s="157">
        <v>-11355339</v>
      </c>
      <c r="Z152" s="158">
        <v>10058502</v>
      </c>
      <c r="AA152" s="159">
        <v>22918048</v>
      </c>
      <c r="AB152" s="159">
        <v>31974679</v>
      </c>
      <c r="AC152" s="157">
        <v>14519540</v>
      </c>
      <c r="AD152" s="158">
        <v>12044234</v>
      </c>
      <c r="AE152" s="157">
        <v>7529</v>
      </c>
      <c r="AF152" s="158">
        <v>7529</v>
      </c>
      <c r="AG152" s="157">
        <v>2434742.9099999955</v>
      </c>
      <c r="AH152" s="158">
        <v>9169807.3400000073</v>
      </c>
      <c r="AI152" s="157">
        <v>88767524.069999993</v>
      </c>
      <c r="AJ152" s="158">
        <v>116599056.17</v>
      </c>
      <c r="AK152" s="154">
        <v>7.4290308745846091E-5</v>
      </c>
      <c r="AL152" s="156">
        <v>7.711002641118262E-5</v>
      </c>
      <c r="AM152" s="154">
        <v>3.7253111789527581E-2</v>
      </c>
      <c r="AN152" s="156">
        <v>0.11547968922087802</v>
      </c>
      <c r="AO152" s="154">
        <v>1.358199456656102</v>
      </c>
      <c r="AP152" s="156">
        <v>1.4683866596873658</v>
      </c>
      <c r="AQ152" s="154">
        <v>0.89075000000000004</v>
      </c>
      <c r="AR152" s="155">
        <v>0.73826000000000003</v>
      </c>
      <c r="AS152" s="156">
        <v>0.8145</v>
      </c>
    </row>
    <row r="153" spans="1:45" x14ac:dyDescent="0.2">
      <c r="A153" s="152">
        <v>6605</v>
      </c>
      <c r="B153" s="153" t="s">
        <v>189</v>
      </c>
      <c r="C153" s="154">
        <v>0.14336423165461618</v>
      </c>
      <c r="D153" s="156">
        <v>0.20038903397011049</v>
      </c>
      <c r="E153" s="154">
        <v>0.37417467181596631</v>
      </c>
      <c r="F153" s="156">
        <v>0.58879291375403564</v>
      </c>
      <c r="G153" s="154">
        <v>9.3950729526073001E-2</v>
      </c>
      <c r="H153" s="156">
        <v>6.7640818689632287E-2</v>
      </c>
      <c r="I153" s="154">
        <v>0.43185788374074519</v>
      </c>
      <c r="J153" s="156">
        <v>0.12258791468427747</v>
      </c>
      <c r="K153" s="157">
        <v>155</v>
      </c>
      <c r="L153" s="158">
        <v>57</v>
      </c>
      <c r="M153" s="154">
        <v>0</v>
      </c>
      <c r="N153" s="156">
        <v>0</v>
      </c>
      <c r="O153" s="157">
        <v>211.02941176470588</v>
      </c>
      <c r="P153" s="158">
        <v>210.26470588235293</v>
      </c>
      <c r="Q153" s="154">
        <v>0.66072686473994668</v>
      </c>
      <c r="R153" s="156">
        <v>0.74657743952363675</v>
      </c>
      <c r="S153" s="154">
        <v>0.11399076020570052</v>
      </c>
      <c r="T153" s="156">
        <v>4.0378142321268184E-2</v>
      </c>
      <c r="U153" s="157">
        <v>1830290</v>
      </c>
      <c r="V153" s="158">
        <v>2544667</v>
      </c>
      <c r="W153" s="157">
        <v>11572552</v>
      </c>
      <c r="X153" s="158">
        <v>11689567</v>
      </c>
      <c r="Y153" s="157">
        <v>1199442</v>
      </c>
      <c r="Z153" s="158">
        <v>858946</v>
      </c>
      <c r="AA153" s="159">
        <v>1700891</v>
      </c>
      <c r="AB153" s="159">
        <v>1831766</v>
      </c>
      <c r="AC153" s="157">
        <v>1110000</v>
      </c>
      <c r="AD153" s="158">
        <v>405480</v>
      </c>
      <c r="AE153" s="157">
        <v>0</v>
      </c>
      <c r="AF153" s="158">
        <v>0</v>
      </c>
      <c r="AG153" s="157">
        <v>426668.92000000039</v>
      </c>
      <c r="AH153" s="158">
        <v>554045.32000000076</v>
      </c>
      <c r="AI153" s="157">
        <v>2498007.16</v>
      </c>
      <c r="AJ153" s="158">
        <v>10834050.530000001</v>
      </c>
      <c r="AK153" s="154">
        <v>0</v>
      </c>
      <c r="AL153" s="156">
        <v>0</v>
      </c>
      <c r="AM153" s="154">
        <v>4.7037436567320123E-2</v>
      </c>
      <c r="AN153" s="156">
        <v>5.3641554048788016E-2</v>
      </c>
      <c r="AO153" s="154">
        <v>0.2753888268524724</v>
      </c>
      <c r="AP153" s="156">
        <v>1.0489309919128902</v>
      </c>
      <c r="AQ153" s="154">
        <v>0.89737</v>
      </c>
      <c r="AR153" s="155">
        <v>0.77790999999999999</v>
      </c>
      <c r="AS153" s="156">
        <v>0.83760000000000001</v>
      </c>
    </row>
    <row r="154" spans="1:45" x14ac:dyDescent="0.2">
      <c r="A154" s="152">
        <v>6606</v>
      </c>
      <c r="B154" s="153" t="s">
        <v>190</v>
      </c>
      <c r="C154" s="154">
        <v>0.12156954681780907</v>
      </c>
      <c r="D154" s="156">
        <v>0.12292573710859127</v>
      </c>
      <c r="E154" s="154">
        <v>0.22817842928946006</v>
      </c>
      <c r="F154" s="156">
        <v>0.12139447859387995</v>
      </c>
      <c r="G154" s="154">
        <v>9.8911830450972321E-2</v>
      </c>
      <c r="H154" s="156">
        <v>-0.43541264784758388</v>
      </c>
      <c r="I154" s="154">
        <v>0</v>
      </c>
      <c r="J154" s="156">
        <v>0</v>
      </c>
      <c r="K154" s="157">
        <v>0</v>
      </c>
      <c r="L154" s="158">
        <v>0</v>
      </c>
      <c r="M154" s="154">
        <v>0</v>
      </c>
      <c r="N154" s="156">
        <v>0</v>
      </c>
      <c r="O154" s="157">
        <v>83.960784313725483</v>
      </c>
      <c r="P154" s="158">
        <v>77.2</v>
      </c>
      <c r="Q154" s="154">
        <v>0.40267599882515331</v>
      </c>
      <c r="R154" s="156">
        <v>0.31946575713925207</v>
      </c>
      <c r="S154" s="154">
        <v>0.39379100446363879</v>
      </c>
      <c r="T154" s="156">
        <v>0.5612090767336877</v>
      </c>
      <c r="U154" s="157">
        <v>1265277</v>
      </c>
      <c r="V154" s="158">
        <v>1157483</v>
      </c>
      <c r="W154" s="157">
        <v>9247164</v>
      </c>
      <c r="X154" s="158">
        <v>13397727</v>
      </c>
      <c r="Y154" s="157">
        <v>1029459</v>
      </c>
      <c r="Z154" s="158">
        <v>-4099896</v>
      </c>
      <c r="AA154" s="159">
        <v>5099677</v>
      </c>
      <c r="AB154" s="159">
        <v>999781</v>
      </c>
      <c r="AC154" s="157">
        <v>0</v>
      </c>
      <c r="AD154" s="158">
        <v>0</v>
      </c>
      <c r="AE154" s="157">
        <v>0</v>
      </c>
      <c r="AF154" s="158">
        <v>0</v>
      </c>
      <c r="AG154" s="157">
        <v>126161.65000000093</v>
      </c>
      <c r="AH154" s="158">
        <v>421407.21000000101</v>
      </c>
      <c r="AI154" s="157">
        <v>5935284.7700000014</v>
      </c>
      <c r="AJ154" s="158">
        <v>9335820.3099999987</v>
      </c>
      <c r="AK154" s="154">
        <v>0</v>
      </c>
      <c r="AL154" s="156">
        <v>0</v>
      </c>
      <c r="AM154" s="154">
        <v>2.0146055394540535E-2</v>
      </c>
      <c r="AN154" s="156">
        <v>4.8875557814365249E-2</v>
      </c>
      <c r="AO154" s="154">
        <v>0.94777276421790568</v>
      </c>
      <c r="AP154" s="156">
        <v>1.0827850460981177</v>
      </c>
      <c r="AQ154" s="154">
        <v>0.97636000000000001</v>
      </c>
      <c r="AR154" s="155">
        <v>0.87763000000000002</v>
      </c>
      <c r="AS154" s="156">
        <v>0.92700000000000005</v>
      </c>
    </row>
    <row r="155" spans="1:45" x14ac:dyDescent="0.2">
      <c r="A155" s="152">
        <v>6607</v>
      </c>
      <c r="B155" s="153" t="s">
        <v>191</v>
      </c>
      <c r="C155" s="154">
        <v>0.28548732291797352</v>
      </c>
      <c r="D155" s="156">
        <v>0.23193457538635243</v>
      </c>
      <c r="E155" s="154">
        <v>0.7355799173084786</v>
      </c>
      <c r="F155" s="156">
        <v>0.66149340430392334</v>
      </c>
      <c r="G155" s="154">
        <v>7.7393140279515382E-2</v>
      </c>
      <c r="H155" s="156">
        <v>0.10105704399221641</v>
      </c>
      <c r="I155" s="154">
        <v>0.48319196161770128</v>
      </c>
      <c r="J155" s="156">
        <v>0.44423925101249012</v>
      </c>
      <c r="K155" s="157">
        <v>297</v>
      </c>
      <c r="L155" s="158">
        <v>256</v>
      </c>
      <c r="M155" s="154">
        <v>7.0148200604832234E-4</v>
      </c>
      <c r="N155" s="156">
        <v>0</v>
      </c>
      <c r="O155" s="157">
        <v>255.13709677419354</v>
      </c>
      <c r="P155" s="158">
        <v>242.17341040462426</v>
      </c>
      <c r="Q155" s="154">
        <v>0.50571411580581127</v>
      </c>
      <c r="R155" s="156">
        <v>0.53961165055617499</v>
      </c>
      <c r="S155" s="154">
        <v>0.25284994082368745</v>
      </c>
      <c r="T155" s="156">
        <v>0.21166731070657957</v>
      </c>
      <c r="U155" s="157">
        <v>16998175</v>
      </c>
      <c r="V155" s="158">
        <v>15651268</v>
      </c>
      <c r="W155" s="157">
        <v>54516746</v>
      </c>
      <c r="X155" s="158">
        <v>60389632</v>
      </c>
      <c r="Y155" s="157">
        <v>4608058</v>
      </c>
      <c r="Z155" s="158">
        <v>6819470</v>
      </c>
      <c r="AA155" s="159">
        <v>24916770</v>
      </c>
      <c r="AB155" s="159">
        <v>30461236</v>
      </c>
      <c r="AC155" s="157">
        <v>9398893</v>
      </c>
      <c r="AD155" s="158">
        <v>8042893</v>
      </c>
      <c r="AE155" s="157">
        <v>13645</v>
      </c>
      <c r="AF155" s="158">
        <v>0</v>
      </c>
      <c r="AG155" s="157">
        <v>816743.91999999993</v>
      </c>
      <c r="AH155" s="158">
        <v>3043364.7400000007</v>
      </c>
      <c r="AI155" s="157">
        <v>29187896.590000004</v>
      </c>
      <c r="AJ155" s="158">
        <v>44691354.229999997</v>
      </c>
      <c r="AK155" s="154">
        <v>2.5029006683561047E-4</v>
      </c>
      <c r="AL155" s="156">
        <v>0</v>
      </c>
      <c r="AM155" s="154">
        <v>2.0196797776656644E-2</v>
      </c>
      <c r="AN155" s="156">
        <v>6.2263818706707372E-2</v>
      </c>
      <c r="AO155" s="154">
        <v>0.7217709621324101</v>
      </c>
      <c r="AP155" s="156">
        <v>0.91433482847473579</v>
      </c>
      <c r="AQ155" s="154">
        <v>0.87278999999999995</v>
      </c>
      <c r="AR155" s="155">
        <v>0.74792000000000003</v>
      </c>
      <c r="AS155" s="156">
        <v>0.81040000000000001</v>
      </c>
    </row>
    <row r="156" spans="1:45" x14ac:dyDescent="0.2">
      <c r="A156" s="152">
        <v>6608</v>
      </c>
      <c r="B156" s="153" t="s">
        <v>192</v>
      </c>
      <c r="C156" s="154">
        <v>9.0533501500854041E-2</v>
      </c>
      <c r="D156" s="156">
        <v>0.2037950645129247</v>
      </c>
      <c r="E156" s="154">
        <v>0.21149366982347154</v>
      </c>
      <c r="F156" s="156">
        <v>0.4612126323043686</v>
      </c>
      <c r="G156" s="154">
        <v>7.8426735320910754E-2</v>
      </c>
      <c r="H156" s="156">
        <v>-0.12683665880062805</v>
      </c>
      <c r="I156" s="154">
        <v>0</v>
      </c>
      <c r="J156" s="156">
        <v>0</v>
      </c>
      <c r="K156" s="157">
        <v>0</v>
      </c>
      <c r="L156" s="158">
        <v>0</v>
      </c>
      <c r="M156" s="154">
        <v>3.6407589263689782E-2</v>
      </c>
      <c r="N156" s="156">
        <v>0</v>
      </c>
      <c r="O156" s="157">
        <v>140.83333333333334</v>
      </c>
      <c r="P156" s="158">
        <v>149.5</v>
      </c>
      <c r="Q156" s="154">
        <v>0.43784169216450819</v>
      </c>
      <c r="R156" s="156">
        <v>0.49447373899967756</v>
      </c>
      <c r="S156" s="154">
        <v>0.39806171568156962</v>
      </c>
      <c r="T156" s="156">
        <v>0.32881601448787673</v>
      </c>
      <c r="U156" s="157">
        <v>1300015</v>
      </c>
      <c r="V156" s="158">
        <v>2441418</v>
      </c>
      <c r="W156" s="157">
        <v>13158957</v>
      </c>
      <c r="X156" s="158">
        <v>13343018</v>
      </c>
      <c r="Y156" s="157">
        <v>1126168</v>
      </c>
      <c r="Z156" s="158">
        <v>-1519474</v>
      </c>
      <c r="AA156" s="159">
        <v>3961562</v>
      </c>
      <c r="AB156" s="159">
        <v>2484572</v>
      </c>
      <c r="AC156" s="157">
        <v>0</v>
      </c>
      <c r="AD156" s="158">
        <v>0</v>
      </c>
      <c r="AE156" s="157">
        <v>70107</v>
      </c>
      <c r="AF156" s="158">
        <v>0</v>
      </c>
      <c r="AG156" s="157">
        <v>554838.25999999931</v>
      </c>
      <c r="AH156" s="158">
        <v>333824.47000000079</v>
      </c>
      <c r="AI156" s="157">
        <v>10887481.5</v>
      </c>
      <c r="AJ156" s="158">
        <v>15699009.129999999</v>
      </c>
      <c r="AK156" s="154">
        <v>5.3277018839715034E-3</v>
      </c>
      <c r="AL156" s="156">
        <v>0</v>
      </c>
      <c r="AM156" s="154">
        <v>6.5244577976769608E-2</v>
      </c>
      <c r="AN156" s="156">
        <v>3.194238525146955E-2</v>
      </c>
      <c r="AO156" s="154">
        <v>1.2802814566129368</v>
      </c>
      <c r="AP156" s="156">
        <v>1.5021780689018891</v>
      </c>
      <c r="AQ156" s="154">
        <v>0.78051000000000004</v>
      </c>
      <c r="AR156" s="155">
        <v>0.75251999999999997</v>
      </c>
      <c r="AS156" s="156">
        <v>0.76649999999999996</v>
      </c>
    </row>
    <row r="157" spans="1:45" x14ac:dyDescent="0.2">
      <c r="A157" s="152">
        <v>6609</v>
      </c>
      <c r="B157" s="153" t="s">
        <v>184</v>
      </c>
      <c r="C157" s="154">
        <v>0.32797678627437071</v>
      </c>
      <c r="D157" s="156">
        <v>0.31175178235892032</v>
      </c>
      <c r="E157" s="154">
        <v>0.86146902158594696</v>
      </c>
      <c r="F157" s="156">
        <v>0.91366726447584856</v>
      </c>
      <c r="G157" s="154">
        <v>-7.9190522026774249E-2</v>
      </c>
      <c r="H157" s="156">
        <v>-1.7891104858523504E-2</v>
      </c>
      <c r="I157" s="154">
        <v>0.59165659190353792</v>
      </c>
      <c r="J157" s="156">
        <v>0.51089823123747169</v>
      </c>
      <c r="K157" s="157">
        <v>336</v>
      </c>
      <c r="L157" s="158">
        <v>320</v>
      </c>
      <c r="M157" s="154">
        <v>2.6100892508627162E-2</v>
      </c>
      <c r="N157" s="156">
        <v>4.0019199025963882E-2</v>
      </c>
      <c r="O157" s="157">
        <v>621.88212560386478</v>
      </c>
      <c r="P157" s="158">
        <v>445.56468172484597</v>
      </c>
      <c r="Q157" s="154">
        <v>0.57329500028727753</v>
      </c>
      <c r="R157" s="156">
        <v>0.58996533582359412</v>
      </c>
      <c r="S157" s="154">
        <v>0.16945218988725375</v>
      </c>
      <c r="T157" s="156">
        <v>0.15946847901177316</v>
      </c>
      <c r="U157" s="157">
        <v>182470051</v>
      </c>
      <c r="V157" s="158">
        <v>200377593</v>
      </c>
      <c r="W157" s="157">
        <v>590874689</v>
      </c>
      <c r="X157" s="158">
        <v>674653848</v>
      </c>
      <c r="Y157" s="157">
        <v>-44057687</v>
      </c>
      <c r="Z157" s="158">
        <v>-11499458</v>
      </c>
      <c r="AA157" s="159">
        <v>91034097</v>
      </c>
      <c r="AB157" s="159">
        <v>74741033</v>
      </c>
      <c r="AC157" s="157">
        <v>108047647</v>
      </c>
      <c r="AD157" s="158">
        <v>104161468</v>
      </c>
      <c r="AE157" s="157">
        <v>4766515</v>
      </c>
      <c r="AF157" s="158">
        <v>8159078</v>
      </c>
      <c r="AG157" s="157">
        <v>42993588.459999986</v>
      </c>
      <c r="AH157" s="158">
        <v>50979222.129999995</v>
      </c>
      <c r="AI157" s="157">
        <v>296919011.96999997</v>
      </c>
      <c r="AJ157" s="158">
        <v>392619071.20000005</v>
      </c>
      <c r="AK157" s="154">
        <v>8.0668796425632638E-3</v>
      </c>
      <c r="AL157" s="156">
        <v>1.2093724840060499E-2</v>
      </c>
      <c r="AM157" s="154">
        <v>9.6361272955762023E-2</v>
      </c>
      <c r="AN157" s="156">
        <v>9.5558237689740089E-2</v>
      </c>
      <c r="AO157" s="154">
        <v>0.66548280762411027</v>
      </c>
      <c r="AP157" s="156">
        <v>0.73594662608977313</v>
      </c>
      <c r="AQ157" s="154">
        <v>0.83167999999999997</v>
      </c>
      <c r="AR157" s="155">
        <v>0.74550000000000005</v>
      </c>
      <c r="AS157" s="156">
        <v>0.78859999999999997</v>
      </c>
    </row>
    <row r="158" spans="1:45" x14ac:dyDescent="0.2">
      <c r="A158" s="152">
        <v>6610</v>
      </c>
      <c r="B158" s="153" t="s">
        <v>193</v>
      </c>
      <c r="C158" s="154">
        <v>0.14190748087900448</v>
      </c>
      <c r="D158" s="156">
        <v>0.16042708863411742</v>
      </c>
      <c r="E158" s="154">
        <v>0.41325289722075642</v>
      </c>
      <c r="F158" s="156">
        <v>0.73687320521774613</v>
      </c>
      <c r="G158" s="154">
        <v>-3.9637242352871194E-2</v>
      </c>
      <c r="H158" s="156">
        <v>1.4444716806723809E-2</v>
      </c>
      <c r="I158" s="154">
        <v>0.18623902229694297</v>
      </c>
      <c r="J158" s="156">
        <v>9.2774339348434084E-2</v>
      </c>
      <c r="K158" s="157">
        <v>76</v>
      </c>
      <c r="L158" s="158">
        <v>44</v>
      </c>
      <c r="M158" s="154">
        <v>0.10270082258315814</v>
      </c>
      <c r="N158" s="156">
        <v>4.396260891522235E-2</v>
      </c>
      <c r="O158" s="157">
        <v>283.65333333333331</v>
      </c>
      <c r="P158" s="158">
        <v>282.8456375838926</v>
      </c>
      <c r="Q158" s="154">
        <v>0.60408867261500387</v>
      </c>
      <c r="R158" s="156">
        <v>0.71057471159356267</v>
      </c>
      <c r="S158" s="154">
        <v>0.20407809420439421</v>
      </c>
      <c r="T158" s="156">
        <v>7.5237519820703105E-2</v>
      </c>
      <c r="U158" s="157">
        <v>5896999</v>
      </c>
      <c r="V158" s="158">
        <v>7106865</v>
      </c>
      <c r="W158" s="157">
        <v>42766349</v>
      </c>
      <c r="X158" s="158">
        <v>42907156</v>
      </c>
      <c r="Y158" s="157">
        <v>-1647135</v>
      </c>
      <c r="Z158" s="158">
        <v>639896</v>
      </c>
      <c r="AA158" s="159">
        <v>3362091</v>
      </c>
      <c r="AB158" s="159">
        <v>3848129</v>
      </c>
      <c r="AC158" s="157">
        <v>1614897</v>
      </c>
      <c r="AD158" s="158">
        <v>916700</v>
      </c>
      <c r="AE158" s="157">
        <v>890529</v>
      </c>
      <c r="AF158" s="158">
        <v>434393</v>
      </c>
      <c r="AG158" s="157">
        <v>809852.950000001</v>
      </c>
      <c r="AH158" s="158">
        <v>672205.54000000039</v>
      </c>
      <c r="AI158" s="157">
        <v>15233832.290000003</v>
      </c>
      <c r="AJ158" s="158">
        <v>24208269.100000001</v>
      </c>
      <c r="AK158" s="154">
        <v>2.0823124274648743E-2</v>
      </c>
      <c r="AL158" s="156">
        <v>1.0124022202730006E-2</v>
      </c>
      <c r="AM158" s="154">
        <v>2.4569251635183424E-2</v>
      </c>
      <c r="AN158" s="156">
        <v>1.7799944937666689E-2</v>
      </c>
      <c r="AO158" s="154">
        <v>0.46216274065704416</v>
      </c>
      <c r="AP158" s="156">
        <v>0.64103288559064497</v>
      </c>
      <c r="AQ158" s="154">
        <v>0.81233</v>
      </c>
      <c r="AR158" s="155">
        <v>0.77241000000000004</v>
      </c>
      <c r="AS158" s="156">
        <v>0.79239999999999999</v>
      </c>
    </row>
    <row r="159" spans="1:45" x14ac:dyDescent="0.2">
      <c r="A159" s="152">
        <v>6611</v>
      </c>
      <c r="B159" s="153" t="s">
        <v>194</v>
      </c>
      <c r="C159" s="154">
        <v>0.1601353929733117</v>
      </c>
      <c r="D159" s="156">
        <v>0.15978849194507419</v>
      </c>
      <c r="E159" s="154">
        <v>0.32352584327691697</v>
      </c>
      <c r="F159" s="156">
        <v>0.42875040585393387</v>
      </c>
      <c r="G159" s="154">
        <v>-0.11465868734653446</v>
      </c>
      <c r="H159" s="156">
        <v>-1.4152903291896972E-2</v>
      </c>
      <c r="I159" s="154">
        <v>0.93221267311190215</v>
      </c>
      <c r="J159" s="156">
        <v>0.83055225529506249</v>
      </c>
      <c r="K159" s="157">
        <v>344</v>
      </c>
      <c r="L159" s="158">
        <v>363</v>
      </c>
      <c r="M159" s="154">
        <v>8.9952288036051431E-2</v>
      </c>
      <c r="N159" s="156">
        <v>0</v>
      </c>
      <c r="O159" s="157">
        <v>430.63865546218489</v>
      </c>
      <c r="P159" s="158">
        <v>451.57522123893807</v>
      </c>
      <c r="Q159" s="154">
        <v>0.51708711874122892</v>
      </c>
      <c r="R159" s="156">
        <v>0.54896281078256104</v>
      </c>
      <c r="S159" s="154">
        <v>0.23170587100019416</v>
      </c>
      <c r="T159" s="156">
        <v>0.20340651035827681</v>
      </c>
      <c r="U159" s="157">
        <v>7292949</v>
      </c>
      <c r="V159" s="158">
        <v>8968968</v>
      </c>
      <c r="W159" s="157">
        <v>51223674</v>
      </c>
      <c r="X159" s="158">
        <v>57288245</v>
      </c>
      <c r="Y159" s="157">
        <v>-5221831</v>
      </c>
      <c r="Z159" s="158">
        <v>-794406</v>
      </c>
      <c r="AA159" s="159">
        <v>8134783</v>
      </c>
      <c r="AB159" s="159">
        <v>7813653</v>
      </c>
      <c r="AC159" s="157">
        <v>8819803</v>
      </c>
      <c r="AD159" s="158">
        <v>9250000</v>
      </c>
      <c r="AE159" s="157">
        <v>851052</v>
      </c>
      <c r="AF159" s="158">
        <v>0</v>
      </c>
      <c r="AG159" s="157">
        <v>1258219.3399999992</v>
      </c>
      <c r="AH159" s="158">
        <v>4112707.1599999974</v>
      </c>
      <c r="AI159" s="157">
        <v>13733006.069999998</v>
      </c>
      <c r="AJ159" s="158">
        <v>27432460.630000003</v>
      </c>
      <c r="AK159" s="154">
        <v>1.6614427149446564E-2</v>
      </c>
      <c r="AL159" s="156">
        <v>0</v>
      </c>
      <c r="AM159" s="154">
        <v>3.5413898573473962E-2</v>
      </c>
      <c r="AN159" s="156">
        <v>9.4105357911842588E-2</v>
      </c>
      <c r="AO159" s="154">
        <v>0.38652981130609748</v>
      </c>
      <c r="AP159" s="156">
        <v>0.62769884301431345</v>
      </c>
      <c r="AQ159" s="154">
        <v>0.93059999999999998</v>
      </c>
      <c r="AR159" s="155">
        <v>0.77956000000000003</v>
      </c>
      <c r="AS159" s="156">
        <v>0.85509999999999997</v>
      </c>
    </row>
    <row r="160" spans="1:45" x14ac:dyDescent="0.2">
      <c r="A160" s="152">
        <v>6612</v>
      </c>
      <c r="B160" s="153" t="s">
        <v>195</v>
      </c>
      <c r="C160" s="154">
        <v>0.34094559333974739</v>
      </c>
      <c r="D160" s="156">
        <v>0.37038462136650585</v>
      </c>
      <c r="E160" s="154">
        <v>0.72252998163285809</v>
      </c>
      <c r="F160" s="156">
        <v>1.0863169276629576</v>
      </c>
      <c r="G160" s="154">
        <v>-4.1672873755230662E-2</v>
      </c>
      <c r="H160" s="156">
        <v>3.5457361682895212E-2</v>
      </c>
      <c r="I160" s="154">
        <v>0.26975734771776333</v>
      </c>
      <c r="J160" s="156">
        <v>0.21242576261536378</v>
      </c>
      <c r="K160" s="157">
        <v>162</v>
      </c>
      <c r="L160" s="158">
        <v>148</v>
      </c>
      <c r="M160" s="154">
        <v>1.8733048293867717E-2</v>
      </c>
      <c r="N160" s="156">
        <v>1.718625514889717E-2</v>
      </c>
      <c r="O160" s="157">
        <v>226.21052631578948</v>
      </c>
      <c r="P160" s="158">
        <v>222.15120274914091</v>
      </c>
      <c r="Q160" s="154">
        <v>0.47273374108309874</v>
      </c>
      <c r="R160" s="156">
        <v>0.55365657434883175</v>
      </c>
      <c r="S160" s="154">
        <v>0.25118733382890046</v>
      </c>
      <c r="T160" s="156">
        <v>0.21561056958322408</v>
      </c>
      <c r="U160" s="157">
        <v>16835562</v>
      </c>
      <c r="V160" s="158">
        <v>19956536</v>
      </c>
      <c r="W160" s="157">
        <v>50955762</v>
      </c>
      <c r="X160" s="158">
        <v>52037435</v>
      </c>
      <c r="Y160" s="157">
        <v>-2057766</v>
      </c>
      <c r="Z160" s="158">
        <v>1910463</v>
      </c>
      <c r="AA160" s="159">
        <v>10754044</v>
      </c>
      <c r="AB160" s="159">
        <v>12185107</v>
      </c>
      <c r="AC160" s="157">
        <v>5238057</v>
      </c>
      <c r="AD160" s="158">
        <v>4787617</v>
      </c>
      <c r="AE160" s="157">
        <v>363752</v>
      </c>
      <c r="AF160" s="158">
        <v>387341</v>
      </c>
      <c r="AG160" s="157">
        <v>2739227.0600000005</v>
      </c>
      <c r="AH160" s="158">
        <v>7555362.7700000014</v>
      </c>
      <c r="AI160" s="157">
        <v>19909378.57</v>
      </c>
      <c r="AJ160" s="158">
        <v>24049874.949999999</v>
      </c>
      <c r="AK160" s="154">
        <v>7.138584248823519E-3</v>
      </c>
      <c r="AL160" s="156">
        <v>7.4435067754588594E-3</v>
      </c>
      <c r="AM160" s="154">
        <v>7.5319695430090289E-2</v>
      </c>
      <c r="AN160" s="156">
        <v>0.17350299013624879</v>
      </c>
      <c r="AO160" s="154">
        <v>0.54744214234462407</v>
      </c>
      <c r="AP160" s="156">
        <v>0.5522865470863243</v>
      </c>
      <c r="AQ160" s="154">
        <v>0.80928999999999995</v>
      </c>
      <c r="AR160" s="155">
        <v>0.78573000000000004</v>
      </c>
      <c r="AS160" s="156">
        <v>0.79749999999999999</v>
      </c>
    </row>
    <row r="161" spans="1:45" x14ac:dyDescent="0.2">
      <c r="A161" s="152">
        <v>6613</v>
      </c>
      <c r="B161" s="153" t="s">
        <v>196</v>
      </c>
      <c r="C161" s="154">
        <v>0.17909685770686129</v>
      </c>
      <c r="D161" s="156">
        <v>0.17838220422962225</v>
      </c>
      <c r="E161" s="154">
        <v>0.58774775510513066</v>
      </c>
      <c r="F161" s="156">
        <v>0.58041280280300145</v>
      </c>
      <c r="G161" s="154">
        <v>7.4162219958387676E-2</v>
      </c>
      <c r="H161" s="156">
        <v>-0.15824224475486368</v>
      </c>
      <c r="I161" s="154">
        <v>1.7206983436672804E-2</v>
      </c>
      <c r="J161" s="156">
        <v>1.5971536894925746E-2</v>
      </c>
      <c r="K161" s="157">
        <v>8</v>
      </c>
      <c r="L161" s="158">
        <v>7</v>
      </c>
      <c r="M161" s="154">
        <v>0</v>
      </c>
      <c r="N161" s="156">
        <v>0</v>
      </c>
      <c r="O161" s="157">
        <v>428.14705882352939</v>
      </c>
      <c r="P161" s="158">
        <v>426.58823529411762</v>
      </c>
      <c r="Q161" s="154">
        <v>0.56245600987558841</v>
      </c>
      <c r="R161" s="156">
        <v>0.552417832714024</v>
      </c>
      <c r="S161" s="154">
        <v>0.17922183461859334</v>
      </c>
      <c r="T161" s="156">
        <v>0.2249490645615348</v>
      </c>
      <c r="U161" s="157">
        <v>5124183</v>
      </c>
      <c r="V161" s="158">
        <v>4854344</v>
      </c>
      <c r="W161" s="157">
        <v>26513053</v>
      </c>
      <c r="X161" s="158">
        <v>31230221</v>
      </c>
      <c r="Y161" s="157">
        <v>2121873</v>
      </c>
      <c r="Z161" s="158">
        <v>-4306272</v>
      </c>
      <c r="AA161" s="159">
        <v>12053623</v>
      </c>
      <c r="AB161" s="159">
        <v>7825863</v>
      </c>
      <c r="AC161" s="157">
        <v>110515</v>
      </c>
      <c r="AD161" s="158">
        <v>98593</v>
      </c>
      <c r="AE161" s="157">
        <v>0</v>
      </c>
      <c r="AF161" s="158">
        <v>0</v>
      </c>
      <c r="AG161" s="157">
        <v>341499.58</v>
      </c>
      <c r="AH161" s="158">
        <v>232131.36999999982</v>
      </c>
      <c r="AI161" s="157">
        <v>4292777.66</v>
      </c>
      <c r="AJ161" s="158">
        <v>8364975.7699999996</v>
      </c>
      <c r="AK161" s="154">
        <v>0</v>
      </c>
      <c r="AL161" s="156">
        <v>0</v>
      </c>
      <c r="AM161" s="154">
        <v>1.7055549318216689E-2</v>
      </c>
      <c r="AN161" s="156">
        <v>9.7091391139978635E-3</v>
      </c>
      <c r="AO161" s="154">
        <v>0.21439464462084792</v>
      </c>
      <c r="AP161" s="156">
        <v>0.34987392456328265</v>
      </c>
      <c r="AQ161" s="154">
        <v>0.82557999999999998</v>
      </c>
      <c r="AR161" s="155">
        <v>0.71828999999999998</v>
      </c>
      <c r="AS161" s="156">
        <v>0.77190000000000003</v>
      </c>
    </row>
    <row r="162" spans="1:45" x14ac:dyDescent="0.2">
      <c r="A162" s="152">
        <v>6614</v>
      </c>
      <c r="B162" s="153" t="s">
        <v>197</v>
      </c>
      <c r="C162" s="154">
        <v>0.22999940641145131</v>
      </c>
      <c r="D162" s="156">
        <v>0.19111784575282087</v>
      </c>
      <c r="E162" s="154">
        <v>0.39340609149715017</v>
      </c>
      <c r="F162" s="156">
        <v>0.65812776463484746</v>
      </c>
      <c r="G162" s="154">
        <v>-0.13604870420909448</v>
      </c>
      <c r="H162" s="156">
        <v>5.8524953602210111E-3</v>
      </c>
      <c r="I162" s="154">
        <v>1.9382508711342357</v>
      </c>
      <c r="J162" s="156">
        <v>1.9320406831978179</v>
      </c>
      <c r="K162" s="157">
        <v>894</v>
      </c>
      <c r="L162" s="158">
        <v>853</v>
      </c>
      <c r="M162" s="154">
        <v>0.1871821488074849</v>
      </c>
      <c r="N162" s="156">
        <v>0.16524788566310766</v>
      </c>
      <c r="O162" s="157">
        <v>230.51612903225808</v>
      </c>
      <c r="P162" s="158">
        <v>248.41958041958043</v>
      </c>
      <c r="Q162" s="154">
        <v>0.55565084189983815</v>
      </c>
      <c r="R162" s="156">
        <v>0.69433901634060402</v>
      </c>
      <c r="S162" s="154">
        <v>0.19553280079839461</v>
      </c>
      <c r="T162" s="156">
        <v>7.984836968216355E-2</v>
      </c>
      <c r="U162" s="157">
        <v>6420424</v>
      </c>
      <c r="V162" s="158">
        <v>6001448</v>
      </c>
      <c r="W162" s="157">
        <v>34084399</v>
      </c>
      <c r="X162" s="158">
        <v>30727628</v>
      </c>
      <c r="Y162" s="157">
        <v>-3797794</v>
      </c>
      <c r="Z162" s="158">
        <v>183779</v>
      </c>
      <c r="AA162" s="159">
        <v>3954149</v>
      </c>
      <c r="AB162" s="159">
        <v>3485918</v>
      </c>
      <c r="AC162" s="157">
        <v>15979762</v>
      </c>
      <c r="AD162" s="158">
        <v>15152315</v>
      </c>
      <c r="AE162" s="157">
        <v>1543209</v>
      </c>
      <c r="AF162" s="158">
        <v>1295981</v>
      </c>
      <c r="AG162" s="157">
        <v>2024301.5600000005</v>
      </c>
      <c r="AH162" s="158">
        <v>2322935.3199999998</v>
      </c>
      <c r="AI162" s="157">
        <v>10619995.620000001</v>
      </c>
      <c r="AJ162" s="158">
        <v>9716857.7999999989</v>
      </c>
      <c r="AK162" s="154">
        <v>4.527611004671081E-2</v>
      </c>
      <c r="AL162" s="156">
        <v>4.2176408800575167E-2</v>
      </c>
      <c r="AM162" s="154">
        <v>8.2358830267097033E-2</v>
      </c>
      <c r="AN162" s="156">
        <v>8.2796132104675332E-2</v>
      </c>
      <c r="AO162" s="154">
        <v>0.43207515816215336</v>
      </c>
      <c r="AP162" s="156">
        <v>0.34633691051335208</v>
      </c>
      <c r="AQ162" s="154">
        <v>0.88653999999999999</v>
      </c>
      <c r="AR162" s="155">
        <v>0.77459999999999996</v>
      </c>
      <c r="AS162" s="156">
        <v>0.8306</v>
      </c>
    </row>
    <row r="163" spans="1:45" x14ac:dyDescent="0.2">
      <c r="A163" s="152">
        <v>6615</v>
      </c>
      <c r="B163" s="153" t="s">
        <v>198</v>
      </c>
      <c r="C163" s="154">
        <v>0.17060015188142413</v>
      </c>
      <c r="D163" s="156">
        <v>0.16337960362057707</v>
      </c>
      <c r="E163" s="154">
        <v>0.37730050566987733</v>
      </c>
      <c r="F163" s="156">
        <v>0.3107086217185388</v>
      </c>
      <c r="G163" s="154">
        <v>-2.2657798721812509E-2</v>
      </c>
      <c r="H163" s="156">
        <v>-0.18764387513491207</v>
      </c>
      <c r="I163" s="154">
        <v>0</v>
      </c>
      <c r="J163" s="156">
        <v>0</v>
      </c>
      <c r="K163" s="157">
        <v>0</v>
      </c>
      <c r="L163" s="158">
        <v>0</v>
      </c>
      <c r="M163" s="154">
        <v>0</v>
      </c>
      <c r="N163" s="156">
        <v>0</v>
      </c>
      <c r="O163" s="157">
        <v>192.27659574468086</v>
      </c>
      <c r="P163" s="158">
        <v>209.6046511627907</v>
      </c>
      <c r="Q163" s="154">
        <v>0.51356501864402504</v>
      </c>
      <c r="R163" s="156">
        <v>0.4694692604041355</v>
      </c>
      <c r="S163" s="154">
        <v>0.2566411040152029</v>
      </c>
      <c r="T163" s="156">
        <v>0.30502355610311971</v>
      </c>
      <c r="U163" s="157">
        <v>2865849</v>
      </c>
      <c r="V163" s="158">
        <v>2980291</v>
      </c>
      <c r="W163" s="157">
        <v>16530497</v>
      </c>
      <c r="X163" s="158">
        <v>21498038</v>
      </c>
      <c r="Y163" s="157">
        <v>-380620</v>
      </c>
      <c r="Z163" s="158">
        <v>-3422908</v>
      </c>
      <c r="AA163" s="159">
        <v>6070632</v>
      </c>
      <c r="AB163" s="159">
        <v>2648450</v>
      </c>
      <c r="AC163" s="157">
        <v>0</v>
      </c>
      <c r="AD163" s="158">
        <v>0</v>
      </c>
      <c r="AE163" s="157">
        <v>0</v>
      </c>
      <c r="AF163" s="158">
        <v>0</v>
      </c>
      <c r="AG163" s="157">
        <v>149722.85000000012</v>
      </c>
      <c r="AH163" s="158">
        <v>3704964.0699999994</v>
      </c>
      <c r="AI163" s="157">
        <v>8327779.8399999999</v>
      </c>
      <c r="AJ163" s="158">
        <v>10847884.34</v>
      </c>
      <c r="AK163" s="154">
        <v>0</v>
      </c>
      <c r="AL163" s="156">
        <v>0</v>
      </c>
      <c r="AM163" s="154">
        <v>1.3627359963156234E-2</v>
      </c>
      <c r="AN163" s="156">
        <v>0.25378383517604097</v>
      </c>
      <c r="AO163" s="154">
        <v>0.75797150250342904</v>
      </c>
      <c r="AP163" s="156">
        <v>0.74306191351305517</v>
      </c>
      <c r="AQ163" s="154">
        <v>0.89585999999999999</v>
      </c>
      <c r="AR163" s="155">
        <v>0.74326000000000003</v>
      </c>
      <c r="AS163" s="156">
        <v>0.8196</v>
      </c>
    </row>
    <row r="164" spans="1:45" x14ac:dyDescent="0.2">
      <c r="A164" s="152">
        <v>6616</v>
      </c>
      <c r="B164" s="153" t="s">
        <v>199</v>
      </c>
      <c r="C164" s="154">
        <v>0.28430925709912974</v>
      </c>
      <c r="D164" s="156">
        <v>0.28330768076535773</v>
      </c>
      <c r="E164" s="154">
        <v>0.55123140228310286</v>
      </c>
      <c r="F164" s="156">
        <v>0.63831253421765932</v>
      </c>
      <c r="G164" s="154">
        <v>-8.3974125481363862E-2</v>
      </c>
      <c r="H164" s="156">
        <v>-5.9053585355019707E-2</v>
      </c>
      <c r="I164" s="154">
        <v>0.57389359992204358</v>
      </c>
      <c r="J164" s="156">
        <v>0.43879159609991936</v>
      </c>
      <c r="K164" s="157">
        <v>429</v>
      </c>
      <c r="L164" s="158">
        <v>343</v>
      </c>
      <c r="M164" s="154">
        <v>0</v>
      </c>
      <c r="N164" s="156">
        <v>0</v>
      </c>
      <c r="O164" s="157">
        <v>176.20689655172413</v>
      </c>
      <c r="P164" s="158">
        <v>168.66666666666666</v>
      </c>
      <c r="Q164" s="154">
        <v>0.50953428218051133</v>
      </c>
      <c r="R164" s="156">
        <v>0.58795395960605501</v>
      </c>
      <c r="S164" s="154">
        <v>0.27787895652714523</v>
      </c>
      <c r="T164" s="156">
        <v>0.20022757754341711</v>
      </c>
      <c r="U164" s="157">
        <v>6579132</v>
      </c>
      <c r="V164" s="158">
        <v>6846193</v>
      </c>
      <c r="W164" s="157">
        <v>25092555</v>
      </c>
      <c r="X164" s="158">
        <v>26192391</v>
      </c>
      <c r="Y164" s="157">
        <v>-1943225</v>
      </c>
      <c r="Z164" s="158">
        <v>-1427043</v>
      </c>
      <c r="AA164" s="159">
        <v>7453978</v>
      </c>
      <c r="AB164" s="159">
        <v>5002352</v>
      </c>
      <c r="AC164" s="157">
        <v>4381696</v>
      </c>
      <c r="AD164" s="158">
        <v>3467372</v>
      </c>
      <c r="AE164" s="157">
        <v>0</v>
      </c>
      <c r="AF164" s="158">
        <v>0</v>
      </c>
      <c r="AG164" s="157">
        <v>245373.80999999959</v>
      </c>
      <c r="AH164" s="158">
        <v>867302.15999999875</v>
      </c>
      <c r="AI164" s="157">
        <v>8576643.0399999991</v>
      </c>
      <c r="AJ164" s="158">
        <v>12392464.940000001</v>
      </c>
      <c r="AK164" s="154">
        <v>0</v>
      </c>
      <c r="AL164" s="156">
        <v>0</v>
      </c>
      <c r="AM164" s="154">
        <v>1.4135548338653813E-2</v>
      </c>
      <c r="AN164" s="156">
        <v>4.0855645957809487E-2</v>
      </c>
      <c r="AO164" s="154">
        <v>0.4940851359617352</v>
      </c>
      <c r="AP164" s="156">
        <v>0.58376674645109572</v>
      </c>
      <c r="AQ164" s="154">
        <v>0.85289999999999999</v>
      </c>
      <c r="AR164" s="155">
        <v>0.79954999999999998</v>
      </c>
      <c r="AS164" s="156">
        <v>0.82620000000000005</v>
      </c>
    </row>
    <row r="165" spans="1:45" x14ac:dyDescent="0.2">
      <c r="A165" s="152">
        <v>6617</v>
      </c>
      <c r="B165" s="153" t="s">
        <v>200</v>
      </c>
      <c r="C165" s="154">
        <v>0.30044021158414358</v>
      </c>
      <c r="D165" s="156">
        <v>0.31443719513475521</v>
      </c>
      <c r="E165" s="154">
        <v>0.6267642750728093</v>
      </c>
      <c r="F165" s="156">
        <v>0.91900046390142909</v>
      </c>
      <c r="G165" s="154">
        <v>-0.16636430268189084</v>
      </c>
      <c r="H165" s="156">
        <v>3.4259318732328778E-2</v>
      </c>
      <c r="I165" s="154">
        <v>0</v>
      </c>
      <c r="J165" s="156">
        <v>0</v>
      </c>
      <c r="K165" s="157">
        <v>0</v>
      </c>
      <c r="L165" s="158">
        <v>0</v>
      </c>
      <c r="M165" s="154">
        <v>0</v>
      </c>
      <c r="N165" s="156">
        <v>0</v>
      </c>
      <c r="O165" s="157">
        <v>133.35483870967741</v>
      </c>
      <c r="P165" s="158">
        <v>129.78947368421052</v>
      </c>
      <c r="Q165" s="154">
        <v>0.51741296994676289</v>
      </c>
      <c r="R165" s="156">
        <v>0.63297260978192782</v>
      </c>
      <c r="S165" s="154">
        <v>0.25469001330602736</v>
      </c>
      <c r="T165" s="156">
        <v>0.12237602799190715</v>
      </c>
      <c r="U165" s="157">
        <v>3402215</v>
      </c>
      <c r="V165" s="158">
        <v>4072988</v>
      </c>
      <c r="W165" s="157">
        <v>13076029</v>
      </c>
      <c r="X165" s="158">
        <v>12533051</v>
      </c>
      <c r="Y165" s="157">
        <v>-1883926</v>
      </c>
      <c r="Z165" s="158">
        <v>443770</v>
      </c>
      <c r="AA165" s="159">
        <v>3050171</v>
      </c>
      <c r="AB165" s="159">
        <v>3493941</v>
      </c>
      <c r="AC165" s="157">
        <v>0</v>
      </c>
      <c r="AD165" s="158">
        <v>0</v>
      </c>
      <c r="AE165" s="157">
        <v>0</v>
      </c>
      <c r="AF165" s="158">
        <v>0</v>
      </c>
      <c r="AG165" s="157">
        <v>44059.539999999935</v>
      </c>
      <c r="AH165" s="158">
        <v>3066735.5900000017</v>
      </c>
      <c r="AI165" s="157">
        <v>1525934.3999999994</v>
      </c>
      <c r="AJ165" s="158">
        <v>5716450.3200000022</v>
      </c>
      <c r="AK165" s="154">
        <v>0</v>
      </c>
      <c r="AL165" s="156">
        <v>0</v>
      </c>
      <c r="AM165" s="154">
        <v>4.528535105352745E-3</v>
      </c>
      <c r="AN165" s="156">
        <v>0.28452528564227697</v>
      </c>
      <c r="AO165" s="154">
        <v>0.15683884804211268</v>
      </c>
      <c r="AP165" s="156">
        <v>0.53036025194395231</v>
      </c>
      <c r="AQ165" s="154">
        <v>0.92810000000000004</v>
      </c>
      <c r="AR165" s="155">
        <v>0.74024000000000001</v>
      </c>
      <c r="AS165" s="156">
        <v>0.83420000000000005</v>
      </c>
    </row>
    <row r="166" spans="1:45" x14ac:dyDescent="0.2">
      <c r="A166" s="152">
        <v>6618</v>
      </c>
      <c r="B166" s="153" t="s">
        <v>201</v>
      </c>
      <c r="C166" s="154">
        <v>0.20310391694303498</v>
      </c>
      <c r="D166" s="156">
        <v>0.21351254998111227</v>
      </c>
      <c r="E166" s="154">
        <v>0.63845149209341923</v>
      </c>
      <c r="F166" s="156">
        <v>1.1874627640979434</v>
      </c>
      <c r="G166" s="154">
        <v>7.6315296362575594E-3</v>
      </c>
      <c r="H166" s="156">
        <v>0.11248334977352704</v>
      </c>
      <c r="I166" s="154">
        <v>1.2345323990545929</v>
      </c>
      <c r="J166" s="156">
        <v>0.74368983198205096</v>
      </c>
      <c r="K166" s="157">
        <v>552</v>
      </c>
      <c r="L166" s="158">
        <v>418</v>
      </c>
      <c r="M166" s="154">
        <v>0.3277417700965406</v>
      </c>
      <c r="N166" s="156">
        <v>8.395493478122161E-2</v>
      </c>
      <c r="O166" s="157">
        <v>196.61904761904762</v>
      </c>
      <c r="P166" s="158">
        <v>205.15</v>
      </c>
      <c r="Q166" s="154">
        <v>0.62965109047634737</v>
      </c>
      <c r="R166" s="156">
        <v>0.71450266824290354</v>
      </c>
      <c r="S166" s="154">
        <v>0.1306581398217653</v>
      </c>
      <c r="T166" s="156">
        <v>3.0852266911124807E-2</v>
      </c>
      <c r="U166" s="157">
        <v>2978562</v>
      </c>
      <c r="V166" s="158">
        <v>3858722</v>
      </c>
      <c r="W166" s="157">
        <v>15661596</v>
      </c>
      <c r="X166" s="158">
        <v>15132243</v>
      </c>
      <c r="Y166" s="157">
        <v>111918</v>
      </c>
      <c r="Z166" s="158">
        <v>2032864</v>
      </c>
      <c r="AA166" s="159">
        <v>2622002</v>
      </c>
      <c r="AB166" s="159">
        <v>4399448</v>
      </c>
      <c r="AC166" s="157">
        <v>4555748</v>
      </c>
      <c r="AD166" s="158">
        <v>3426716</v>
      </c>
      <c r="AE166" s="157">
        <v>1209453</v>
      </c>
      <c r="AF166" s="158">
        <v>386841</v>
      </c>
      <c r="AG166" s="157">
        <v>397572.89000000065</v>
      </c>
      <c r="AH166" s="158">
        <v>575737.51999999932</v>
      </c>
      <c r="AI166" s="157">
        <v>1644634.8200000003</v>
      </c>
      <c r="AJ166" s="158">
        <v>5084246.22</v>
      </c>
      <c r="AK166" s="154">
        <v>7.7224121986035135E-2</v>
      </c>
      <c r="AL166" s="156">
        <v>2.5564022465142808E-2</v>
      </c>
      <c r="AM166" s="154">
        <v>3.2993335240371978E-2</v>
      </c>
      <c r="AN166" s="156">
        <v>4.2681545989871505E-2</v>
      </c>
      <c r="AO166" s="154">
        <v>0.13648311876659586</v>
      </c>
      <c r="AP166" s="156">
        <v>0.37691392574651139</v>
      </c>
      <c r="AQ166" s="154">
        <v>0.88319000000000003</v>
      </c>
      <c r="AR166" s="155">
        <v>0.79095000000000004</v>
      </c>
      <c r="AS166" s="156">
        <v>0.83709999999999996</v>
      </c>
    </row>
    <row r="167" spans="1:45" x14ac:dyDescent="0.2">
      <c r="A167" s="152">
        <v>6701</v>
      </c>
      <c r="B167" s="153" t="s">
        <v>203</v>
      </c>
      <c r="C167" s="154">
        <v>0.17092460715280666</v>
      </c>
      <c r="D167" s="156">
        <v>0.14825106855079026</v>
      </c>
      <c r="E167" s="154">
        <v>0.53140110231768045</v>
      </c>
      <c r="F167" s="156">
        <v>0.59535642628321406</v>
      </c>
      <c r="G167" s="154">
        <v>-6.395776210531473E-2</v>
      </c>
      <c r="H167" s="156">
        <v>-1.6649610049529823E-2</v>
      </c>
      <c r="I167" s="154">
        <v>0</v>
      </c>
      <c r="J167" s="156">
        <v>0</v>
      </c>
      <c r="K167" s="157">
        <v>0</v>
      </c>
      <c r="L167" s="158">
        <v>0</v>
      </c>
      <c r="M167" s="154">
        <v>0</v>
      </c>
      <c r="N167" s="156">
        <v>0</v>
      </c>
      <c r="O167" s="157">
        <v>131.31666666666666</v>
      </c>
      <c r="P167" s="158">
        <v>134.36206896551724</v>
      </c>
      <c r="Q167" s="154">
        <v>0.65193199698015225</v>
      </c>
      <c r="R167" s="156">
        <v>0.72758314012903391</v>
      </c>
      <c r="S167" s="154">
        <v>9.7941493977943828E-2</v>
      </c>
      <c r="T167" s="156">
        <v>7.9149695286898233E-2</v>
      </c>
      <c r="U167" s="157">
        <v>2281763</v>
      </c>
      <c r="V167" s="158">
        <v>2239997</v>
      </c>
      <c r="W167" s="157">
        <v>14172900</v>
      </c>
      <c r="X167" s="158">
        <v>15387425</v>
      </c>
      <c r="Y167" s="157">
        <v>-853806</v>
      </c>
      <c r="Z167" s="158">
        <v>-251567</v>
      </c>
      <c r="AA167" s="159">
        <v>2511215</v>
      </c>
      <c r="AB167" s="159">
        <v>2276116</v>
      </c>
      <c r="AC167" s="157">
        <v>0</v>
      </c>
      <c r="AD167" s="158">
        <v>0</v>
      </c>
      <c r="AE167" s="157">
        <v>0</v>
      </c>
      <c r="AF167" s="158">
        <v>0</v>
      </c>
      <c r="AG167" s="157">
        <v>136439.16000000009</v>
      </c>
      <c r="AH167" s="158">
        <v>36609.49000000026</v>
      </c>
      <c r="AI167" s="157">
        <v>1040754.9999999998</v>
      </c>
      <c r="AJ167" s="158">
        <v>3959901.53</v>
      </c>
      <c r="AK167" s="154">
        <v>0</v>
      </c>
      <c r="AL167" s="156">
        <v>0</v>
      </c>
      <c r="AM167" s="154">
        <v>1.2781272154716181E-2</v>
      </c>
      <c r="AN167" s="156">
        <v>2.9520311240823667E-3</v>
      </c>
      <c r="AO167" s="154">
        <v>9.7495271162484631E-2</v>
      </c>
      <c r="AP167" s="156">
        <v>0.31930935298091562</v>
      </c>
      <c r="AQ167" s="154">
        <v>0.80571999999999999</v>
      </c>
      <c r="AR167" s="155">
        <v>0.67315000000000003</v>
      </c>
      <c r="AS167" s="156">
        <v>0.73939999999999995</v>
      </c>
    </row>
    <row r="168" spans="1:45" x14ac:dyDescent="0.2">
      <c r="A168" s="152">
        <v>6702</v>
      </c>
      <c r="B168" s="153" t="s">
        <v>204</v>
      </c>
      <c r="C168" s="154">
        <v>0.13571818653211778</v>
      </c>
      <c r="D168" s="156">
        <v>0.14194040020495319</v>
      </c>
      <c r="E168" s="154">
        <v>0.52771487024354835</v>
      </c>
      <c r="F168" s="156">
        <v>0.48155965024310021</v>
      </c>
      <c r="G168" s="154">
        <v>4.1528436374419116E-2</v>
      </c>
      <c r="H168" s="156">
        <v>-8.2289268665764789E-2</v>
      </c>
      <c r="I168" s="154">
        <v>0</v>
      </c>
      <c r="J168" s="156">
        <v>0</v>
      </c>
      <c r="K168" s="157">
        <v>0</v>
      </c>
      <c r="L168" s="158">
        <v>0</v>
      </c>
      <c r="M168" s="154">
        <v>0</v>
      </c>
      <c r="N168" s="156">
        <v>0</v>
      </c>
      <c r="O168" s="157">
        <v>167.83928571428572</v>
      </c>
      <c r="P168" s="158">
        <v>168.24107142857142</v>
      </c>
      <c r="Q168" s="154">
        <v>0.64480824513615453</v>
      </c>
      <c r="R168" s="156">
        <v>0.6491635774613026</v>
      </c>
      <c r="S168" s="154">
        <v>0.13397597435583719</v>
      </c>
      <c r="T168" s="156">
        <v>0.15353192721325126</v>
      </c>
      <c r="U168" s="157">
        <v>5609503</v>
      </c>
      <c r="V168" s="158">
        <v>6215501</v>
      </c>
      <c r="W168" s="157">
        <v>38994917</v>
      </c>
      <c r="X168" s="158">
        <v>46906615</v>
      </c>
      <c r="Y168" s="157">
        <v>1716453</v>
      </c>
      <c r="Z168" s="158">
        <v>-3603407</v>
      </c>
      <c r="AA168" s="159">
        <v>11382265</v>
      </c>
      <c r="AB168" s="159">
        <v>7875858</v>
      </c>
      <c r="AC168" s="157">
        <v>0</v>
      </c>
      <c r="AD168" s="158">
        <v>0</v>
      </c>
      <c r="AE168" s="157">
        <v>0</v>
      </c>
      <c r="AF168" s="158">
        <v>0</v>
      </c>
      <c r="AG168" s="157">
        <v>147021.12999999957</v>
      </c>
      <c r="AH168" s="158">
        <v>1263133.6300000024</v>
      </c>
      <c r="AI168" s="157">
        <v>7353087.6799999997</v>
      </c>
      <c r="AJ168" s="158">
        <v>6945744.6399999987</v>
      </c>
      <c r="AK168" s="154">
        <v>0</v>
      </c>
      <c r="AL168" s="156">
        <v>0</v>
      </c>
      <c r="AM168" s="154">
        <v>4.9106634862610219E-3</v>
      </c>
      <c r="AN168" s="156">
        <v>3.5312534447395426E-2</v>
      </c>
      <c r="AO168" s="154">
        <v>0.24560101790437794</v>
      </c>
      <c r="AP168" s="156">
        <v>0.19417727549761429</v>
      </c>
      <c r="AQ168" s="154">
        <v>0.88134000000000001</v>
      </c>
      <c r="AR168" s="155">
        <v>0.73163</v>
      </c>
      <c r="AS168" s="156">
        <v>0.80649999999999999</v>
      </c>
    </row>
    <row r="169" spans="1:45" x14ac:dyDescent="0.2">
      <c r="A169" s="152">
        <v>6703</v>
      </c>
      <c r="B169" s="153" t="s">
        <v>205</v>
      </c>
      <c r="C169" s="154">
        <v>0.19860766528601387</v>
      </c>
      <c r="D169" s="156">
        <v>0.16726473455912086</v>
      </c>
      <c r="E169" s="154">
        <v>0.82281399076650319</v>
      </c>
      <c r="F169" s="156">
        <v>0.84699891138747407</v>
      </c>
      <c r="G169" s="154">
        <v>4.0017288868910067E-2</v>
      </c>
      <c r="H169" s="156">
        <v>2.6786712529168057E-2</v>
      </c>
      <c r="I169" s="154">
        <v>0.29888861148768914</v>
      </c>
      <c r="J169" s="156">
        <v>0.23920933939531533</v>
      </c>
      <c r="K169" s="157">
        <v>163</v>
      </c>
      <c r="L169" s="158">
        <v>123</v>
      </c>
      <c r="M169" s="154">
        <v>6.3233015773608181E-2</v>
      </c>
      <c r="N169" s="156">
        <v>3.871327166366461E-2</v>
      </c>
      <c r="O169" s="157">
        <v>197.57142857142858</v>
      </c>
      <c r="P169" s="158">
        <v>190.33333333333334</v>
      </c>
      <c r="Q169" s="154">
        <v>0.67846497641401282</v>
      </c>
      <c r="R169" s="156">
        <v>0.72815936125682612</v>
      </c>
      <c r="S169" s="154">
        <v>9.2383911555806261E-2</v>
      </c>
      <c r="T169" s="156">
        <v>7.2292526305405239E-2</v>
      </c>
      <c r="U169" s="157">
        <v>5567352</v>
      </c>
      <c r="V169" s="158">
        <v>5079134</v>
      </c>
      <c r="W169" s="157">
        <v>26930609</v>
      </c>
      <c r="X169" s="158">
        <v>29629937</v>
      </c>
      <c r="Y169" s="157">
        <v>1121761</v>
      </c>
      <c r="Z169" s="158">
        <v>813401</v>
      </c>
      <c r="AA169" s="159">
        <v>2405803</v>
      </c>
      <c r="AB169" s="159">
        <v>2627959</v>
      </c>
      <c r="AC169" s="157">
        <v>2260271</v>
      </c>
      <c r="AD169" s="158">
        <v>1692175</v>
      </c>
      <c r="AE169" s="157">
        <v>478184</v>
      </c>
      <c r="AF169" s="158">
        <v>273859</v>
      </c>
      <c r="AG169" s="157">
        <v>1321365.3100000028</v>
      </c>
      <c r="AH169" s="158">
        <v>1266294.0099999995</v>
      </c>
      <c r="AI169" s="157">
        <v>6538938.46</v>
      </c>
      <c r="AJ169" s="158">
        <v>7080117.1200000001</v>
      </c>
      <c r="AK169" s="154">
        <v>1.7756152488048078E-2</v>
      </c>
      <c r="AL169" s="156">
        <v>9.2426453691076028E-3</v>
      </c>
      <c r="AM169" s="154">
        <v>6.051384213770887E-2</v>
      </c>
      <c r="AN169" s="156">
        <v>5.0194251841088895E-2</v>
      </c>
      <c r="AO169" s="154">
        <v>0.29946017707747474</v>
      </c>
      <c r="AP169" s="156">
        <v>0.28064665786872445</v>
      </c>
      <c r="AQ169" s="154">
        <v>0.81572</v>
      </c>
      <c r="AR169" s="155">
        <v>0.77020999999999995</v>
      </c>
      <c r="AS169" s="156">
        <v>0.79300000000000004</v>
      </c>
    </row>
    <row r="170" spans="1:45" x14ac:dyDescent="0.2">
      <c r="A170" s="152">
        <v>6704</v>
      </c>
      <c r="B170" s="153" t="s">
        <v>206</v>
      </c>
      <c r="C170" s="154">
        <v>0.1389467195524032</v>
      </c>
      <c r="D170" s="156">
        <v>0.15943562822042018</v>
      </c>
      <c r="E170" s="154">
        <v>0.64125700024311583</v>
      </c>
      <c r="F170" s="156">
        <v>0.55359651828244405</v>
      </c>
      <c r="G170" s="154">
        <v>3.3852689291985004E-2</v>
      </c>
      <c r="H170" s="156">
        <v>-6.2960392332241474E-2</v>
      </c>
      <c r="I170" s="154">
        <v>4.5354115010863255E-2</v>
      </c>
      <c r="J170" s="156">
        <v>2.6027114527372327E-2</v>
      </c>
      <c r="K170" s="157">
        <v>19</v>
      </c>
      <c r="L170" s="158">
        <v>13</v>
      </c>
      <c r="M170" s="154">
        <v>5.9594011082020393E-2</v>
      </c>
      <c r="N170" s="156">
        <v>8.7332160898580924E-2</v>
      </c>
      <c r="O170" s="157">
        <v>120.53968253968254</v>
      </c>
      <c r="P170" s="158">
        <v>120.66666666666667</v>
      </c>
      <c r="Q170" s="154">
        <v>0.65745756890340379</v>
      </c>
      <c r="R170" s="156">
        <v>0.62779216682234096</v>
      </c>
      <c r="S170" s="154">
        <v>7.8353545822003184E-2</v>
      </c>
      <c r="T170" s="156">
        <v>5.1806795638542909E-2</v>
      </c>
      <c r="U170" s="157">
        <v>2104853</v>
      </c>
      <c r="V170" s="158">
        <v>2681647</v>
      </c>
      <c r="W170" s="157">
        <v>14408831</v>
      </c>
      <c r="X170" s="158">
        <v>17802124</v>
      </c>
      <c r="Y170" s="157">
        <v>512822</v>
      </c>
      <c r="Z170" s="158">
        <v>-1058970</v>
      </c>
      <c r="AA170" s="159">
        <v>2019265</v>
      </c>
      <c r="AB170" s="159">
        <v>916822</v>
      </c>
      <c r="AC170" s="157">
        <v>147816</v>
      </c>
      <c r="AD170" s="158">
        <v>100000</v>
      </c>
      <c r="AE170" s="157">
        <v>194226</v>
      </c>
      <c r="AF170" s="158">
        <v>335543</v>
      </c>
      <c r="AG170" s="157">
        <v>508893.08999999997</v>
      </c>
      <c r="AH170" s="158">
        <v>529473.41999999981</v>
      </c>
      <c r="AI170" s="157">
        <v>2642887.4500000002</v>
      </c>
      <c r="AJ170" s="158">
        <v>1935833.4300000002</v>
      </c>
      <c r="AK170" s="154">
        <v>1.3479650084035269E-2</v>
      </c>
      <c r="AL170" s="156">
        <v>1.8848481226172786E-2</v>
      </c>
      <c r="AM170" s="154">
        <v>4.0019402871574662E-2</v>
      </c>
      <c r="AN170" s="156">
        <v>3.6351518083333659E-2</v>
      </c>
      <c r="AO170" s="154">
        <v>0.20783693016106516</v>
      </c>
      <c r="AP170" s="156">
        <v>0.13290654691781667</v>
      </c>
      <c r="AQ170" s="154">
        <v>0.68750999999999995</v>
      </c>
      <c r="AR170" s="155">
        <v>0.65747</v>
      </c>
      <c r="AS170" s="156">
        <v>0.67249999999999999</v>
      </c>
    </row>
    <row r="171" spans="1:45" x14ac:dyDescent="0.2">
      <c r="A171" s="152">
        <v>6705</v>
      </c>
      <c r="B171" s="153" t="s">
        <v>202</v>
      </c>
      <c r="C171" s="154">
        <v>0.27014681759418624</v>
      </c>
      <c r="D171" s="156">
        <v>0.24142904060476431</v>
      </c>
      <c r="E171" s="154">
        <v>0.69302165471677368</v>
      </c>
      <c r="F171" s="156">
        <v>0.61604183503329146</v>
      </c>
      <c r="G171" s="154">
        <v>-6.0346327367646724E-2</v>
      </c>
      <c r="H171" s="156">
        <v>-3.2863415685256037E-3</v>
      </c>
      <c r="I171" s="154">
        <v>0.11680300640962071</v>
      </c>
      <c r="J171" s="156">
        <v>4.5854946066814728E-2</v>
      </c>
      <c r="K171" s="157">
        <v>72</v>
      </c>
      <c r="L171" s="158">
        <v>30</v>
      </c>
      <c r="M171" s="154">
        <v>2.5491999478882087E-3</v>
      </c>
      <c r="N171" s="156">
        <v>0</v>
      </c>
      <c r="O171" s="157">
        <v>251.63529411764705</v>
      </c>
      <c r="P171" s="158">
        <v>262.38888888888891</v>
      </c>
      <c r="Q171" s="154">
        <v>0.65071086682370349</v>
      </c>
      <c r="R171" s="156">
        <v>0.64830790099988056</v>
      </c>
      <c r="S171" s="154">
        <v>0.11001000226208343</v>
      </c>
      <c r="T171" s="156">
        <v>0.11339217880431458</v>
      </c>
      <c r="U171" s="157">
        <v>22745329</v>
      </c>
      <c r="V171" s="158">
        <v>24735897</v>
      </c>
      <c r="W171" s="157">
        <v>89377782</v>
      </c>
      <c r="X171" s="158">
        <v>104013329</v>
      </c>
      <c r="Y171" s="157">
        <v>-5080930</v>
      </c>
      <c r="Z171" s="158">
        <v>-336706</v>
      </c>
      <c r="AA171" s="159">
        <v>12444231</v>
      </c>
      <c r="AB171" s="159">
        <v>9843921</v>
      </c>
      <c r="AC171" s="157">
        <v>3063536</v>
      </c>
      <c r="AD171" s="158">
        <v>1293976</v>
      </c>
      <c r="AE171" s="157">
        <v>66861</v>
      </c>
      <c r="AF171" s="158">
        <v>0</v>
      </c>
      <c r="AG171" s="157">
        <v>949042.26999999641</v>
      </c>
      <c r="AH171" s="158">
        <v>3290744.5200000033</v>
      </c>
      <c r="AI171" s="157">
        <v>21329354.439999998</v>
      </c>
      <c r="AJ171" s="158">
        <v>9338821.4800000004</v>
      </c>
      <c r="AK171" s="154">
        <v>7.4807181945956097E-4</v>
      </c>
      <c r="AL171" s="156">
        <v>0</v>
      </c>
      <c r="AM171" s="154">
        <v>1.3590380907662635E-2</v>
      </c>
      <c r="AN171" s="156">
        <v>3.9793172622943372E-2</v>
      </c>
      <c r="AO171" s="154">
        <v>0.30543850418184887</v>
      </c>
      <c r="AP171" s="156">
        <v>0.11292925749474199</v>
      </c>
      <c r="AQ171" s="154">
        <v>0.88485999999999998</v>
      </c>
      <c r="AR171" s="155">
        <v>0.69799</v>
      </c>
      <c r="AS171" s="156">
        <v>0.79139999999999999</v>
      </c>
    </row>
    <row r="172" spans="1:45" x14ac:dyDescent="0.2">
      <c r="A172" s="152">
        <v>6706</v>
      </c>
      <c r="B172" s="153" t="s">
        <v>207</v>
      </c>
      <c r="C172" s="154">
        <v>7.8063535330671716E-2</v>
      </c>
      <c r="D172" s="156">
        <v>7.9213687797399956E-2</v>
      </c>
      <c r="E172" s="154">
        <v>0.4394941392996804</v>
      </c>
      <c r="F172" s="156">
        <v>0.39855946370556106</v>
      </c>
      <c r="G172" s="154">
        <v>3.6177862966726544E-2</v>
      </c>
      <c r="H172" s="156">
        <v>-3.3823190199597036E-2</v>
      </c>
      <c r="I172" s="154">
        <v>0</v>
      </c>
      <c r="J172" s="156">
        <v>0</v>
      </c>
      <c r="K172" s="157">
        <v>0</v>
      </c>
      <c r="L172" s="158">
        <v>0</v>
      </c>
      <c r="M172" s="154">
        <v>5.2011799114764383E-2</v>
      </c>
      <c r="N172" s="156">
        <v>0</v>
      </c>
      <c r="O172" s="157">
        <v>133.19540229885058</v>
      </c>
      <c r="P172" s="158">
        <v>126.06451612903226</v>
      </c>
      <c r="Q172" s="154">
        <v>0.70048658609491521</v>
      </c>
      <c r="R172" s="156">
        <v>0.70844568765345217</v>
      </c>
      <c r="S172" s="154">
        <v>9.7248248782702593E-2</v>
      </c>
      <c r="T172" s="156">
        <v>0.10933764272777871</v>
      </c>
      <c r="U172" s="157">
        <v>1215701</v>
      </c>
      <c r="V172" s="158">
        <v>1377783</v>
      </c>
      <c r="W172" s="157">
        <v>15020980</v>
      </c>
      <c r="X172" s="158">
        <v>17772644</v>
      </c>
      <c r="Y172" s="157">
        <v>563406</v>
      </c>
      <c r="Z172" s="158">
        <v>-588295</v>
      </c>
      <c r="AA172" s="159">
        <v>3698613</v>
      </c>
      <c r="AB172" s="159">
        <v>3122147</v>
      </c>
      <c r="AC172" s="157">
        <v>0</v>
      </c>
      <c r="AD172" s="158">
        <v>0</v>
      </c>
      <c r="AE172" s="157">
        <v>120553</v>
      </c>
      <c r="AF172" s="158">
        <v>0</v>
      </c>
      <c r="AG172" s="157">
        <v>309638.2600000003</v>
      </c>
      <c r="AH172" s="158">
        <v>470382.89999999921</v>
      </c>
      <c r="AI172" s="157">
        <v>4831953.17</v>
      </c>
      <c r="AJ172" s="158">
        <v>7307451</v>
      </c>
      <c r="AK172" s="154">
        <v>8.0256414694647085E-3</v>
      </c>
      <c r="AL172" s="156">
        <v>0</v>
      </c>
      <c r="AM172" s="154">
        <v>2.5530684445348891E-2</v>
      </c>
      <c r="AN172" s="156">
        <v>3.2931361029680063E-2</v>
      </c>
      <c r="AO172" s="154">
        <v>0.39841029864323985</v>
      </c>
      <c r="AP172" s="156">
        <v>0.51159237950124681</v>
      </c>
      <c r="AQ172" s="154">
        <v>0.79718</v>
      </c>
      <c r="AR172" s="155">
        <v>0.69464000000000004</v>
      </c>
      <c r="AS172" s="156">
        <v>0.74590000000000001</v>
      </c>
    </row>
    <row r="173" spans="1:45" x14ac:dyDescent="0.2">
      <c r="A173" s="152">
        <v>6707</v>
      </c>
      <c r="B173" s="153" t="s">
        <v>208</v>
      </c>
      <c r="C173" s="154">
        <v>8.4039656483444788E-2</v>
      </c>
      <c r="D173" s="156">
        <v>0.12288179613398649</v>
      </c>
      <c r="E173" s="154">
        <v>0.44380890910146059</v>
      </c>
      <c r="F173" s="156">
        <v>0.44575569665619313</v>
      </c>
      <c r="G173" s="154">
        <v>6.1516116175517117E-2</v>
      </c>
      <c r="H173" s="156">
        <v>-0.44627898107818093</v>
      </c>
      <c r="I173" s="154">
        <v>0</v>
      </c>
      <c r="J173" s="156">
        <v>0</v>
      </c>
      <c r="K173" s="157">
        <v>0</v>
      </c>
      <c r="L173" s="158">
        <v>0</v>
      </c>
      <c r="M173" s="154">
        <v>3.10553930328527E-2</v>
      </c>
      <c r="N173" s="156">
        <v>9.8807470988505411E-3</v>
      </c>
      <c r="O173" s="157">
        <v>134.36363636363637</v>
      </c>
      <c r="P173" s="158">
        <v>132.87878787878788</v>
      </c>
      <c r="Q173" s="154">
        <v>0.49178722153480742</v>
      </c>
      <c r="R173" s="156">
        <v>0.47398146269068286</v>
      </c>
      <c r="S173" s="154">
        <v>0.28698482001830183</v>
      </c>
      <c r="T173" s="156">
        <v>0.34532167638251365</v>
      </c>
      <c r="U173" s="157">
        <v>940641</v>
      </c>
      <c r="V173" s="158">
        <v>1110681</v>
      </c>
      <c r="W173" s="157">
        <v>10451396</v>
      </c>
      <c r="X173" s="158">
        <v>12910180</v>
      </c>
      <c r="Y173" s="157">
        <v>688539</v>
      </c>
      <c r="Z173" s="158">
        <v>-4033743</v>
      </c>
      <c r="AA173" s="159">
        <v>4469718</v>
      </c>
      <c r="AB173" s="159">
        <v>433870</v>
      </c>
      <c r="AC173" s="157">
        <v>0</v>
      </c>
      <c r="AD173" s="158">
        <v>0</v>
      </c>
      <c r="AE173" s="157">
        <v>54342</v>
      </c>
      <c r="AF173" s="158">
        <v>19041</v>
      </c>
      <c r="AG173" s="157">
        <v>132317.82000000027</v>
      </c>
      <c r="AH173" s="158">
        <v>103911.17000000027</v>
      </c>
      <c r="AI173" s="157">
        <v>3252299.2299999995</v>
      </c>
      <c r="AJ173" s="158">
        <v>2016889.9799999995</v>
      </c>
      <c r="AK173" s="154">
        <v>5.1994967944952045E-3</v>
      </c>
      <c r="AL173" s="156">
        <v>1.4748826120162539E-3</v>
      </c>
      <c r="AM173" s="154">
        <v>1.845559342572816E-2</v>
      </c>
      <c r="AN173" s="156">
        <v>1.151407175254701E-2</v>
      </c>
      <c r="AO173" s="154">
        <v>0.45362833432177641</v>
      </c>
      <c r="AP173" s="156">
        <v>0.22348527060866541</v>
      </c>
      <c r="AQ173" s="154">
        <v>0.70837000000000006</v>
      </c>
      <c r="AR173" s="155">
        <v>0.46761999999999998</v>
      </c>
      <c r="AS173" s="156">
        <v>0.58799999999999997</v>
      </c>
    </row>
    <row r="174" spans="1:45" x14ac:dyDescent="0.2">
      <c r="A174" s="152">
        <v>6801</v>
      </c>
      <c r="B174" s="153" t="s">
        <v>210</v>
      </c>
      <c r="C174" s="154">
        <v>0.16574922368471645</v>
      </c>
      <c r="D174" s="156">
        <v>0.18347077098293876</v>
      </c>
      <c r="E174" s="154">
        <v>0.2499210955226307</v>
      </c>
      <c r="F174" s="156">
        <v>0.51160243356322876</v>
      </c>
      <c r="G174" s="154">
        <v>-0.32145170129779255</v>
      </c>
      <c r="H174" s="156">
        <v>-7.1856127315127638E-2</v>
      </c>
      <c r="I174" s="154">
        <v>0</v>
      </c>
      <c r="J174" s="156">
        <v>0</v>
      </c>
      <c r="K174" s="157">
        <v>0</v>
      </c>
      <c r="L174" s="158">
        <v>0</v>
      </c>
      <c r="M174" s="154">
        <v>0</v>
      </c>
      <c r="N174" s="156">
        <v>0</v>
      </c>
      <c r="O174" s="157">
        <v>92.402366863905328</v>
      </c>
      <c r="P174" s="158">
        <v>77.099999999999994</v>
      </c>
      <c r="Q174" s="154">
        <v>0.41330961854596482</v>
      </c>
      <c r="R174" s="156">
        <v>0.61091401525868683</v>
      </c>
      <c r="S174" s="154">
        <v>0.21479051599385082</v>
      </c>
      <c r="T174" s="156">
        <v>0.17287034810829358</v>
      </c>
      <c r="U174" s="157">
        <v>1651001</v>
      </c>
      <c r="V174" s="158">
        <v>1777181</v>
      </c>
      <c r="W174" s="157">
        <v>13132172</v>
      </c>
      <c r="X174" s="158">
        <v>10352267</v>
      </c>
      <c r="Y174" s="157">
        <v>-3201928</v>
      </c>
      <c r="Z174" s="158">
        <v>-696031</v>
      </c>
      <c r="AA174" s="159">
        <v>3597018</v>
      </c>
      <c r="AB174" s="159">
        <v>2881872</v>
      </c>
      <c r="AC174" s="157">
        <v>0</v>
      </c>
      <c r="AD174" s="158">
        <v>0</v>
      </c>
      <c r="AE174" s="157">
        <v>0</v>
      </c>
      <c r="AF174" s="158">
        <v>0</v>
      </c>
      <c r="AG174" s="157">
        <v>49319.130000000121</v>
      </c>
      <c r="AH174" s="158">
        <v>53633.900000000125</v>
      </c>
      <c r="AI174" s="157">
        <v>4254379.4600000009</v>
      </c>
      <c r="AJ174" s="158">
        <v>12098502.32</v>
      </c>
      <c r="AK174" s="154">
        <v>0</v>
      </c>
      <c r="AL174" s="156">
        <v>0</v>
      </c>
      <c r="AM174" s="154">
        <v>6.2084317579726468E-3</v>
      </c>
      <c r="AN174" s="156">
        <v>5.8169005820490598E-3</v>
      </c>
      <c r="AO174" s="154">
        <v>0.53555333498239854</v>
      </c>
      <c r="AP174" s="156">
        <v>1.3121511802634107</v>
      </c>
      <c r="AQ174" s="154">
        <v>0.77278999999999998</v>
      </c>
      <c r="AR174" s="155">
        <v>0.65654999999999997</v>
      </c>
      <c r="AS174" s="156">
        <v>0.7147</v>
      </c>
    </row>
    <row r="175" spans="1:45" x14ac:dyDescent="0.2">
      <c r="A175" s="152">
        <v>6802</v>
      </c>
      <c r="B175" s="153" t="s">
        <v>69</v>
      </c>
      <c r="C175" s="154">
        <v>0.20011415124623516</v>
      </c>
      <c r="D175" s="156">
        <v>0.25380651810781513</v>
      </c>
      <c r="E175" s="154">
        <v>0.66325028495283345</v>
      </c>
      <c r="F175" s="156">
        <v>0.25331910205101377</v>
      </c>
      <c r="G175" s="154">
        <v>0.18526948991101203</v>
      </c>
      <c r="H175" s="156">
        <v>-0.54842035404151634</v>
      </c>
      <c r="I175" s="154">
        <v>1.0805513190848379</v>
      </c>
      <c r="J175" s="156">
        <v>0.9187325833015747</v>
      </c>
      <c r="K175" s="157">
        <v>601</v>
      </c>
      <c r="L175" s="158">
        <v>560</v>
      </c>
      <c r="M175" s="154">
        <v>1.5634731582667874E-3</v>
      </c>
      <c r="N175" s="156">
        <v>1.5639773592492884E-2</v>
      </c>
      <c r="O175" s="157">
        <v>179.31578947368422</v>
      </c>
      <c r="P175" s="158">
        <v>193.71153846153845</v>
      </c>
      <c r="Q175" s="154">
        <v>0.61821559352810329</v>
      </c>
      <c r="R175" s="156">
        <v>0.40880915364788389</v>
      </c>
      <c r="S175" s="154">
        <v>8.8667268960103504E-2</v>
      </c>
      <c r="T175" s="156">
        <v>0.43164743651635834</v>
      </c>
      <c r="U175" s="157">
        <v>4563219</v>
      </c>
      <c r="V175" s="158">
        <v>5006829</v>
      </c>
      <c r="W175" s="157">
        <v>18142873</v>
      </c>
      <c r="X175" s="158">
        <v>32593869</v>
      </c>
      <c r="Y175" s="157">
        <v>4224715</v>
      </c>
      <c r="Z175" s="158">
        <v>-10818662</v>
      </c>
      <c r="AA175" s="159">
        <v>13821408</v>
      </c>
      <c r="AB175" s="159">
        <v>2436830</v>
      </c>
      <c r="AC175" s="157">
        <v>6143387</v>
      </c>
      <c r="AD175" s="158">
        <v>5638656</v>
      </c>
      <c r="AE175" s="157">
        <v>8889</v>
      </c>
      <c r="AF175" s="158">
        <v>95988</v>
      </c>
      <c r="AG175" s="157">
        <v>72275.879999999888</v>
      </c>
      <c r="AH175" s="158">
        <v>609137.50999999954</v>
      </c>
      <c r="AI175" s="157">
        <v>5329829.53</v>
      </c>
      <c r="AJ175" s="158">
        <v>14232077.010000002</v>
      </c>
      <c r="AK175" s="154">
        <v>4.8994445367059563E-4</v>
      </c>
      <c r="AL175" s="156">
        <v>2.9449710312083538E-3</v>
      </c>
      <c r="AM175" s="154">
        <v>4.5777987665333881E-3</v>
      </c>
      <c r="AN175" s="156">
        <v>2.9497554555856679E-2</v>
      </c>
      <c r="AO175" s="154">
        <v>0.33757993743233938</v>
      </c>
      <c r="AP175" s="156">
        <v>0.68918997952634531</v>
      </c>
      <c r="AQ175" s="154">
        <v>0.85723000000000005</v>
      </c>
      <c r="AR175" s="155">
        <v>0.82750000000000001</v>
      </c>
      <c r="AS175" s="156">
        <v>0.84240000000000004</v>
      </c>
    </row>
    <row r="176" spans="1:45" x14ac:dyDescent="0.2">
      <c r="A176" s="152">
        <v>6803</v>
      </c>
      <c r="B176" s="153" t="s">
        <v>211</v>
      </c>
      <c r="C176" s="154">
        <v>0.17297493799839414</v>
      </c>
      <c r="D176" s="156">
        <v>0.1563385089648246</v>
      </c>
      <c r="E176" s="154">
        <v>0.29048369561776743</v>
      </c>
      <c r="F176" s="156">
        <v>0.2432421454146334</v>
      </c>
      <c r="G176" s="154">
        <v>-9.2811926241768164E-2</v>
      </c>
      <c r="H176" s="156">
        <v>-0.15968798463660486</v>
      </c>
      <c r="I176" s="154">
        <v>0.31050133996845264</v>
      </c>
      <c r="J176" s="156">
        <v>0.26118931313158783</v>
      </c>
      <c r="K176" s="157">
        <v>172</v>
      </c>
      <c r="L176" s="158">
        <v>152</v>
      </c>
      <c r="M176" s="154">
        <v>1.4037060944639885E-3</v>
      </c>
      <c r="N176" s="156">
        <v>1.3417833780977086E-3</v>
      </c>
      <c r="O176" s="157">
        <v>114.12865497076024</v>
      </c>
      <c r="P176" s="158">
        <v>108.91620111731844</v>
      </c>
      <c r="Q176" s="154">
        <v>0.41091023041667124</v>
      </c>
      <c r="R176" s="156">
        <v>0.38710551673819144</v>
      </c>
      <c r="S176" s="154">
        <v>0.32915846355742867</v>
      </c>
      <c r="T176" s="156">
        <v>0.43479503568299338</v>
      </c>
      <c r="U176" s="157">
        <v>4037814</v>
      </c>
      <c r="V176" s="158">
        <v>4287613</v>
      </c>
      <c r="W176" s="157">
        <v>25666589</v>
      </c>
      <c r="X176" s="158">
        <v>31617723</v>
      </c>
      <c r="Y176" s="157">
        <v>-2166541</v>
      </c>
      <c r="Z176" s="158">
        <v>-4379473</v>
      </c>
      <c r="AA176" s="159">
        <v>8332088</v>
      </c>
      <c r="AB176" s="159">
        <v>4143201</v>
      </c>
      <c r="AC176" s="157">
        <v>1680686</v>
      </c>
      <c r="AD176" s="158">
        <v>1479014</v>
      </c>
      <c r="AE176" s="157">
        <v>7598</v>
      </c>
      <c r="AF176" s="158">
        <v>7598</v>
      </c>
      <c r="AG176" s="157">
        <v>222632.3400000009</v>
      </c>
      <c r="AH176" s="158">
        <v>340370.27000000293</v>
      </c>
      <c r="AI176" s="157">
        <v>10519816.810000002</v>
      </c>
      <c r="AJ176" s="158">
        <v>10245179.159999998</v>
      </c>
      <c r="AK176" s="154">
        <v>2.9602686979559304E-4</v>
      </c>
      <c r="AL176" s="156">
        <v>2.4030826002239313E-4</v>
      </c>
      <c r="AM176" s="154">
        <v>1.3051211352834199E-2</v>
      </c>
      <c r="AN176" s="156">
        <v>1.5538978233897613E-2</v>
      </c>
      <c r="AO176" s="154">
        <v>0.61669545664573044</v>
      </c>
      <c r="AP176" s="156">
        <v>0.46772479855429216</v>
      </c>
      <c r="AQ176" s="154">
        <v>0.86573</v>
      </c>
      <c r="AR176" s="155">
        <v>0.54552</v>
      </c>
      <c r="AS176" s="156">
        <v>0.7056</v>
      </c>
    </row>
    <row r="177" spans="1:45" x14ac:dyDescent="0.2">
      <c r="A177" s="152">
        <v>6804</v>
      </c>
      <c r="B177" s="153" t="s">
        <v>212</v>
      </c>
      <c r="C177" s="154">
        <v>0.21802092426749273</v>
      </c>
      <c r="D177" s="156">
        <v>0.19653918825344294</v>
      </c>
      <c r="E177" s="154">
        <v>0.44097637735274897</v>
      </c>
      <c r="F177" s="156">
        <v>0.52600676704970795</v>
      </c>
      <c r="G177" s="154">
        <v>-8.0754981522148023E-2</v>
      </c>
      <c r="H177" s="156">
        <v>-5.1346089068429836E-2</v>
      </c>
      <c r="I177" s="154">
        <v>0</v>
      </c>
      <c r="J177" s="156">
        <v>0</v>
      </c>
      <c r="K177" s="157">
        <v>0</v>
      </c>
      <c r="L177" s="158">
        <v>0</v>
      </c>
      <c r="M177" s="154">
        <v>0</v>
      </c>
      <c r="N177" s="156">
        <v>2.3273037324160889E-3</v>
      </c>
      <c r="O177" s="157">
        <v>106.61417322834646</v>
      </c>
      <c r="P177" s="158">
        <v>129.55339805825244</v>
      </c>
      <c r="Q177" s="154">
        <v>0.51627999064161623</v>
      </c>
      <c r="R177" s="156">
        <v>0.64162374388997023</v>
      </c>
      <c r="S177" s="154">
        <v>0.2990884208993545</v>
      </c>
      <c r="T177" s="156">
        <v>0.15486890086499036</v>
      </c>
      <c r="U177" s="157">
        <v>3541659</v>
      </c>
      <c r="V177" s="158">
        <v>3037556</v>
      </c>
      <c r="W177" s="157">
        <v>17374795</v>
      </c>
      <c r="X177" s="158">
        <v>16200412</v>
      </c>
      <c r="Y177" s="157">
        <v>-1311831</v>
      </c>
      <c r="Z177" s="158">
        <v>-793565</v>
      </c>
      <c r="AA177" s="159">
        <v>2326871</v>
      </c>
      <c r="AB177" s="159">
        <v>1673551</v>
      </c>
      <c r="AC177" s="157">
        <v>0</v>
      </c>
      <c r="AD177" s="158">
        <v>0</v>
      </c>
      <c r="AE177" s="157">
        <v>0</v>
      </c>
      <c r="AF177" s="158">
        <v>9597</v>
      </c>
      <c r="AG177" s="157">
        <v>42190.450000000288</v>
      </c>
      <c r="AH177" s="158">
        <v>42761.80000000057</v>
      </c>
      <c r="AI177" s="157">
        <v>3831936.3999999994</v>
      </c>
      <c r="AJ177" s="158">
        <v>8583322.5</v>
      </c>
      <c r="AK177" s="154">
        <v>0</v>
      </c>
      <c r="AL177" s="156">
        <v>5.9239234162686727E-4</v>
      </c>
      <c r="AM177" s="154">
        <v>3.3326071555265348E-3</v>
      </c>
      <c r="AN177" s="156">
        <v>3.0165441594023098E-3</v>
      </c>
      <c r="AO177" s="154">
        <v>0.30268315853854366</v>
      </c>
      <c r="AP177" s="156">
        <v>0.60549301843330006</v>
      </c>
      <c r="AQ177" s="154">
        <v>0.81642000000000003</v>
      </c>
      <c r="AR177" s="155">
        <v>0.62594000000000005</v>
      </c>
      <c r="AS177" s="156">
        <v>0.72119999999999995</v>
      </c>
    </row>
    <row r="178" spans="1:45" x14ac:dyDescent="0.2">
      <c r="A178" s="152">
        <v>6805</v>
      </c>
      <c r="B178" s="153" t="s">
        <v>213</v>
      </c>
      <c r="C178" s="154">
        <v>0.21649530628791483</v>
      </c>
      <c r="D178" s="156">
        <v>0.17976868090078982</v>
      </c>
      <c r="E178" s="154">
        <v>0.54287438075748784</v>
      </c>
      <c r="F178" s="156">
        <v>0.21551801318686983</v>
      </c>
      <c r="G178" s="154">
        <v>0.12853950933281419</v>
      </c>
      <c r="H178" s="156">
        <v>-0.184508674526213</v>
      </c>
      <c r="I178" s="154">
        <v>0</v>
      </c>
      <c r="J178" s="156">
        <v>0</v>
      </c>
      <c r="K178" s="157">
        <v>0</v>
      </c>
      <c r="L178" s="158">
        <v>0</v>
      </c>
      <c r="M178" s="154">
        <v>0</v>
      </c>
      <c r="N178" s="156">
        <v>0</v>
      </c>
      <c r="O178" s="157">
        <v>124.73504273504274</v>
      </c>
      <c r="P178" s="158">
        <v>107.02985074626865</v>
      </c>
      <c r="Q178" s="154">
        <v>0.41421723576281988</v>
      </c>
      <c r="R178" s="156">
        <v>0.27349804324790056</v>
      </c>
      <c r="S178" s="154">
        <v>0.35068426465784264</v>
      </c>
      <c r="T178" s="156">
        <v>0.56445827156860107</v>
      </c>
      <c r="U178" s="157">
        <v>3389554</v>
      </c>
      <c r="V178" s="158">
        <v>3745641</v>
      </c>
      <c r="W178" s="157">
        <v>13570261</v>
      </c>
      <c r="X178" s="158">
        <v>24679672</v>
      </c>
      <c r="Y178" s="157">
        <v>2012476</v>
      </c>
      <c r="Z178" s="158">
        <v>-3844403</v>
      </c>
      <c r="AA178" s="159">
        <v>12075215</v>
      </c>
      <c r="AB178" s="159">
        <v>8189450</v>
      </c>
      <c r="AC178" s="157">
        <v>0</v>
      </c>
      <c r="AD178" s="158">
        <v>0</v>
      </c>
      <c r="AE178" s="157">
        <v>0</v>
      </c>
      <c r="AF178" s="158">
        <v>0</v>
      </c>
      <c r="AG178" s="157">
        <v>2116844.7099999995</v>
      </c>
      <c r="AH178" s="158">
        <v>134545.23999999976</v>
      </c>
      <c r="AI178" s="157">
        <v>5685028.2100000009</v>
      </c>
      <c r="AJ178" s="158">
        <v>10026499.210000001</v>
      </c>
      <c r="AK178" s="154">
        <v>0</v>
      </c>
      <c r="AL178" s="156">
        <v>0</v>
      </c>
      <c r="AM178" s="154">
        <v>0.19490064125818002</v>
      </c>
      <c r="AN178" s="156">
        <v>8.9645662898661469E-3</v>
      </c>
      <c r="AO178" s="154">
        <v>0.52342792953378414</v>
      </c>
      <c r="AP178" s="156">
        <v>0.66805200112122676</v>
      </c>
      <c r="AQ178" s="154">
        <v>0.75932999999999995</v>
      </c>
      <c r="AR178" s="155">
        <v>0.60004999999999997</v>
      </c>
      <c r="AS178" s="156">
        <v>0.67969999999999997</v>
      </c>
    </row>
    <row r="179" spans="1:45" x14ac:dyDescent="0.2">
      <c r="A179" s="152">
        <v>6806</v>
      </c>
      <c r="B179" s="153" t="s">
        <v>209</v>
      </c>
      <c r="C179" s="154">
        <v>0.27523314852024949</v>
      </c>
      <c r="D179" s="156">
        <v>0.26306469441102909</v>
      </c>
      <c r="E179" s="154">
        <v>0.91499639093493712</v>
      </c>
      <c r="F179" s="156">
        <v>0.86570140162530218</v>
      </c>
      <c r="G179" s="154">
        <v>-0.12084064870427746</v>
      </c>
      <c r="H179" s="156">
        <v>8.373329938056602E-2</v>
      </c>
      <c r="I179" s="154">
        <v>0.36163492966756638</v>
      </c>
      <c r="J179" s="156">
        <v>0.27572143148486933</v>
      </c>
      <c r="K179" s="157">
        <v>171</v>
      </c>
      <c r="L179" s="158">
        <v>145</v>
      </c>
      <c r="M179" s="154">
        <v>0</v>
      </c>
      <c r="N179" s="156">
        <v>0</v>
      </c>
      <c r="O179" s="157">
        <v>454.98692810457516</v>
      </c>
      <c r="P179" s="158">
        <v>464.92929292929296</v>
      </c>
      <c r="Q179" s="154">
        <v>0.58205445678354673</v>
      </c>
      <c r="R179" s="156">
        <v>0.56162134907261152</v>
      </c>
      <c r="S179" s="154">
        <v>9.1658385216696753E-2</v>
      </c>
      <c r="T179" s="156">
        <v>0.11550772274561064</v>
      </c>
      <c r="U179" s="157">
        <v>58007038</v>
      </c>
      <c r="V179" s="158">
        <v>64901048</v>
      </c>
      <c r="W179" s="157">
        <v>211080186</v>
      </c>
      <c r="X179" s="158">
        <v>256055113</v>
      </c>
      <c r="Y179" s="157">
        <v>-25467892</v>
      </c>
      <c r="Z179" s="158">
        <v>20657956</v>
      </c>
      <c r="AA179" s="159">
        <v>62236264</v>
      </c>
      <c r="AB179" s="159">
        <v>71901089</v>
      </c>
      <c r="AC179" s="157">
        <v>23796894</v>
      </c>
      <c r="AD179" s="158">
        <v>20044272</v>
      </c>
      <c r="AE179" s="157">
        <v>0</v>
      </c>
      <c r="AF179" s="158">
        <v>0</v>
      </c>
      <c r="AG179" s="157">
        <v>2351857.3199999994</v>
      </c>
      <c r="AH179" s="158">
        <v>2475942.0200000019</v>
      </c>
      <c r="AI179" s="157">
        <v>52559272.609999992</v>
      </c>
      <c r="AJ179" s="158">
        <v>99458777.420000002</v>
      </c>
      <c r="AK179" s="154">
        <v>0</v>
      </c>
      <c r="AL179" s="156">
        <v>0</v>
      </c>
      <c r="AM179" s="154">
        <v>1.445594062629257E-2</v>
      </c>
      <c r="AN179" s="156">
        <v>1.2614088440810406E-2</v>
      </c>
      <c r="AO179" s="154">
        <v>0.32306114735365216</v>
      </c>
      <c r="AP179" s="156">
        <v>0.50670888270265557</v>
      </c>
      <c r="AQ179" s="154">
        <v>0.85458999999999996</v>
      </c>
      <c r="AR179" s="155">
        <v>0.57238</v>
      </c>
      <c r="AS179" s="156">
        <v>0.71350000000000002</v>
      </c>
    </row>
    <row r="180" spans="1:45" x14ac:dyDescent="0.2">
      <c r="A180" s="152">
        <v>6807</v>
      </c>
      <c r="B180" s="153" t="s">
        <v>214</v>
      </c>
      <c r="C180" s="154">
        <v>0.31618587111964358</v>
      </c>
      <c r="D180" s="156">
        <v>0.24647968849291446</v>
      </c>
      <c r="E180" s="154">
        <v>1.0244621819716797</v>
      </c>
      <c r="F180" s="156">
        <v>0.63951917498214539</v>
      </c>
      <c r="G180" s="154">
        <v>0.11119540562462658</v>
      </c>
      <c r="H180" s="156">
        <v>-2.0526656069430955E-2</v>
      </c>
      <c r="I180" s="154">
        <v>0</v>
      </c>
      <c r="J180" s="156">
        <v>0</v>
      </c>
      <c r="K180" s="157">
        <v>0</v>
      </c>
      <c r="L180" s="158">
        <v>0</v>
      </c>
      <c r="M180" s="154">
        <v>0</v>
      </c>
      <c r="N180" s="156">
        <v>0</v>
      </c>
      <c r="O180" s="157">
        <v>122.01470588235294</v>
      </c>
      <c r="P180" s="158">
        <v>125.47692307692307</v>
      </c>
      <c r="Q180" s="154">
        <v>0.61713669900549539</v>
      </c>
      <c r="R180" s="156">
        <v>0.55785971607551366</v>
      </c>
      <c r="S180" s="154">
        <v>9.5797117599358592E-2</v>
      </c>
      <c r="T180" s="156">
        <v>0.17720832531588737</v>
      </c>
      <c r="U180" s="157">
        <v>5339292</v>
      </c>
      <c r="V180" s="158">
        <v>4543542</v>
      </c>
      <c r="W180" s="157">
        <v>15102897</v>
      </c>
      <c r="X180" s="158">
        <v>18709200</v>
      </c>
      <c r="Y180" s="157">
        <v>1877708</v>
      </c>
      <c r="Z180" s="158">
        <v>-378383</v>
      </c>
      <c r="AA180" s="159">
        <v>5015859</v>
      </c>
      <c r="AB180" s="159">
        <v>4651339</v>
      </c>
      <c r="AC180" s="157">
        <v>0</v>
      </c>
      <c r="AD180" s="158">
        <v>0</v>
      </c>
      <c r="AE180" s="157">
        <v>0</v>
      </c>
      <c r="AF180" s="158">
        <v>0</v>
      </c>
      <c r="AG180" s="157">
        <v>162135.12999999963</v>
      </c>
      <c r="AH180" s="158">
        <v>3287341.8600000003</v>
      </c>
      <c r="AI180" s="157">
        <v>4429949.1999999993</v>
      </c>
      <c r="AJ180" s="158">
        <v>10587256.530000001</v>
      </c>
      <c r="AK180" s="154">
        <v>0</v>
      </c>
      <c r="AL180" s="156">
        <v>0</v>
      </c>
      <c r="AM180" s="154">
        <v>1.2889618179502557E-2</v>
      </c>
      <c r="AN180" s="156">
        <v>0.22270728067324722</v>
      </c>
      <c r="AO180" s="154">
        <v>0.35217755549086077</v>
      </c>
      <c r="AP180" s="156">
        <v>0.71725400399530681</v>
      </c>
      <c r="AQ180" s="154">
        <v>0.89459</v>
      </c>
      <c r="AR180" s="155">
        <v>0.69208999999999998</v>
      </c>
      <c r="AS180" s="156">
        <v>0.79330000000000001</v>
      </c>
    </row>
    <row r="181" spans="1:45" x14ac:dyDescent="0.2">
      <c r="A181" s="152">
        <v>6808</v>
      </c>
      <c r="B181" s="153" t="s">
        <v>215</v>
      </c>
      <c r="C181" s="154">
        <v>0.25142224070509606</v>
      </c>
      <c r="D181" s="156">
        <v>0.18753390831137301</v>
      </c>
      <c r="E181" s="154">
        <v>0.59728542630610948</v>
      </c>
      <c r="F181" s="156">
        <v>0.35317306639110535</v>
      </c>
      <c r="G181" s="154">
        <v>-0.14304077140898752</v>
      </c>
      <c r="H181" s="156">
        <v>-0.31921641498703579</v>
      </c>
      <c r="I181" s="154">
        <v>0</v>
      </c>
      <c r="J181" s="156">
        <v>0</v>
      </c>
      <c r="K181" s="157">
        <v>0</v>
      </c>
      <c r="L181" s="158">
        <v>0</v>
      </c>
      <c r="M181" s="154">
        <v>0</v>
      </c>
      <c r="N181" s="156">
        <v>0</v>
      </c>
      <c r="O181" s="157">
        <v>102.46913580246914</v>
      </c>
      <c r="P181" s="158">
        <v>100.51851851851852</v>
      </c>
      <c r="Q181" s="154">
        <v>0.33847717445270398</v>
      </c>
      <c r="R181" s="156">
        <v>0.40669713370982569</v>
      </c>
      <c r="S181" s="154">
        <v>0.45772155117172802</v>
      </c>
      <c r="T181" s="156">
        <v>0.42219254527057681</v>
      </c>
      <c r="U181" s="157">
        <v>3212118</v>
      </c>
      <c r="V181" s="158">
        <v>2034576</v>
      </c>
      <c r="W181" s="157">
        <v>14552225</v>
      </c>
      <c r="X181" s="158">
        <v>14198074</v>
      </c>
      <c r="Y181" s="157">
        <v>-1827459</v>
      </c>
      <c r="Z181" s="158">
        <v>-3463214</v>
      </c>
      <c r="AA181" s="159">
        <v>4459120</v>
      </c>
      <c r="AB181" s="159">
        <v>1000764</v>
      </c>
      <c r="AC181" s="157">
        <v>0</v>
      </c>
      <c r="AD181" s="158">
        <v>0</v>
      </c>
      <c r="AE181" s="157">
        <v>0</v>
      </c>
      <c r="AF181" s="158">
        <v>0</v>
      </c>
      <c r="AG181" s="157">
        <v>64324.369999999995</v>
      </c>
      <c r="AH181" s="158">
        <v>2755894.4599999995</v>
      </c>
      <c r="AI181" s="157">
        <v>4915277.42</v>
      </c>
      <c r="AJ181" s="158">
        <v>5203001.28</v>
      </c>
      <c r="AK181" s="154">
        <v>0</v>
      </c>
      <c r="AL181" s="156">
        <v>0</v>
      </c>
      <c r="AM181" s="154">
        <v>7.1726006091836049E-3</v>
      </c>
      <c r="AN181" s="156">
        <v>0.24885938481879746</v>
      </c>
      <c r="AO181" s="154">
        <v>0.54808654662297385</v>
      </c>
      <c r="AP181" s="156">
        <v>0.46983500875872297</v>
      </c>
      <c r="AQ181" s="154">
        <v>0.83701000000000003</v>
      </c>
      <c r="AR181" s="155">
        <v>0.77214000000000005</v>
      </c>
      <c r="AS181" s="156">
        <v>0.80459999999999998</v>
      </c>
    </row>
    <row r="182" spans="1:45" x14ac:dyDescent="0.2">
      <c r="A182" s="152">
        <v>6901</v>
      </c>
      <c r="B182" s="153" t="s">
        <v>217</v>
      </c>
      <c r="C182" s="154">
        <v>0.10236057066056957</v>
      </c>
      <c r="D182" s="156">
        <v>0.11099898524593002</v>
      </c>
      <c r="E182" s="154">
        <v>0.22859283938911543</v>
      </c>
      <c r="F182" s="156">
        <v>0.27127694504533739</v>
      </c>
      <c r="G182" s="154">
        <v>-2.007124200494026E-2</v>
      </c>
      <c r="H182" s="156">
        <v>-0.11658328054948269</v>
      </c>
      <c r="I182" s="154">
        <v>0</v>
      </c>
      <c r="J182" s="156">
        <v>0</v>
      </c>
      <c r="K182" s="157">
        <v>0</v>
      </c>
      <c r="L182" s="158">
        <v>0</v>
      </c>
      <c r="M182" s="154">
        <v>0</v>
      </c>
      <c r="N182" s="156">
        <v>0</v>
      </c>
      <c r="O182" s="157">
        <v>85.884615384615387</v>
      </c>
      <c r="P182" s="158">
        <v>117.47368421052632</v>
      </c>
      <c r="Q182" s="154">
        <v>0.48901018909421823</v>
      </c>
      <c r="R182" s="156">
        <v>0.55572313061571188</v>
      </c>
      <c r="S182" s="154">
        <v>0.31910118372787855</v>
      </c>
      <c r="T182" s="156">
        <v>0.26440046449068932</v>
      </c>
      <c r="U182" s="157">
        <v>988950</v>
      </c>
      <c r="V182" s="158">
        <v>987310</v>
      </c>
      <c r="W182" s="157">
        <v>9753762</v>
      </c>
      <c r="X182" s="158">
        <v>9935183</v>
      </c>
      <c r="Y182" s="157">
        <v>-193917</v>
      </c>
      <c r="Z182" s="158">
        <v>-1036981</v>
      </c>
      <c r="AA182" s="159">
        <v>3557120</v>
      </c>
      <c r="AB182" s="159">
        <v>2524161</v>
      </c>
      <c r="AC182" s="157">
        <v>0</v>
      </c>
      <c r="AD182" s="158">
        <v>0</v>
      </c>
      <c r="AE182" s="157">
        <v>0</v>
      </c>
      <c r="AF182" s="158">
        <v>0</v>
      </c>
      <c r="AG182" s="157">
        <v>43617.049999999253</v>
      </c>
      <c r="AH182" s="158">
        <v>26258.590000000244</v>
      </c>
      <c r="AI182" s="157">
        <v>2484257.48</v>
      </c>
      <c r="AJ182" s="158">
        <v>1543791.1</v>
      </c>
      <c r="AK182" s="154">
        <v>0</v>
      </c>
      <c r="AL182" s="156">
        <v>0</v>
      </c>
      <c r="AM182" s="154">
        <v>6.8243812424154211E-3</v>
      </c>
      <c r="AN182" s="156">
        <v>3.3622387002675011E-3</v>
      </c>
      <c r="AO182" s="154">
        <v>0.38869020595942394</v>
      </c>
      <c r="AP182" s="156">
        <v>0.19767223531608086</v>
      </c>
      <c r="AQ182" s="154">
        <v>0.74782999999999999</v>
      </c>
      <c r="AR182" s="155">
        <v>0.58645000000000003</v>
      </c>
      <c r="AS182" s="156">
        <v>0.66710000000000003</v>
      </c>
    </row>
    <row r="183" spans="1:45" x14ac:dyDescent="0.2">
      <c r="A183" s="152">
        <v>6902</v>
      </c>
      <c r="B183" s="153" t="s">
        <v>218</v>
      </c>
      <c r="C183" s="154">
        <v>0.18019397619497859</v>
      </c>
      <c r="D183" s="156">
        <v>0.17116054108266768</v>
      </c>
      <c r="E183" s="154">
        <v>0.30706996547727028</v>
      </c>
      <c r="F183" s="156">
        <v>0.56511993334337107</v>
      </c>
      <c r="G183" s="154">
        <v>-0.25971113384133426</v>
      </c>
      <c r="H183" s="156">
        <v>-3.2729272395726145E-3</v>
      </c>
      <c r="I183" s="154">
        <v>0.5252371609845119</v>
      </c>
      <c r="J183" s="156">
        <v>0.41480831565452947</v>
      </c>
      <c r="K183" s="157">
        <v>297</v>
      </c>
      <c r="L183" s="158">
        <v>255</v>
      </c>
      <c r="M183" s="154">
        <v>0</v>
      </c>
      <c r="N183" s="156">
        <v>0</v>
      </c>
      <c r="O183" s="157">
        <v>112.75324675324676</v>
      </c>
      <c r="P183" s="158">
        <v>111.68831168831169</v>
      </c>
      <c r="Q183" s="154">
        <v>0.49197106597656548</v>
      </c>
      <c r="R183" s="156">
        <v>0.63251079017036127</v>
      </c>
      <c r="S183" s="154">
        <v>0.24174173772505539</v>
      </c>
      <c r="T183" s="156">
        <v>0.11352746680374794</v>
      </c>
      <c r="U183" s="157">
        <v>3410413</v>
      </c>
      <c r="V183" s="158">
        <v>3768335</v>
      </c>
      <c r="W183" s="157">
        <v>23924222</v>
      </c>
      <c r="X183" s="158">
        <v>22192189</v>
      </c>
      <c r="Y183" s="157">
        <v>-4915382</v>
      </c>
      <c r="Z183" s="158">
        <v>-72058</v>
      </c>
      <c r="AA183" s="159">
        <v>1437861</v>
      </c>
      <c r="AB183" s="159">
        <v>1024387</v>
      </c>
      <c r="AC183" s="157">
        <v>2580497</v>
      </c>
      <c r="AD183" s="158">
        <v>2188958</v>
      </c>
      <c r="AE183" s="157">
        <v>0</v>
      </c>
      <c r="AF183" s="158">
        <v>0</v>
      </c>
      <c r="AG183" s="157">
        <v>1416272.2000000014</v>
      </c>
      <c r="AH183" s="158">
        <v>526826.51000000024</v>
      </c>
      <c r="AI183" s="157">
        <v>13359574.689999999</v>
      </c>
      <c r="AJ183" s="158">
        <v>10676136.6</v>
      </c>
      <c r="AK183" s="154">
        <v>0</v>
      </c>
      <c r="AL183" s="156">
        <v>0</v>
      </c>
      <c r="AM183" s="154">
        <v>8.3187706468210568E-2</v>
      </c>
      <c r="AN183" s="156">
        <v>2.7178517608218902E-2</v>
      </c>
      <c r="AO183" s="154">
        <v>0.78470252953623898</v>
      </c>
      <c r="AP183" s="156">
        <v>0.55077252390136966</v>
      </c>
      <c r="AQ183" s="154">
        <v>0.73594999999999999</v>
      </c>
      <c r="AR183" s="155">
        <v>0.64868000000000003</v>
      </c>
      <c r="AS183" s="156">
        <v>0.69230000000000003</v>
      </c>
    </row>
    <row r="184" spans="1:45" x14ac:dyDescent="0.2">
      <c r="A184" s="152">
        <v>6903</v>
      </c>
      <c r="B184" s="153" t="s">
        <v>219</v>
      </c>
      <c r="C184" s="154">
        <v>0.13884177349602356</v>
      </c>
      <c r="D184" s="156">
        <v>0.14264892415085911</v>
      </c>
      <c r="E184" s="154">
        <v>0.56647955191453137</v>
      </c>
      <c r="F184" s="156">
        <v>0.61874094031300331</v>
      </c>
      <c r="G184" s="154">
        <v>-1.4173744993430883E-2</v>
      </c>
      <c r="H184" s="156">
        <v>-8.6809608461373811E-2</v>
      </c>
      <c r="I184" s="154">
        <v>0</v>
      </c>
      <c r="J184" s="156">
        <v>0</v>
      </c>
      <c r="K184" s="157">
        <v>0</v>
      </c>
      <c r="L184" s="158">
        <v>0</v>
      </c>
      <c r="M184" s="154">
        <v>9.7723926882130829E-2</v>
      </c>
      <c r="N184" s="156">
        <v>7.0647134527821426E-2</v>
      </c>
      <c r="O184" s="157">
        <v>287.189384800965</v>
      </c>
      <c r="P184" s="158">
        <v>288.25454545454545</v>
      </c>
      <c r="Q184" s="154">
        <v>0.7009695441073881</v>
      </c>
      <c r="R184" s="156">
        <v>0.73561798434310421</v>
      </c>
      <c r="S184" s="154">
        <v>4.4900931293191171E-2</v>
      </c>
      <c r="T184" s="156">
        <v>7.8277757658876873E-2</v>
      </c>
      <c r="U184" s="157">
        <v>5859720</v>
      </c>
      <c r="V184" s="158">
        <v>6496236</v>
      </c>
      <c r="W184" s="157">
        <v>42874790</v>
      </c>
      <c r="X184" s="158">
        <v>49395232</v>
      </c>
      <c r="Y184" s="157">
        <v>-598193</v>
      </c>
      <c r="Z184" s="158">
        <v>-3953312</v>
      </c>
      <c r="AA184" s="159">
        <v>8930628</v>
      </c>
      <c r="AB184" s="159">
        <v>5053785</v>
      </c>
      <c r="AC184" s="157">
        <v>0</v>
      </c>
      <c r="AD184" s="158">
        <v>0</v>
      </c>
      <c r="AE184" s="157">
        <v>860295</v>
      </c>
      <c r="AF184" s="158">
        <v>667731</v>
      </c>
      <c r="AG184" s="157">
        <v>435098.69999999896</v>
      </c>
      <c r="AH184" s="158">
        <v>595262.13000000059</v>
      </c>
      <c r="AI184" s="157">
        <v>6680499.2300000014</v>
      </c>
      <c r="AJ184" s="158">
        <v>4394488.6900000004</v>
      </c>
      <c r="AK184" s="154">
        <v>2.006528778333375E-2</v>
      </c>
      <c r="AL184" s="156">
        <v>1.3518126607847495E-2</v>
      </c>
      <c r="AM184" s="154">
        <v>1.3061656275198931E-2</v>
      </c>
      <c r="AN184" s="156">
        <v>1.509419383775391E-2</v>
      </c>
      <c r="AO184" s="154">
        <v>0.20054848403130451</v>
      </c>
      <c r="AP184" s="156">
        <v>0.11143202424900975</v>
      </c>
      <c r="AQ184" s="154">
        <v>0.84687000000000001</v>
      </c>
      <c r="AR184" s="155">
        <v>0.66420999999999997</v>
      </c>
      <c r="AS184" s="156">
        <v>0.75549999999999995</v>
      </c>
    </row>
    <row r="185" spans="1:45" x14ac:dyDescent="0.2">
      <c r="A185" s="152">
        <v>6904</v>
      </c>
      <c r="B185" s="153" t="s">
        <v>220</v>
      </c>
      <c r="C185" s="154">
        <v>0.11402071943113146</v>
      </c>
      <c r="D185" s="156">
        <v>9.9283127967250195E-2</v>
      </c>
      <c r="E185" s="154">
        <v>0.51125131434413751</v>
      </c>
      <c r="F185" s="156">
        <v>0.39093187412468433</v>
      </c>
      <c r="G185" s="154">
        <v>6.185175651004516E-2</v>
      </c>
      <c r="H185" s="156">
        <v>-4.9028030885053517E-2</v>
      </c>
      <c r="I185" s="154">
        <v>0</v>
      </c>
      <c r="J185" s="156">
        <v>0</v>
      </c>
      <c r="K185" s="157">
        <v>0</v>
      </c>
      <c r="L185" s="158">
        <v>0</v>
      </c>
      <c r="M185" s="154">
        <v>0</v>
      </c>
      <c r="N185" s="156">
        <v>0</v>
      </c>
      <c r="O185" s="157">
        <v>140.14285714285714</v>
      </c>
      <c r="P185" s="158">
        <v>139.25</v>
      </c>
      <c r="Q185" s="154">
        <v>0.66517022286165217</v>
      </c>
      <c r="R185" s="156">
        <v>0.68890154939021642</v>
      </c>
      <c r="S185" s="154">
        <v>0.10740450347048655</v>
      </c>
      <c r="T185" s="156">
        <v>0.11040414207903616</v>
      </c>
      <c r="U185" s="157">
        <v>1741164</v>
      </c>
      <c r="V185" s="158">
        <v>1557860</v>
      </c>
      <c r="W185" s="157">
        <v>14187636</v>
      </c>
      <c r="X185" s="158">
        <v>16069225</v>
      </c>
      <c r="Y185" s="157">
        <v>944513</v>
      </c>
      <c r="Z185" s="158">
        <v>-769303</v>
      </c>
      <c r="AA185" s="159">
        <v>5464429</v>
      </c>
      <c r="AB185" s="159">
        <v>4692328</v>
      </c>
      <c r="AC185" s="157">
        <v>0</v>
      </c>
      <c r="AD185" s="158">
        <v>0</v>
      </c>
      <c r="AE185" s="157">
        <v>0</v>
      </c>
      <c r="AF185" s="158">
        <v>0</v>
      </c>
      <c r="AG185" s="157">
        <v>159692.25000000099</v>
      </c>
      <c r="AH185" s="158">
        <v>74108.289999999775</v>
      </c>
      <c r="AI185" s="157">
        <v>885664.3899999999</v>
      </c>
      <c r="AJ185" s="158">
        <v>4186725.8800000004</v>
      </c>
      <c r="AK185" s="154">
        <v>0</v>
      </c>
      <c r="AL185" s="156">
        <v>0</v>
      </c>
      <c r="AM185" s="154">
        <v>1.3593981277021243E-2</v>
      </c>
      <c r="AN185" s="156">
        <v>5.4172271212632184E-3</v>
      </c>
      <c r="AO185" s="154">
        <v>7.5393171148783758E-2</v>
      </c>
      <c r="AP185" s="156">
        <v>0.30604464070660226</v>
      </c>
      <c r="AQ185" s="154">
        <v>0.62546000000000002</v>
      </c>
      <c r="AR185" s="155">
        <v>0.33354</v>
      </c>
      <c r="AS185" s="156">
        <v>0.47949999999999998</v>
      </c>
    </row>
    <row r="186" spans="1:45" x14ac:dyDescent="0.2">
      <c r="A186" s="152">
        <v>6905</v>
      </c>
      <c r="B186" s="153" t="s">
        <v>216</v>
      </c>
      <c r="C186" s="154">
        <v>0.17091444532929112</v>
      </c>
      <c r="D186" s="156">
        <v>0.14965436292808121</v>
      </c>
      <c r="E186" s="154">
        <v>0.76326794253365404</v>
      </c>
      <c r="F186" s="156">
        <v>0.50989489527812382</v>
      </c>
      <c r="G186" s="154">
        <v>-1.3364611446058666E-2</v>
      </c>
      <c r="H186" s="156">
        <v>2.4547555660668345E-2</v>
      </c>
      <c r="I186" s="154">
        <v>0.47270583030421204</v>
      </c>
      <c r="J186" s="156">
        <v>0.27054269852682117</v>
      </c>
      <c r="K186" s="157">
        <v>212</v>
      </c>
      <c r="L186" s="158">
        <v>131</v>
      </c>
      <c r="M186" s="154">
        <v>2.1515168451586984E-2</v>
      </c>
      <c r="N186" s="156">
        <v>7.4500699033204151E-2</v>
      </c>
      <c r="O186" s="157">
        <v>265.92156862745099</v>
      </c>
      <c r="P186" s="158">
        <v>282.71830985915494</v>
      </c>
      <c r="Q186" s="154">
        <v>0.66940779187821098</v>
      </c>
      <c r="R186" s="156">
        <v>0.62286880045355897</v>
      </c>
      <c r="S186" s="154">
        <v>6.7741822596376317E-2</v>
      </c>
      <c r="T186" s="156">
        <v>0.13326040055290253</v>
      </c>
      <c r="U186" s="157">
        <v>13783049</v>
      </c>
      <c r="V186" s="158">
        <v>14923434</v>
      </c>
      <c r="W186" s="157">
        <v>79439640</v>
      </c>
      <c r="X186" s="158">
        <v>99158887</v>
      </c>
      <c r="Y186" s="157">
        <v>-1077762</v>
      </c>
      <c r="Z186" s="158">
        <v>2447866</v>
      </c>
      <c r="AA186" s="159">
        <v>13649497</v>
      </c>
      <c r="AB186" s="159">
        <v>13112961</v>
      </c>
      <c r="AC186" s="157">
        <v>8635366</v>
      </c>
      <c r="AD186" s="158">
        <v>5250756</v>
      </c>
      <c r="AE186" s="157">
        <v>393038</v>
      </c>
      <c r="AF186" s="158">
        <v>1445927</v>
      </c>
      <c r="AG186" s="157">
        <v>4467767.2399999974</v>
      </c>
      <c r="AH186" s="158">
        <v>14842538.239999998</v>
      </c>
      <c r="AI186" s="157">
        <v>12759683.810000001</v>
      </c>
      <c r="AJ186" s="158">
        <v>32961150.859999999</v>
      </c>
      <c r="AK186" s="154">
        <v>4.9476306790916975E-3</v>
      </c>
      <c r="AL186" s="156">
        <v>1.4581920428372698E-2</v>
      </c>
      <c r="AM186" s="154">
        <v>7.3064542656322604E-2</v>
      </c>
      <c r="AN186" s="156">
        <v>0.1987879682701871</v>
      </c>
      <c r="AO186" s="154">
        <v>0.20866809122691327</v>
      </c>
      <c r="AP186" s="156">
        <v>0.44145280984679686</v>
      </c>
      <c r="AQ186" s="154">
        <v>0.84675</v>
      </c>
      <c r="AR186" s="155">
        <v>0.53261000000000003</v>
      </c>
      <c r="AS186" s="156">
        <v>0.68969999999999998</v>
      </c>
    </row>
    <row r="187" spans="1:45" x14ac:dyDescent="0.2">
      <c r="A187" s="152">
        <v>6906</v>
      </c>
      <c r="B187" s="153" t="s">
        <v>221</v>
      </c>
      <c r="C187" s="154">
        <v>0.12376534933485887</v>
      </c>
      <c r="D187" s="156">
        <v>0.12321112300635428</v>
      </c>
      <c r="E187" s="154">
        <v>0.42047225522164344</v>
      </c>
      <c r="F187" s="156">
        <v>0.54199459143473372</v>
      </c>
      <c r="G187" s="154">
        <v>-1.3559406426201387E-3</v>
      </c>
      <c r="H187" s="156">
        <v>7.2532195037074915E-3</v>
      </c>
      <c r="I187" s="154">
        <v>0</v>
      </c>
      <c r="J187" s="156">
        <v>7.4219541403471465E-2</v>
      </c>
      <c r="K187" s="157">
        <v>0</v>
      </c>
      <c r="L187" s="158">
        <v>42</v>
      </c>
      <c r="M187" s="154">
        <v>0</v>
      </c>
      <c r="N187" s="156">
        <v>0</v>
      </c>
      <c r="O187" s="157">
        <v>85.883495145631073</v>
      </c>
      <c r="P187" s="158">
        <v>84.5631067961165</v>
      </c>
      <c r="Q187" s="154">
        <v>0.60439301759326758</v>
      </c>
      <c r="R187" s="156">
        <v>0.61534793590150783</v>
      </c>
      <c r="S187" s="154">
        <v>0.12657247280697254</v>
      </c>
      <c r="T187" s="156">
        <v>0.15355029669839593</v>
      </c>
      <c r="U187" s="157">
        <v>1411863</v>
      </c>
      <c r="V187" s="158">
        <v>1621605</v>
      </c>
      <c r="W187" s="157">
        <v>11482631</v>
      </c>
      <c r="X187" s="158">
        <v>13025517</v>
      </c>
      <c r="Y187" s="157">
        <v>-15468</v>
      </c>
      <c r="Z187" s="158">
        <v>95461</v>
      </c>
      <c r="AA187" s="159">
        <v>781437</v>
      </c>
      <c r="AB187" s="159">
        <v>1083483</v>
      </c>
      <c r="AC187" s="157">
        <v>0</v>
      </c>
      <c r="AD187" s="158">
        <v>185000</v>
      </c>
      <c r="AE187" s="157">
        <v>0</v>
      </c>
      <c r="AF187" s="158">
        <v>0</v>
      </c>
      <c r="AG187" s="157">
        <v>157163.09999999966</v>
      </c>
      <c r="AH187" s="158">
        <v>817541.78000000026</v>
      </c>
      <c r="AI187" s="157">
        <v>2866599.2200000007</v>
      </c>
      <c r="AJ187" s="158">
        <v>11768704.08</v>
      </c>
      <c r="AK187" s="154">
        <v>0</v>
      </c>
      <c r="AL187" s="156">
        <v>0</v>
      </c>
      <c r="AM187" s="154">
        <v>1.7804939833042859E-2</v>
      </c>
      <c r="AN187" s="156">
        <v>7.9698529761565912E-2</v>
      </c>
      <c r="AO187" s="154">
        <v>0.32475578960676971</v>
      </c>
      <c r="AP187" s="156">
        <v>1.1472788734723036</v>
      </c>
      <c r="AQ187" s="154">
        <v>0.82137000000000004</v>
      </c>
      <c r="AR187" s="155">
        <v>0.56389999999999996</v>
      </c>
      <c r="AS187" s="156">
        <v>0.69259999999999999</v>
      </c>
    </row>
    <row r="188" spans="1:45" x14ac:dyDescent="0.2">
      <c r="A188" s="152">
        <v>6907</v>
      </c>
      <c r="B188" s="153" t="s">
        <v>222</v>
      </c>
      <c r="C188" s="154">
        <v>0.15840869596771268</v>
      </c>
      <c r="D188" s="156">
        <v>0.1443883878489288</v>
      </c>
      <c r="E188" s="154">
        <v>0.46074304701329777</v>
      </c>
      <c r="F188" s="156">
        <v>0.43760349112435287</v>
      </c>
      <c r="G188" s="154">
        <v>-0.15082992812011758</v>
      </c>
      <c r="H188" s="156">
        <v>4.0835975589588042E-2</v>
      </c>
      <c r="I188" s="154">
        <v>2.1315481019527684</v>
      </c>
      <c r="J188" s="156">
        <v>1.4272308648834355</v>
      </c>
      <c r="K188" s="157">
        <v>1013</v>
      </c>
      <c r="L188" s="158">
        <v>773</v>
      </c>
      <c r="M188" s="154">
        <v>0.17139044420321081</v>
      </c>
      <c r="N188" s="156">
        <v>0.26031281814674789</v>
      </c>
      <c r="O188" s="157">
        <v>175.67407407407407</v>
      </c>
      <c r="P188" s="158">
        <v>186.12698412698413</v>
      </c>
      <c r="Q188" s="154">
        <v>0.53127266279706409</v>
      </c>
      <c r="R188" s="156">
        <v>0.54366577408067773</v>
      </c>
      <c r="S188" s="154">
        <v>0.11326652308432443</v>
      </c>
      <c r="T188" s="156">
        <v>0.13379335345806193</v>
      </c>
      <c r="U188" s="157">
        <v>4046767</v>
      </c>
      <c r="V188" s="158">
        <v>4758289</v>
      </c>
      <c r="W188" s="157">
        <v>28227705</v>
      </c>
      <c r="X188" s="158">
        <v>32555967</v>
      </c>
      <c r="Y188" s="157">
        <v>-3853157</v>
      </c>
      <c r="Z188" s="158">
        <v>1345741</v>
      </c>
      <c r="AA188" s="159">
        <v>3997452</v>
      </c>
      <c r="AB188" s="159">
        <v>2317798</v>
      </c>
      <c r="AC188" s="157">
        <v>12015040</v>
      </c>
      <c r="AD188" s="158">
        <v>9060474</v>
      </c>
      <c r="AE188" s="157">
        <v>966088</v>
      </c>
      <c r="AF188" s="158">
        <v>1652541</v>
      </c>
      <c r="AG188" s="157">
        <v>1413498.6400000004</v>
      </c>
      <c r="AH188" s="158">
        <v>2451067.100000001</v>
      </c>
      <c r="AI188" s="157">
        <v>10854443.000000002</v>
      </c>
      <c r="AJ188" s="158">
        <v>5600648.1699999981</v>
      </c>
      <c r="AK188" s="154">
        <v>3.4224815655399546E-2</v>
      </c>
      <c r="AL188" s="156">
        <v>5.0760003534835875E-2</v>
      </c>
      <c r="AM188" s="154">
        <v>6.5317988235449612E-2</v>
      </c>
      <c r="AN188" s="156">
        <v>9.3429522829494571E-2</v>
      </c>
      <c r="AO188" s="154">
        <v>0.50158547034495793</v>
      </c>
      <c r="AP188" s="156">
        <v>0.21348492909842476</v>
      </c>
      <c r="AQ188" s="154">
        <v>0.86407999999999996</v>
      </c>
      <c r="AR188" s="155">
        <v>0.78986000000000001</v>
      </c>
      <c r="AS188" s="156">
        <v>0.82699999999999996</v>
      </c>
    </row>
    <row r="189" spans="1:45" x14ac:dyDescent="0.2">
      <c r="A189" s="152">
        <v>7001</v>
      </c>
      <c r="B189" s="153" t="s">
        <v>224</v>
      </c>
      <c r="C189" s="154">
        <v>0.10772497579825917</v>
      </c>
      <c r="D189" s="156">
        <v>0.1154250747232821</v>
      </c>
      <c r="E189" s="154">
        <v>0.24694340849254781</v>
      </c>
      <c r="F189" s="156">
        <v>0.33768595394411477</v>
      </c>
      <c r="G189" s="154">
        <v>-5.0005037674929191E-2</v>
      </c>
      <c r="H189" s="156">
        <v>-2.5742133868189555E-2</v>
      </c>
      <c r="I189" s="154">
        <v>0</v>
      </c>
      <c r="J189" s="156">
        <v>0</v>
      </c>
      <c r="K189" s="157">
        <v>0</v>
      </c>
      <c r="L189" s="158">
        <v>0</v>
      </c>
      <c r="M189" s="154">
        <v>3.0455917931208921E-3</v>
      </c>
      <c r="N189" s="156">
        <v>2.8159811007483827E-3</v>
      </c>
      <c r="O189" s="157">
        <v>155.61764705882354</v>
      </c>
      <c r="P189" s="158">
        <v>152.64423076923077</v>
      </c>
      <c r="Q189" s="154">
        <v>0.54037176821641641</v>
      </c>
      <c r="R189" s="156">
        <v>0.61713392856045246</v>
      </c>
      <c r="S189" s="154">
        <v>0.28425166944449165</v>
      </c>
      <c r="T189" s="156">
        <v>0.2058973173702198</v>
      </c>
      <c r="U189" s="157">
        <v>3272801</v>
      </c>
      <c r="V189" s="158">
        <v>3762272</v>
      </c>
      <c r="W189" s="157">
        <v>32005856</v>
      </c>
      <c r="X189" s="158">
        <v>33351639</v>
      </c>
      <c r="Y189" s="157">
        <v>-1519207</v>
      </c>
      <c r="Z189" s="158">
        <v>-839063</v>
      </c>
      <c r="AA189" s="159">
        <v>9732919</v>
      </c>
      <c r="AB189" s="159">
        <v>8909847</v>
      </c>
      <c r="AC189" s="157">
        <v>0</v>
      </c>
      <c r="AD189" s="158">
        <v>0</v>
      </c>
      <c r="AE189" s="157">
        <v>18290</v>
      </c>
      <c r="AF189" s="158">
        <v>18290</v>
      </c>
      <c r="AG189" s="157">
        <v>541518.65000000154</v>
      </c>
      <c r="AH189" s="158">
        <v>5406427.1799999997</v>
      </c>
      <c r="AI189" s="157">
        <v>11869194.689999998</v>
      </c>
      <c r="AJ189" s="158">
        <v>14223396.710000001</v>
      </c>
      <c r="AK189" s="154">
        <v>5.7145792320005442E-4</v>
      </c>
      <c r="AL189" s="156">
        <v>5.4839883581133753E-4</v>
      </c>
      <c r="AM189" s="154">
        <v>2.4055694366470419E-2</v>
      </c>
      <c r="AN189" s="156">
        <v>0.20089993458076413</v>
      </c>
      <c r="AO189" s="154">
        <v>0.52726110142055638</v>
      </c>
      <c r="AP189" s="156">
        <v>0.52853379383818055</v>
      </c>
      <c r="AQ189" s="154">
        <v>0.73863000000000001</v>
      </c>
      <c r="AR189" s="155">
        <v>0.64429999999999998</v>
      </c>
      <c r="AS189" s="156">
        <v>0.6915</v>
      </c>
    </row>
    <row r="190" spans="1:45" x14ac:dyDescent="0.2">
      <c r="A190" s="152">
        <v>7002</v>
      </c>
      <c r="B190" s="153" t="s">
        <v>225</v>
      </c>
      <c r="C190" s="154">
        <v>0.19440531704913341</v>
      </c>
      <c r="D190" s="156">
        <v>0.18382705700224714</v>
      </c>
      <c r="E190" s="154">
        <v>0.55474986230172252</v>
      </c>
      <c r="F190" s="156">
        <v>0.74607888829961055</v>
      </c>
      <c r="G190" s="154">
        <v>-4.2085850824872283E-2</v>
      </c>
      <c r="H190" s="156">
        <v>3.5322969040946631E-2</v>
      </c>
      <c r="I190" s="154">
        <v>0.43848877447197326</v>
      </c>
      <c r="J190" s="156">
        <v>0.36753739586350448</v>
      </c>
      <c r="K190" s="157">
        <v>185</v>
      </c>
      <c r="L190" s="158">
        <v>162</v>
      </c>
      <c r="M190" s="154">
        <v>0</v>
      </c>
      <c r="N190" s="156">
        <v>0</v>
      </c>
      <c r="O190" s="157">
        <v>207.45517241379309</v>
      </c>
      <c r="P190" s="158">
        <v>195.48534201954396</v>
      </c>
      <c r="Q190" s="154">
        <v>0.60585574490746907</v>
      </c>
      <c r="R190" s="156">
        <v>0.67520727031301486</v>
      </c>
      <c r="S190" s="154">
        <v>0.15962244263968403</v>
      </c>
      <c r="T190" s="156">
        <v>4.7684021245686631E-2</v>
      </c>
      <c r="U190" s="157">
        <v>9883494</v>
      </c>
      <c r="V190" s="158">
        <v>10445235</v>
      </c>
      <c r="W190" s="157">
        <v>54079200</v>
      </c>
      <c r="X190" s="158">
        <v>55130061</v>
      </c>
      <c r="Y190" s="157">
        <v>-2139629</v>
      </c>
      <c r="Z190" s="158">
        <v>2007086</v>
      </c>
      <c r="AA190" s="159">
        <v>8093364</v>
      </c>
      <c r="AB190" s="159">
        <v>9499658</v>
      </c>
      <c r="AC190" s="157">
        <v>5553370</v>
      </c>
      <c r="AD190" s="158">
        <v>4866355</v>
      </c>
      <c r="AE190" s="157">
        <v>0</v>
      </c>
      <c r="AF190" s="158">
        <v>0</v>
      </c>
      <c r="AG190" s="157">
        <v>486015.45000000164</v>
      </c>
      <c r="AH190" s="158">
        <v>1488969.3200000008</v>
      </c>
      <c r="AI190" s="157">
        <v>5815681.3300000001</v>
      </c>
      <c r="AJ190" s="158">
        <v>6031254.8499999996</v>
      </c>
      <c r="AK190" s="154">
        <v>0</v>
      </c>
      <c r="AL190" s="156">
        <v>0</v>
      </c>
      <c r="AM190" s="154">
        <v>1.1351362959900428E-2</v>
      </c>
      <c r="AN190" s="156">
        <v>3.0627028619645332E-2</v>
      </c>
      <c r="AO190" s="154">
        <v>0.13583088693157025</v>
      </c>
      <c r="AP190" s="156">
        <v>0.12405857691099009</v>
      </c>
      <c r="AQ190" s="154">
        <v>0.87122999999999995</v>
      </c>
      <c r="AR190" s="155">
        <v>0.72809999999999997</v>
      </c>
      <c r="AS190" s="156">
        <v>0.79969999999999997</v>
      </c>
    </row>
    <row r="191" spans="1:45" x14ac:dyDescent="0.2">
      <c r="A191" s="152">
        <v>7003</v>
      </c>
      <c r="B191" s="153" t="s">
        <v>223</v>
      </c>
      <c r="C191" s="154">
        <v>0.20904174527469979</v>
      </c>
      <c r="D191" s="156">
        <v>0.18941032015613996</v>
      </c>
      <c r="E191" s="154">
        <v>0.83328463645395623</v>
      </c>
      <c r="F191" s="156">
        <v>0.84004306502957704</v>
      </c>
      <c r="G191" s="154">
        <v>-4.7709300102668856E-2</v>
      </c>
      <c r="H191" s="156">
        <v>3.4891971410732976E-2</v>
      </c>
      <c r="I191" s="154">
        <v>0.50606565661907166</v>
      </c>
      <c r="J191" s="156">
        <v>0.3455444588424238</v>
      </c>
      <c r="K191" s="157">
        <v>197</v>
      </c>
      <c r="L191" s="158">
        <v>141</v>
      </c>
      <c r="M191" s="154">
        <v>6.1060835002079865E-5</v>
      </c>
      <c r="N191" s="156">
        <v>0</v>
      </c>
      <c r="O191" s="157">
        <v>395.708703374778</v>
      </c>
      <c r="P191" s="158">
        <v>405.7477148080439</v>
      </c>
      <c r="Q191" s="154">
        <v>0.63963578418619949</v>
      </c>
      <c r="R191" s="156">
        <v>0.65881364170178303</v>
      </c>
      <c r="S191" s="154">
        <v>5.888132661137821E-2</v>
      </c>
      <c r="T191" s="156">
        <v>5.9566324093365916E-2</v>
      </c>
      <c r="U191" s="157">
        <v>36002941</v>
      </c>
      <c r="V191" s="158">
        <v>37919633</v>
      </c>
      <c r="W191" s="157">
        <v>173078811</v>
      </c>
      <c r="X191" s="158">
        <v>198555462</v>
      </c>
      <c r="Y191" s="157">
        <v>-8216900</v>
      </c>
      <c r="Z191" s="158">
        <v>6985315</v>
      </c>
      <c r="AA191" s="159">
        <v>35308963</v>
      </c>
      <c r="AB191" s="159">
        <v>36101629</v>
      </c>
      <c r="AC191" s="157">
        <v>21962916</v>
      </c>
      <c r="AD191" s="158">
        <v>15661814</v>
      </c>
      <c r="AE191" s="157">
        <v>2650</v>
      </c>
      <c r="AF191" s="158">
        <v>0</v>
      </c>
      <c r="AG191" s="157">
        <v>2496754.5400000019</v>
      </c>
      <c r="AH191" s="158">
        <v>2032503.9999999991</v>
      </c>
      <c r="AI191" s="157">
        <v>78276643.030000001</v>
      </c>
      <c r="AJ191" s="158">
        <v>75229097.560000002</v>
      </c>
      <c r="AK191" s="154">
        <v>1.5310944099332875E-5</v>
      </c>
      <c r="AL191" s="156">
        <v>0</v>
      </c>
      <c r="AM191" s="154">
        <v>1.8487802744763044E-2</v>
      </c>
      <c r="AN191" s="156">
        <v>1.2761501166489947E-2</v>
      </c>
      <c r="AO191" s="154">
        <v>0.57961770477480334</v>
      </c>
      <c r="AP191" s="156">
        <v>0.4723416122506654</v>
      </c>
      <c r="AQ191" s="154">
        <v>0.82016</v>
      </c>
      <c r="AR191" s="155">
        <v>0.73089000000000004</v>
      </c>
      <c r="AS191" s="156">
        <v>0.77549999999999997</v>
      </c>
    </row>
    <row r="192" spans="1:45" x14ac:dyDescent="0.2">
      <c r="A192" s="152">
        <v>7004</v>
      </c>
      <c r="B192" s="153" t="s">
        <v>226</v>
      </c>
      <c r="C192" s="154">
        <v>0.11618995548494093</v>
      </c>
      <c r="D192" s="156">
        <v>8.5186621480234731E-2</v>
      </c>
      <c r="E192" s="154">
        <v>0.48229703491375248</v>
      </c>
      <c r="F192" s="156">
        <v>0.38657390533374225</v>
      </c>
      <c r="G192" s="154">
        <v>4.3510244281225137E-2</v>
      </c>
      <c r="H192" s="156">
        <v>5.3376273711504343E-2</v>
      </c>
      <c r="I192" s="154">
        <v>0</v>
      </c>
      <c r="J192" s="156">
        <v>0</v>
      </c>
      <c r="K192" s="157">
        <v>0</v>
      </c>
      <c r="L192" s="158">
        <v>0</v>
      </c>
      <c r="M192" s="154">
        <v>0</v>
      </c>
      <c r="N192" s="156">
        <v>0</v>
      </c>
      <c r="O192" s="157">
        <v>278.67368421052629</v>
      </c>
      <c r="P192" s="158">
        <v>272.10309278350513</v>
      </c>
      <c r="Q192" s="154">
        <v>0.65878917582952523</v>
      </c>
      <c r="R192" s="156">
        <v>0.67541786459732822</v>
      </c>
      <c r="S192" s="154">
        <v>9.4293891328903506E-2</v>
      </c>
      <c r="T192" s="156">
        <v>0.11589904751052296</v>
      </c>
      <c r="U192" s="157">
        <v>3563006</v>
      </c>
      <c r="V192" s="158">
        <v>2996252</v>
      </c>
      <c r="W192" s="157">
        <v>29385753</v>
      </c>
      <c r="X192" s="158">
        <v>33014223</v>
      </c>
      <c r="Y192" s="157">
        <v>1334257</v>
      </c>
      <c r="Z192" s="158">
        <v>1877393</v>
      </c>
      <c r="AA192" s="159">
        <v>7093382</v>
      </c>
      <c r="AB192" s="159">
        <v>9011517</v>
      </c>
      <c r="AC192" s="157">
        <v>0</v>
      </c>
      <c r="AD192" s="158">
        <v>0</v>
      </c>
      <c r="AE192" s="157">
        <v>0</v>
      </c>
      <c r="AF192" s="158">
        <v>0</v>
      </c>
      <c r="AG192" s="157">
        <v>525576.39999999967</v>
      </c>
      <c r="AH192" s="158">
        <v>592808.1799999997</v>
      </c>
      <c r="AI192" s="157">
        <v>6515589.9199999999</v>
      </c>
      <c r="AJ192" s="158">
        <v>18255060.43</v>
      </c>
      <c r="AK192" s="154">
        <v>0</v>
      </c>
      <c r="AL192" s="156">
        <v>0</v>
      </c>
      <c r="AM192" s="154">
        <v>2.2943546475471158E-2</v>
      </c>
      <c r="AN192" s="156">
        <v>2.19217588167206E-2</v>
      </c>
      <c r="AO192" s="154">
        <v>0.28443198770841216</v>
      </c>
      <c r="AP192" s="156">
        <v>0.67506327583253001</v>
      </c>
      <c r="AQ192" s="154">
        <v>0.77295000000000003</v>
      </c>
      <c r="AR192" s="155">
        <v>0.68727000000000005</v>
      </c>
      <c r="AS192" s="156">
        <v>0.73009999999999997</v>
      </c>
    </row>
    <row r="193" spans="1:45" x14ac:dyDescent="0.2">
      <c r="A193" s="152">
        <v>7101</v>
      </c>
      <c r="B193" s="153" t="s">
        <v>228</v>
      </c>
      <c r="C193" s="154">
        <v>0.11556069339226133</v>
      </c>
      <c r="D193" s="156">
        <v>0.10642611675056032</v>
      </c>
      <c r="E193" s="154">
        <v>0.41030283990783073</v>
      </c>
      <c r="F193" s="156">
        <v>0.15423348059240258</v>
      </c>
      <c r="G193" s="154">
        <v>0.33887540210972988</v>
      </c>
      <c r="H193" s="156">
        <v>-0.29993906969650214</v>
      </c>
      <c r="I193" s="154">
        <v>0.22274671539124763</v>
      </c>
      <c r="J193" s="156">
        <v>0.21226892327317914</v>
      </c>
      <c r="K193" s="157">
        <v>169</v>
      </c>
      <c r="L193" s="158">
        <v>125</v>
      </c>
      <c r="M193" s="154">
        <v>0</v>
      </c>
      <c r="N193" s="156">
        <v>0</v>
      </c>
      <c r="O193" s="157">
        <v>72.906976744186053</v>
      </c>
      <c r="P193" s="158">
        <v>71.581395348837205</v>
      </c>
      <c r="Q193" s="154">
        <v>0.53112556563260616</v>
      </c>
      <c r="R193" s="156">
        <v>0.43878559187692406</v>
      </c>
      <c r="S193" s="154">
        <v>0.14392242699568886</v>
      </c>
      <c r="T193" s="156">
        <v>0.39373062769322315</v>
      </c>
      <c r="U193" s="157">
        <v>1521565</v>
      </c>
      <c r="V193" s="158">
        <v>956660</v>
      </c>
      <c r="W193" s="157">
        <v>8583089</v>
      </c>
      <c r="X193" s="158">
        <v>11891653</v>
      </c>
      <c r="Y193" s="157">
        <v>4461906</v>
      </c>
      <c r="Z193" s="158">
        <v>-2696140</v>
      </c>
      <c r="AA193" s="159">
        <v>7690139</v>
      </c>
      <c r="AB193" s="159">
        <v>5068888</v>
      </c>
      <c r="AC193" s="157">
        <v>530909</v>
      </c>
      <c r="AD193" s="158">
        <v>386045</v>
      </c>
      <c r="AE193" s="157">
        <v>0</v>
      </c>
      <c r="AF193" s="158">
        <v>0</v>
      </c>
      <c r="AG193" s="157">
        <v>101999.63000000005</v>
      </c>
      <c r="AH193" s="158">
        <v>381335.33999999962</v>
      </c>
      <c r="AI193" s="157">
        <v>12438118.4</v>
      </c>
      <c r="AJ193" s="158">
        <v>12719579.07</v>
      </c>
      <c r="AK193" s="154">
        <v>0</v>
      </c>
      <c r="AL193" s="156">
        <v>0</v>
      </c>
      <c r="AM193" s="154">
        <v>1.3356042616405869E-2</v>
      </c>
      <c r="AN193" s="156">
        <v>4.1382934426010647E-2</v>
      </c>
      <c r="AO193" s="154">
        <v>1.6286729610519362</v>
      </c>
      <c r="AP193" s="156">
        <v>1.3803428409763123</v>
      </c>
      <c r="AQ193" s="154">
        <v>0.87136999999999998</v>
      </c>
      <c r="AR193" s="155">
        <v>0.82335000000000003</v>
      </c>
      <c r="AS193" s="156">
        <v>0.84740000000000004</v>
      </c>
    </row>
    <row r="194" spans="1:45" x14ac:dyDescent="0.2">
      <c r="A194" s="152">
        <v>7102</v>
      </c>
      <c r="B194" s="153" t="s">
        <v>229</v>
      </c>
      <c r="C194" s="154">
        <v>9.5803732913370326E-2</v>
      </c>
      <c r="D194" s="156">
        <v>0.11188583945471249</v>
      </c>
      <c r="E194" s="154">
        <v>0.1516656431148464</v>
      </c>
      <c r="F194" s="156">
        <v>0.2336638437828443</v>
      </c>
      <c r="G194" s="154">
        <v>-0.25783333538393394</v>
      </c>
      <c r="H194" s="156">
        <v>-0.30402916687282999</v>
      </c>
      <c r="I194" s="154">
        <v>0.95571566771945893</v>
      </c>
      <c r="J194" s="156">
        <v>1.3670520731554467</v>
      </c>
      <c r="K194" s="157">
        <v>523</v>
      </c>
      <c r="L194" s="158">
        <v>811</v>
      </c>
      <c r="M194" s="154">
        <v>0</v>
      </c>
      <c r="N194" s="156">
        <v>0</v>
      </c>
      <c r="O194" s="157">
        <v>65.540540540540547</v>
      </c>
      <c r="P194" s="158">
        <v>69.571428571428569</v>
      </c>
      <c r="Q194" s="154">
        <v>0.32861951066603912</v>
      </c>
      <c r="R194" s="156">
        <v>0.44994742331670312</v>
      </c>
      <c r="S194" s="154">
        <v>0.50516986836360889</v>
      </c>
      <c r="T194" s="156">
        <v>0.37881693083136531</v>
      </c>
      <c r="U194" s="157">
        <v>778664</v>
      </c>
      <c r="V194" s="158">
        <v>753003</v>
      </c>
      <c r="W194" s="157">
        <v>10202194</v>
      </c>
      <c r="X194" s="158">
        <v>8689213</v>
      </c>
      <c r="Y194" s="157">
        <v>-2095592</v>
      </c>
      <c r="Z194" s="158">
        <v>-2046147</v>
      </c>
      <c r="AA194" s="159">
        <v>1776332</v>
      </c>
      <c r="AB194" s="159">
        <v>432849</v>
      </c>
      <c r="AC194" s="157">
        <v>1268487</v>
      </c>
      <c r="AD194" s="158">
        <v>1974164</v>
      </c>
      <c r="AE194" s="157">
        <v>0</v>
      </c>
      <c r="AF194" s="158">
        <v>0</v>
      </c>
      <c r="AG194" s="157">
        <v>344033.48999999912</v>
      </c>
      <c r="AH194" s="158">
        <v>2967715.6900000004</v>
      </c>
      <c r="AI194" s="157">
        <v>995677.79999999981</v>
      </c>
      <c r="AJ194" s="158">
        <v>3164064.3999999994</v>
      </c>
      <c r="AK194" s="154">
        <v>0</v>
      </c>
      <c r="AL194" s="156">
        <v>0</v>
      </c>
      <c r="AM194" s="154">
        <v>5.2299150905606807E-2</v>
      </c>
      <c r="AN194" s="156">
        <v>0.40984960890000222</v>
      </c>
      <c r="AO194" s="154">
        <v>0.15136056526230257</v>
      </c>
      <c r="AP194" s="156">
        <v>0.43696589981448652</v>
      </c>
      <c r="AQ194" s="154">
        <v>0.84243999999999997</v>
      </c>
      <c r="AR194" s="155">
        <v>0.78293999999999997</v>
      </c>
      <c r="AS194" s="156">
        <v>0.81269999999999998</v>
      </c>
    </row>
    <row r="195" spans="1:45" x14ac:dyDescent="0.2">
      <c r="A195" s="152">
        <v>7103</v>
      </c>
      <c r="B195" s="153" t="s">
        <v>230</v>
      </c>
      <c r="C195" s="154">
        <v>0.15058363543103587</v>
      </c>
      <c r="D195" s="156">
        <v>0.18184432718748111</v>
      </c>
      <c r="E195" s="154">
        <v>0.37828593992910325</v>
      </c>
      <c r="F195" s="156">
        <v>0.42171434058036311</v>
      </c>
      <c r="G195" s="154">
        <v>-0.15344839266466942</v>
      </c>
      <c r="H195" s="156">
        <v>-6.8476162569342774E-2</v>
      </c>
      <c r="I195" s="154">
        <v>0.55190310909476969</v>
      </c>
      <c r="J195" s="156">
        <v>0.33668203984245831</v>
      </c>
      <c r="K195" s="157">
        <v>279</v>
      </c>
      <c r="L195" s="158">
        <v>191</v>
      </c>
      <c r="M195" s="154">
        <v>1.7300265520771796E-2</v>
      </c>
      <c r="N195" s="156">
        <v>6.6731059515428945E-2</v>
      </c>
      <c r="O195" s="157">
        <v>160.90598290598291</v>
      </c>
      <c r="P195" s="158">
        <v>161.30434782608697</v>
      </c>
      <c r="Q195" s="154">
        <v>0.47639072827662848</v>
      </c>
      <c r="R195" s="156">
        <v>0.54141034672814259</v>
      </c>
      <c r="S195" s="154">
        <v>0.32673757371994877</v>
      </c>
      <c r="T195" s="156">
        <v>0.25138542990242962</v>
      </c>
      <c r="U195" s="157">
        <v>3345290</v>
      </c>
      <c r="V195" s="158">
        <v>3856301</v>
      </c>
      <c r="W195" s="157">
        <v>24645127</v>
      </c>
      <c r="X195" s="158">
        <v>24745929</v>
      </c>
      <c r="Y195" s="157">
        <v>-3408932</v>
      </c>
      <c r="Z195" s="158">
        <v>-1452147</v>
      </c>
      <c r="AA195" s="159">
        <v>5701806</v>
      </c>
      <c r="AB195" s="159">
        <v>3157371</v>
      </c>
      <c r="AC195" s="157">
        <v>2625232</v>
      </c>
      <c r="AD195" s="158">
        <v>1773877</v>
      </c>
      <c r="AE195" s="157">
        <v>82292</v>
      </c>
      <c r="AF195" s="158">
        <v>351586</v>
      </c>
      <c r="AG195" s="157">
        <v>2157889.5200000019</v>
      </c>
      <c r="AH195" s="158">
        <v>1879716.5</v>
      </c>
      <c r="AI195" s="157">
        <v>9149624.9499999993</v>
      </c>
      <c r="AJ195" s="158">
        <v>15063083.819999998</v>
      </c>
      <c r="AK195" s="154">
        <v>3.3390779442930038E-3</v>
      </c>
      <c r="AL195" s="156">
        <v>1.4207831922576032E-2</v>
      </c>
      <c r="AM195" s="154">
        <v>0.11815691834046418</v>
      </c>
      <c r="AN195" s="156">
        <v>9.0683910465078413E-2</v>
      </c>
      <c r="AO195" s="154">
        <v>0.5009948276049937</v>
      </c>
      <c r="AP195" s="156">
        <v>0.72669434165250513</v>
      </c>
      <c r="AQ195" s="154">
        <v>0.95387999999999995</v>
      </c>
      <c r="AR195" s="155">
        <v>0.83662000000000003</v>
      </c>
      <c r="AS195" s="156">
        <v>0.89529999999999998</v>
      </c>
    </row>
    <row r="196" spans="1:45" x14ac:dyDescent="0.2">
      <c r="A196" s="152">
        <v>7104</v>
      </c>
      <c r="B196" s="153" t="s">
        <v>231</v>
      </c>
      <c r="C196" s="154">
        <v>0.1305924789254469</v>
      </c>
      <c r="D196" s="156">
        <v>0.13035546706412898</v>
      </c>
      <c r="E196" s="154">
        <v>0.38337824994191816</v>
      </c>
      <c r="F196" s="156">
        <v>0.38855832587549161</v>
      </c>
      <c r="G196" s="154">
        <v>-0.16922061618683093</v>
      </c>
      <c r="H196" s="156">
        <v>2.3430653266887525E-2</v>
      </c>
      <c r="I196" s="154">
        <v>0.70455713912166273</v>
      </c>
      <c r="J196" s="156">
        <v>0.53937431250528844</v>
      </c>
      <c r="K196" s="157">
        <v>274</v>
      </c>
      <c r="L196" s="158">
        <v>246</v>
      </c>
      <c r="M196" s="154">
        <v>1.6983109008234081</v>
      </c>
      <c r="N196" s="156">
        <v>1.8408969161775679</v>
      </c>
      <c r="O196" s="157">
        <v>137.03773584905662</v>
      </c>
      <c r="P196" s="158">
        <v>129.67272727272729</v>
      </c>
      <c r="Q196" s="154">
        <v>0.54901198352743341</v>
      </c>
      <c r="R196" s="156">
        <v>0.62121992062075027</v>
      </c>
      <c r="S196" s="154">
        <v>0.30245919092400275</v>
      </c>
      <c r="T196" s="156">
        <v>0.18829408167248082</v>
      </c>
      <c r="U196" s="157">
        <v>1815181</v>
      </c>
      <c r="V196" s="158">
        <v>2239025</v>
      </c>
      <c r="W196" s="157">
        <v>15939714</v>
      </c>
      <c r="X196" s="158">
        <v>16858310</v>
      </c>
      <c r="Y196" s="157">
        <v>-2352096</v>
      </c>
      <c r="Z196" s="158">
        <v>402452</v>
      </c>
      <c r="AA196" s="159">
        <v>2059497</v>
      </c>
      <c r="AB196" s="159">
        <v>1774611</v>
      </c>
      <c r="AC196" s="157">
        <v>1991206</v>
      </c>
      <c r="AD196" s="158">
        <v>1752980</v>
      </c>
      <c r="AE196" s="157">
        <v>4799734</v>
      </c>
      <c r="AF196" s="158">
        <v>5982961</v>
      </c>
      <c r="AG196" s="157">
        <v>5286755.040000001</v>
      </c>
      <c r="AH196" s="158">
        <v>10579344.6</v>
      </c>
      <c r="AI196" s="157">
        <v>5733218.120000001</v>
      </c>
      <c r="AJ196" s="158">
        <v>7275285.8900000006</v>
      </c>
      <c r="AK196" s="154">
        <v>0.30111794979508416</v>
      </c>
      <c r="AL196" s="156">
        <v>0.35489684315924908</v>
      </c>
      <c r="AM196" s="154">
        <v>0.41282368004502784</v>
      </c>
      <c r="AN196" s="156">
        <v>0.71778741958230463</v>
      </c>
      <c r="AO196" s="154">
        <v>0.44768637564853692</v>
      </c>
      <c r="AP196" s="156">
        <v>0.49361362949710996</v>
      </c>
      <c r="AQ196" s="154">
        <v>0.90795000000000003</v>
      </c>
      <c r="AR196" s="155">
        <v>0.87814000000000003</v>
      </c>
      <c r="AS196" s="156">
        <v>0.89300000000000002</v>
      </c>
    </row>
    <row r="197" spans="1:45" x14ac:dyDescent="0.2">
      <c r="A197" s="152">
        <v>7105</v>
      </c>
      <c r="B197" s="153" t="s">
        <v>232</v>
      </c>
      <c r="C197" s="154">
        <v>0.11535911713542783</v>
      </c>
      <c r="D197" s="156">
        <v>9.9103213171599328E-2</v>
      </c>
      <c r="E197" s="154">
        <v>0.32389114658248958</v>
      </c>
      <c r="F197" s="156">
        <v>0.5265147584796932</v>
      </c>
      <c r="G197" s="154">
        <v>-0.12040475273512938</v>
      </c>
      <c r="H197" s="156">
        <v>0.10311442199751397</v>
      </c>
      <c r="I197" s="154">
        <v>0.2253100619822361</v>
      </c>
      <c r="J197" s="156">
        <v>0.13965972217225894</v>
      </c>
      <c r="K197" s="157">
        <v>87</v>
      </c>
      <c r="L197" s="158">
        <v>56</v>
      </c>
      <c r="M197" s="154">
        <v>0.20381643431325186</v>
      </c>
      <c r="N197" s="156">
        <v>0.31112192982386017</v>
      </c>
      <c r="O197" s="157">
        <v>169.39285714285714</v>
      </c>
      <c r="P197" s="158">
        <v>166.14285714285714</v>
      </c>
      <c r="Q197" s="154">
        <v>0.61813383014610146</v>
      </c>
      <c r="R197" s="156">
        <v>0.72195796324795447</v>
      </c>
      <c r="S197" s="154">
        <v>0.1960459441759457</v>
      </c>
      <c r="T197" s="156">
        <v>7.6269554860417824E-2</v>
      </c>
      <c r="U197" s="157">
        <v>2152474</v>
      </c>
      <c r="V197" s="158">
        <v>2258057</v>
      </c>
      <c r="W197" s="157">
        <v>20717664</v>
      </c>
      <c r="X197" s="158">
        <v>20672482</v>
      </c>
      <c r="Y197" s="157">
        <v>-2246620</v>
      </c>
      <c r="Z197" s="158">
        <v>2349452</v>
      </c>
      <c r="AA197" s="159">
        <v>1461465</v>
      </c>
      <c r="AB197" s="159">
        <v>3485195</v>
      </c>
      <c r="AC197" s="157">
        <v>821745</v>
      </c>
      <c r="AD197" s="158">
        <v>524109</v>
      </c>
      <c r="AE197" s="157">
        <v>743354</v>
      </c>
      <c r="AF197" s="158">
        <v>1167565</v>
      </c>
      <c r="AG197" s="157">
        <v>1366853.5000000007</v>
      </c>
      <c r="AH197" s="158">
        <v>2487427.2800000021</v>
      </c>
      <c r="AI197" s="157">
        <v>5524595.8199999994</v>
      </c>
      <c r="AJ197" s="158">
        <v>9147851.6900000013</v>
      </c>
      <c r="AK197" s="154">
        <v>3.5880203482400334E-2</v>
      </c>
      <c r="AL197" s="156">
        <v>5.6479188130385119E-2</v>
      </c>
      <c r="AM197" s="154">
        <v>8.7117047829198671E-2</v>
      </c>
      <c r="AN197" s="156">
        <v>0.1408992233237828</v>
      </c>
      <c r="AO197" s="154">
        <v>0.35211270138894241</v>
      </c>
      <c r="AP197" s="156">
        <v>0.51817603214601438</v>
      </c>
      <c r="AQ197" s="154">
        <v>0.92330000000000001</v>
      </c>
      <c r="AR197" s="155">
        <v>0.83289000000000002</v>
      </c>
      <c r="AS197" s="156">
        <v>0.87809999999999999</v>
      </c>
    </row>
    <row r="198" spans="1:45" x14ac:dyDescent="0.2">
      <c r="A198" s="152">
        <v>7106</v>
      </c>
      <c r="B198" s="153" t="s">
        <v>233</v>
      </c>
      <c r="C198" s="154">
        <v>0.11862044788082836</v>
      </c>
      <c r="D198" s="156">
        <v>0.1195842660905365</v>
      </c>
      <c r="E198" s="154">
        <v>0.2739019897994811</v>
      </c>
      <c r="F198" s="156">
        <v>0.35696093976529097</v>
      </c>
      <c r="G198" s="154">
        <v>-0.13558879736916302</v>
      </c>
      <c r="H198" s="156">
        <v>1.4607308016967946E-3</v>
      </c>
      <c r="I198" s="154">
        <v>0.76214131259181872</v>
      </c>
      <c r="J198" s="156">
        <v>0.62675940353438464</v>
      </c>
      <c r="K198" s="157">
        <v>324</v>
      </c>
      <c r="L198" s="158">
        <v>318</v>
      </c>
      <c r="M198" s="154">
        <v>0.41806765388732015</v>
      </c>
      <c r="N198" s="156">
        <v>0.34646453852633541</v>
      </c>
      <c r="O198" s="157">
        <v>154.87301587301587</v>
      </c>
      <c r="P198" s="158">
        <v>147.73846153846154</v>
      </c>
      <c r="Q198" s="154">
        <v>0.52808056708718454</v>
      </c>
      <c r="R198" s="156">
        <v>0.53255569891562848</v>
      </c>
      <c r="S198" s="154">
        <v>0.30696355736296188</v>
      </c>
      <c r="T198" s="156">
        <v>0.31372998185734147</v>
      </c>
      <c r="U198" s="157">
        <v>2463274</v>
      </c>
      <c r="V198" s="158">
        <v>3195887</v>
      </c>
      <c r="W198" s="157">
        <v>23795424</v>
      </c>
      <c r="X198" s="158">
        <v>26838404</v>
      </c>
      <c r="Y198" s="157">
        <v>-2815639</v>
      </c>
      <c r="Z198" s="158">
        <v>39038</v>
      </c>
      <c r="AA198" s="159">
        <v>1986606</v>
      </c>
      <c r="AB198" s="159">
        <v>1937601</v>
      </c>
      <c r="AC198" s="157">
        <v>3157303</v>
      </c>
      <c r="AD198" s="158">
        <v>3055820</v>
      </c>
      <c r="AE198" s="157">
        <v>1731918</v>
      </c>
      <c r="AF198" s="158">
        <v>1689218</v>
      </c>
      <c r="AG198" s="157">
        <v>2319415.2400000012</v>
      </c>
      <c r="AH198" s="158">
        <v>3824398.9600000009</v>
      </c>
      <c r="AI198" s="157">
        <v>6282464.6400000006</v>
      </c>
      <c r="AJ198" s="158">
        <v>4695548.5</v>
      </c>
      <c r="AK198" s="154">
        <v>7.2783657899939083E-2</v>
      </c>
      <c r="AL198" s="156">
        <v>6.2940329834814318E-2</v>
      </c>
      <c r="AM198" s="154">
        <v>0.12881025952481029</v>
      </c>
      <c r="AN198" s="156">
        <v>0.17632530025771517</v>
      </c>
      <c r="AO198" s="154">
        <v>0.34890082930292532</v>
      </c>
      <c r="AP198" s="156">
        <v>0.2164899655597553</v>
      </c>
      <c r="AQ198" s="154">
        <v>0.90137</v>
      </c>
      <c r="AR198" s="155">
        <v>0.82223000000000002</v>
      </c>
      <c r="AS198" s="156">
        <v>0.86180000000000001</v>
      </c>
    </row>
    <row r="199" spans="1:45" x14ac:dyDescent="0.2">
      <c r="A199" s="152">
        <v>7107</v>
      </c>
      <c r="B199" s="153" t="s">
        <v>234</v>
      </c>
      <c r="C199" s="154">
        <v>5.463691391832063E-2</v>
      </c>
      <c r="D199" s="156">
        <v>7.7783362868047989E-2</v>
      </c>
      <c r="E199" s="154">
        <v>0.18750524547481434</v>
      </c>
      <c r="F199" s="156">
        <v>0.41019431652252047</v>
      </c>
      <c r="G199" s="154">
        <v>1.9574054546670574E-2</v>
      </c>
      <c r="H199" s="156">
        <v>-8.3088458535739068E-2</v>
      </c>
      <c r="I199" s="154">
        <v>1.1460469687397064</v>
      </c>
      <c r="J199" s="156">
        <v>0.6562452509704837</v>
      </c>
      <c r="K199" s="157">
        <v>390</v>
      </c>
      <c r="L199" s="158">
        <v>272</v>
      </c>
      <c r="M199" s="154">
        <v>1.3011940482983266</v>
      </c>
      <c r="N199" s="156">
        <v>0.52058332158272913</v>
      </c>
      <c r="O199" s="157">
        <v>94.15384615384616</v>
      </c>
      <c r="P199" s="158">
        <v>129.17333333333335</v>
      </c>
      <c r="Q199" s="154">
        <v>0.48189424210465193</v>
      </c>
      <c r="R199" s="156">
        <v>0.54893577861989173</v>
      </c>
      <c r="S199" s="154">
        <v>0.29966048011494456</v>
      </c>
      <c r="T199" s="156">
        <v>0.18720643721678804</v>
      </c>
      <c r="U199" s="157">
        <v>699283</v>
      </c>
      <c r="V199" s="158">
        <v>1004289</v>
      </c>
      <c r="W199" s="157">
        <v>11848496</v>
      </c>
      <c r="X199" s="158">
        <v>13018297</v>
      </c>
      <c r="Y199" s="157">
        <v>250523</v>
      </c>
      <c r="Z199" s="158">
        <v>-1072785</v>
      </c>
      <c r="AA199" s="159">
        <v>1737586</v>
      </c>
      <c r="AB199" s="159">
        <v>654658</v>
      </c>
      <c r="AC199" s="157">
        <v>1910097</v>
      </c>
      <c r="AD199" s="158">
        <v>1317077</v>
      </c>
      <c r="AE199" s="157">
        <v>2168678</v>
      </c>
      <c r="AF199" s="158">
        <v>1044805</v>
      </c>
      <c r="AG199" s="157">
        <v>2109838.9500000002</v>
      </c>
      <c r="AH199" s="158">
        <v>1559972.49</v>
      </c>
      <c r="AI199" s="157">
        <v>16495443.049999999</v>
      </c>
      <c r="AJ199" s="158">
        <v>16271175.810000001</v>
      </c>
      <c r="AK199" s="154">
        <v>0.18303403233625601</v>
      </c>
      <c r="AL199" s="156">
        <v>8.0256657226363784E-2</v>
      </c>
      <c r="AM199" s="154">
        <v>0.18238599054563337</v>
      </c>
      <c r="AN199" s="156">
        <v>0.12848566675929879</v>
      </c>
      <c r="AO199" s="154">
        <v>1.4259560997124132</v>
      </c>
      <c r="AP199" s="156">
        <v>1.3401600901985287</v>
      </c>
      <c r="AQ199" s="154">
        <v>0.80720000000000003</v>
      </c>
      <c r="AR199" s="155">
        <v>0.79017000000000004</v>
      </c>
      <c r="AS199" s="156">
        <v>0.79869999999999997</v>
      </c>
    </row>
    <row r="200" spans="1:45" x14ac:dyDescent="0.2">
      <c r="A200" s="152">
        <v>7108</v>
      </c>
      <c r="B200" s="153" t="s">
        <v>235</v>
      </c>
      <c r="C200" s="154">
        <v>0.12880101324263177</v>
      </c>
      <c r="D200" s="156">
        <v>0.1064845422488868</v>
      </c>
      <c r="E200" s="154">
        <v>0.35767637020348297</v>
      </c>
      <c r="F200" s="156">
        <v>0.36032876135019259</v>
      </c>
      <c r="G200" s="154">
        <v>-3.8831298166051263E-2</v>
      </c>
      <c r="H200" s="156">
        <v>-3.9126689247541202E-2</v>
      </c>
      <c r="I200" s="154">
        <v>1.644877292523909</v>
      </c>
      <c r="J200" s="156">
        <v>1.7346106186861168</v>
      </c>
      <c r="K200" s="157">
        <v>755</v>
      </c>
      <c r="L200" s="158">
        <v>718</v>
      </c>
      <c r="M200" s="154">
        <v>0.23298912036547231</v>
      </c>
      <c r="N200" s="156">
        <v>0.16972365927826796</v>
      </c>
      <c r="O200" s="157">
        <v>143.15254237288136</v>
      </c>
      <c r="P200" s="158">
        <v>141.72881355932202</v>
      </c>
      <c r="Q200" s="154">
        <v>0.50697363442736065</v>
      </c>
      <c r="R200" s="156">
        <v>0.59634827773937671</v>
      </c>
      <c r="S200" s="154">
        <v>0.2479067293279443</v>
      </c>
      <c r="T200" s="156">
        <v>0.13940906892874794</v>
      </c>
      <c r="U200" s="157">
        <v>2522014</v>
      </c>
      <c r="V200" s="158">
        <v>2093046</v>
      </c>
      <c r="W200" s="157">
        <v>20248337</v>
      </c>
      <c r="X200" s="158">
        <v>20640343</v>
      </c>
      <c r="Y200" s="157">
        <v>-760344</v>
      </c>
      <c r="Z200" s="158">
        <v>-769069</v>
      </c>
      <c r="AA200" s="159">
        <v>2157300</v>
      </c>
      <c r="AB200" s="159">
        <v>983808</v>
      </c>
      <c r="AC200" s="157">
        <v>6374416</v>
      </c>
      <c r="AD200" s="158">
        <v>5999751</v>
      </c>
      <c r="AE200" s="157">
        <v>902906</v>
      </c>
      <c r="AF200" s="158">
        <v>587048</v>
      </c>
      <c r="AG200" s="157">
        <v>2098432.3699999996</v>
      </c>
      <c r="AH200" s="158">
        <v>3347026.9700000007</v>
      </c>
      <c r="AI200" s="157">
        <v>9257656.5999999978</v>
      </c>
      <c r="AJ200" s="158">
        <v>14188911.469999999</v>
      </c>
      <c r="AK200" s="154">
        <v>4.4591612634657357E-2</v>
      </c>
      <c r="AL200" s="156">
        <v>2.8441775410418323E-2</v>
      </c>
      <c r="AM200" s="154">
        <v>0.1206886977272697</v>
      </c>
      <c r="AN200" s="156">
        <v>0.17088282143185177</v>
      </c>
      <c r="AO200" s="154">
        <v>0.53244247231101527</v>
      </c>
      <c r="AP200" s="156">
        <v>0.72441639902302979</v>
      </c>
      <c r="AQ200" s="154">
        <v>0.86458999999999997</v>
      </c>
      <c r="AR200" s="155">
        <v>0.81866000000000005</v>
      </c>
      <c r="AS200" s="156">
        <v>0.84160000000000001</v>
      </c>
    </row>
    <row r="201" spans="1:45" x14ac:dyDescent="0.2">
      <c r="A201" s="152">
        <v>7109</v>
      </c>
      <c r="B201" s="153" t="s">
        <v>227</v>
      </c>
      <c r="C201" s="154">
        <v>0.19015546841891118</v>
      </c>
      <c r="D201" s="156">
        <v>0.17798798719975617</v>
      </c>
      <c r="E201" s="154">
        <v>0.76385213271305674</v>
      </c>
      <c r="F201" s="156">
        <v>0.51755327182158739</v>
      </c>
      <c r="G201" s="154">
        <v>-2.1504085954628674E-2</v>
      </c>
      <c r="H201" s="156">
        <v>-2.321455545386264E-2</v>
      </c>
      <c r="I201" s="154">
        <v>0.41767134412332307</v>
      </c>
      <c r="J201" s="156">
        <v>0.26818867420300557</v>
      </c>
      <c r="K201" s="157">
        <v>216</v>
      </c>
      <c r="L201" s="158">
        <v>146</v>
      </c>
      <c r="M201" s="154">
        <v>8.6625562281148191E-2</v>
      </c>
      <c r="N201" s="156">
        <v>4.1733146566806214E-3</v>
      </c>
      <c r="O201" s="157">
        <v>277.76271186440675</v>
      </c>
      <c r="P201" s="158">
        <v>274.16101694915255</v>
      </c>
      <c r="Q201" s="154">
        <v>0.57575281312937776</v>
      </c>
      <c r="R201" s="156">
        <v>0.52568935475054646</v>
      </c>
      <c r="S201" s="154">
        <v>8.9478298923026792E-2</v>
      </c>
      <c r="T201" s="156">
        <v>0.16550657668120097</v>
      </c>
      <c r="U201" s="157">
        <v>13939258</v>
      </c>
      <c r="V201" s="158">
        <v>14660480</v>
      </c>
      <c r="W201" s="157">
        <v>67698806</v>
      </c>
      <c r="X201" s="158">
        <v>87700237</v>
      </c>
      <c r="Y201" s="157">
        <v>-1576347</v>
      </c>
      <c r="Z201" s="158">
        <v>-1912132</v>
      </c>
      <c r="AA201" s="159">
        <v>14535687</v>
      </c>
      <c r="AB201" s="159">
        <v>11193778</v>
      </c>
      <c r="AC201" s="157">
        <v>7075878</v>
      </c>
      <c r="AD201" s="158">
        <v>4736743</v>
      </c>
      <c r="AE201" s="157">
        <v>1467546</v>
      </c>
      <c r="AF201" s="158">
        <v>73709</v>
      </c>
      <c r="AG201" s="157">
        <v>3001289.3499999996</v>
      </c>
      <c r="AH201" s="158">
        <v>2941818.2200000011</v>
      </c>
      <c r="AI201" s="157">
        <v>44151484.799999997</v>
      </c>
      <c r="AJ201" s="158">
        <v>38528754.729999997</v>
      </c>
      <c r="AK201" s="154">
        <v>2.1677575820170301E-2</v>
      </c>
      <c r="AL201" s="156">
        <v>8.4046523158198534E-4</v>
      </c>
      <c r="AM201" s="154">
        <v>5.2076826996411966E-2</v>
      </c>
      <c r="AN201" s="156">
        <v>4.3454425839391395E-2</v>
      </c>
      <c r="AO201" s="154">
        <v>0.76609382416404226</v>
      </c>
      <c r="AP201" s="156">
        <v>0.56911909230709867</v>
      </c>
      <c r="AQ201" s="154">
        <v>0.79735999999999996</v>
      </c>
      <c r="AR201" s="155">
        <v>0.79286000000000001</v>
      </c>
      <c r="AS201" s="156">
        <v>0.79510000000000003</v>
      </c>
    </row>
    <row r="202" spans="1:45" x14ac:dyDescent="0.2">
      <c r="A202" s="152">
        <v>7110</v>
      </c>
      <c r="B202" s="153" t="s">
        <v>236</v>
      </c>
      <c r="C202" s="154">
        <v>0.32923369200455566</v>
      </c>
      <c r="D202" s="156">
        <v>0.30175884010480303</v>
      </c>
      <c r="E202" s="154">
        <v>0.59176055698938235</v>
      </c>
      <c r="F202" s="156">
        <v>0.78133375086143741</v>
      </c>
      <c r="G202" s="154">
        <v>-0.20888309545037506</v>
      </c>
      <c r="H202" s="156">
        <v>-5.3423587472369152E-2</v>
      </c>
      <c r="I202" s="154">
        <v>0.65622829772598124</v>
      </c>
      <c r="J202" s="156">
        <v>0.453879581261523</v>
      </c>
      <c r="K202" s="157">
        <v>623</v>
      </c>
      <c r="L202" s="158">
        <v>454</v>
      </c>
      <c r="M202" s="154">
        <v>0.32681738512072434</v>
      </c>
      <c r="N202" s="156">
        <v>0.21115006424939942</v>
      </c>
      <c r="O202" s="157">
        <v>111.78640776699029</v>
      </c>
      <c r="P202" s="158">
        <v>98.672413793103445</v>
      </c>
      <c r="Q202" s="154">
        <v>0.50945189485105002</v>
      </c>
      <c r="R202" s="156">
        <v>0.5834887786047096</v>
      </c>
      <c r="S202" s="154">
        <v>0.19323289512091688</v>
      </c>
      <c r="T202" s="156">
        <v>0.15008352849162865</v>
      </c>
      <c r="U202" s="157">
        <v>5210057</v>
      </c>
      <c r="V202" s="158">
        <v>5469280</v>
      </c>
      <c r="W202" s="157">
        <v>18157100</v>
      </c>
      <c r="X202" s="158">
        <v>17538327</v>
      </c>
      <c r="Y202" s="157">
        <v>-3305533</v>
      </c>
      <c r="Z202" s="158">
        <v>-968285</v>
      </c>
      <c r="AA202" s="159">
        <v>2172404</v>
      </c>
      <c r="AB202" s="159">
        <v>1371453</v>
      </c>
      <c r="AC202" s="157">
        <v>3587900</v>
      </c>
      <c r="AD202" s="158">
        <v>2599677</v>
      </c>
      <c r="AE202" s="157">
        <v>1786860</v>
      </c>
      <c r="AF202" s="158">
        <v>1209400</v>
      </c>
      <c r="AG202" s="157">
        <v>668158.22999999963</v>
      </c>
      <c r="AH202" s="158">
        <v>1192117.95</v>
      </c>
      <c r="AI202" s="157">
        <v>7399103.3500000006</v>
      </c>
      <c r="AJ202" s="158">
        <v>7787452.9699999997</v>
      </c>
      <c r="AK202" s="154">
        <v>9.8411089876687355E-2</v>
      </c>
      <c r="AL202" s="156">
        <v>6.8957546520828361E-2</v>
      </c>
      <c r="AM202" s="154">
        <v>4.2942780470135201E-2</v>
      </c>
      <c r="AN202" s="156">
        <v>7.1872507771953253E-2</v>
      </c>
      <c r="AO202" s="154">
        <v>0.47554315215857201</v>
      </c>
      <c r="AP202" s="156">
        <v>0.46950368804533593</v>
      </c>
      <c r="AQ202" s="154">
        <v>0.81903999999999999</v>
      </c>
      <c r="AR202" s="155">
        <v>0.78686</v>
      </c>
      <c r="AS202" s="156">
        <v>0.80300000000000005</v>
      </c>
    </row>
    <row r="203" spans="1:45" x14ac:dyDescent="0.2">
      <c r="A203" s="152">
        <v>7200</v>
      </c>
      <c r="B203" s="153" t="s">
        <v>238</v>
      </c>
      <c r="C203" s="154">
        <v>0.42226920339032126</v>
      </c>
      <c r="D203" s="156">
        <v>0.38314292322678051</v>
      </c>
      <c r="E203" s="154">
        <v>1.1158998053846598</v>
      </c>
      <c r="F203" s="156">
        <v>0.9267726518689694</v>
      </c>
      <c r="G203" s="154">
        <v>1.5331808617857585E-2</v>
      </c>
      <c r="H203" s="156">
        <v>-2.7371144221765016E-2</v>
      </c>
      <c r="I203" s="154">
        <v>0.70595197988863667</v>
      </c>
      <c r="J203" s="156">
        <v>0.78315945391871922</v>
      </c>
      <c r="K203" s="157">
        <v>531</v>
      </c>
      <c r="L203" s="158">
        <v>589</v>
      </c>
      <c r="M203" s="154">
        <v>5.4602305243307194E-3</v>
      </c>
      <c r="N203" s="156">
        <v>9.7249577507531597E-4</v>
      </c>
      <c r="O203" s="157">
        <v>486.26433725788075</v>
      </c>
      <c r="P203" s="158">
        <v>490.27238095238096</v>
      </c>
      <c r="Q203" s="154">
        <v>0.44061624355886642</v>
      </c>
      <c r="R203" s="156">
        <v>0.44409386611012597</v>
      </c>
      <c r="S203" s="154">
        <v>0.13920208841309767</v>
      </c>
      <c r="T203" s="156">
        <v>0.14672619428206707</v>
      </c>
      <c r="U203" s="157">
        <v>962094717</v>
      </c>
      <c r="V203" s="158">
        <v>966821854</v>
      </c>
      <c r="W203" s="157">
        <v>2222900443</v>
      </c>
      <c r="X203" s="158">
        <v>2624934981</v>
      </c>
      <c r="Y203" s="157">
        <v>34931868</v>
      </c>
      <c r="Z203" s="158">
        <v>-69068274</v>
      </c>
      <c r="AA203" s="159">
        <v>193024538</v>
      </c>
      <c r="AB203" s="159">
        <v>283550216</v>
      </c>
      <c r="AC203" s="157">
        <v>679899893</v>
      </c>
      <c r="AD203" s="158">
        <v>757966353</v>
      </c>
      <c r="AE203" s="157">
        <v>5258729</v>
      </c>
      <c r="AF203" s="158">
        <v>941212</v>
      </c>
      <c r="AG203" s="157">
        <v>141023937.60999992</v>
      </c>
      <c r="AH203" s="158">
        <v>211689406.72000024</v>
      </c>
      <c r="AI203" s="157">
        <v>1268720514.8899999</v>
      </c>
      <c r="AJ203" s="158">
        <v>940357997.82999992</v>
      </c>
      <c r="AK203" s="154">
        <v>2.3657060380548947E-3</v>
      </c>
      <c r="AL203" s="156">
        <v>3.5856583374931219E-4</v>
      </c>
      <c r="AM203" s="154">
        <v>7.9449652631332954E-2</v>
      </c>
      <c r="AN203" s="156">
        <v>0.10149061928767589</v>
      </c>
      <c r="AO203" s="154">
        <v>0.71476804507484371</v>
      </c>
      <c r="AP203" s="156">
        <v>0.45083746527817542</v>
      </c>
      <c r="AQ203" s="154">
        <v>0.81483000000000005</v>
      </c>
      <c r="AR203" s="155">
        <v>0.77263999999999999</v>
      </c>
      <c r="AS203" s="156">
        <v>0.79369999999999996</v>
      </c>
    </row>
    <row r="204" spans="1:45" x14ac:dyDescent="0.2">
      <c r="A204" s="152">
        <v>7301</v>
      </c>
      <c r="B204" s="153" t="s">
        <v>240</v>
      </c>
      <c r="C204" s="154">
        <v>9.7117191021138985E-2</v>
      </c>
      <c r="D204" s="156">
        <v>0.10691277802190174</v>
      </c>
      <c r="E204" s="154">
        <v>0.18910826237484796</v>
      </c>
      <c r="F204" s="156">
        <v>0.23720263116275586</v>
      </c>
      <c r="G204" s="154">
        <v>-0.32719714518078447</v>
      </c>
      <c r="H204" s="156">
        <v>-3.7916074398982153E-3</v>
      </c>
      <c r="I204" s="154">
        <v>0.30995925987397754</v>
      </c>
      <c r="J204" s="156">
        <v>0.30148897368806038</v>
      </c>
      <c r="K204" s="157">
        <v>185</v>
      </c>
      <c r="L204" s="158">
        <v>192</v>
      </c>
      <c r="M204" s="154">
        <v>0.15029233777225315</v>
      </c>
      <c r="N204" s="156">
        <v>2.6814480780033258E-2</v>
      </c>
      <c r="O204" s="157">
        <v>69.463414634146346</v>
      </c>
      <c r="P204" s="158">
        <v>73.84210526315789</v>
      </c>
      <c r="Q204" s="154">
        <v>0.36307016674091863</v>
      </c>
      <c r="R204" s="156">
        <v>0.54681935794404735</v>
      </c>
      <c r="S204" s="154">
        <v>0.48807644872811828</v>
      </c>
      <c r="T204" s="156">
        <v>0.26091868673445434</v>
      </c>
      <c r="U204" s="157">
        <v>426431</v>
      </c>
      <c r="V204" s="158">
        <v>455949</v>
      </c>
      <c r="W204" s="157">
        <v>5889856</v>
      </c>
      <c r="X204" s="158">
        <v>4379556</v>
      </c>
      <c r="Y204" s="157">
        <v>-1436687</v>
      </c>
      <c r="Z204" s="158">
        <v>-16170</v>
      </c>
      <c r="AA204" s="159">
        <v>279153</v>
      </c>
      <c r="AB204" s="159">
        <v>248062</v>
      </c>
      <c r="AC204" s="157">
        <v>263320</v>
      </c>
      <c r="AD204" s="158">
        <v>269968</v>
      </c>
      <c r="AE204" s="157">
        <v>127678</v>
      </c>
      <c r="AF204" s="158">
        <v>24011</v>
      </c>
      <c r="AG204" s="157">
        <v>136180.85000000003</v>
      </c>
      <c r="AH204" s="158">
        <v>24910.399999999936</v>
      </c>
      <c r="AI204" s="157">
        <v>1289493.2100000004</v>
      </c>
      <c r="AJ204" s="158">
        <v>3795186.9</v>
      </c>
      <c r="AK204" s="154">
        <v>2.1677609775179563E-2</v>
      </c>
      <c r="AL204" s="156">
        <v>5.4825192325432077E-3</v>
      </c>
      <c r="AM204" s="154">
        <v>3.4753878843497774E-2</v>
      </c>
      <c r="AN204" s="156">
        <v>5.5218839097413552E-3</v>
      </c>
      <c r="AO204" s="154">
        <v>0.32908364714901567</v>
      </c>
      <c r="AP204" s="156">
        <v>0.84127840089164463</v>
      </c>
      <c r="AQ204" s="154">
        <v>0.87592999999999999</v>
      </c>
      <c r="AR204" s="155">
        <v>0.81135999999999997</v>
      </c>
      <c r="AS204" s="156">
        <v>0.84360000000000002</v>
      </c>
    </row>
    <row r="205" spans="1:45" x14ac:dyDescent="0.2">
      <c r="A205" s="152">
        <v>7302</v>
      </c>
      <c r="B205" s="153" t="s">
        <v>241</v>
      </c>
      <c r="C205" s="154">
        <v>0.43260961024697442</v>
      </c>
      <c r="D205" s="156">
        <v>0.36459617785142334</v>
      </c>
      <c r="E205" s="154">
        <v>1.0259166235014849</v>
      </c>
      <c r="F205" s="156">
        <v>0.79096577838102122</v>
      </c>
      <c r="G205" s="154">
        <v>5.1619862626950015E-2</v>
      </c>
      <c r="H205" s="156">
        <v>-2.8139366271228868E-2</v>
      </c>
      <c r="I205" s="154">
        <v>0</v>
      </c>
      <c r="J205" s="156">
        <v>0</v>
      </c>
      <c r="K205" s="157">
        <v>0</v>
      </c>
      <c r="L205" s="158">
        <v>0</v>
      </c>
      <c r="M205" s="154">
        <v>0</v>
      </c>
      <c r="N205" s="156">
        <v>0</v>
      </c>
      <c r="O205" s="157">
        <v>160.98275862068965</v>
      </c>
      <c r="P205" s="158">
        <v>169.09090909090909</v>
      </c>
      <c r="Q205" s="154">
        <v>0.52080039291354885</v>
      </c>
      <c r="R205" s="156">
        <v>0.52744544689690676</v>
      </c>
      <c r="S205" s="154">
        <v>0.13080161411935548</v>
      </c>
      <c r="T205" s="156">
        <v>0.12424253714462118</v>
      </c>
      <c r="U205" s="157">
        <v>8259111</v>
      </c>
      <c r="V205" s="158">
        <v>7483680</v>
      </c>
      <c r="W205" s="157">
        <v>18047736</v>
      </c>
      <c r="X205" s="158">
        <v>21042616</v>
      </c>
      <c r="Y205" s="157">
        <v>985494</v>
      </c>
      <c r="Z205" s="158">
        <v>-577587</v>
      </c>
      <c r="AA205" s="159">
        <v>6113069</v>
      </c>
      <c r="AB205" s="159">
        <v>5573000</v>
      </c>
      <c r="AC205" s="157">
        <v>0</v>
      </c>
      <c r="AD205" s="158">
        <v>0</v>
      </c>
      <c r="AE205" s="157">
        <v>0</v>
      </c>
      <c r="AF205" s="158">
        <v>0</v>
      </c>
      <c r="AG205" s="157">
        <v>38043.339999998134</v>
      </c>
      <c r="AH205" s="158">
        <v>155065.69000000128</v>
      </c>
      <c r="AI205" s="157">
        <v>5392357.0300000012</v>
      </c>
      <c r="AJ205" s="158">
        <v>13945155.439999998</v>
      </c>
      <c r="AK205" s="154">
        <v>0</v>
      </c>
      <c r="AL205" s="156">
        <v>0</v>
      </c>
      <c r="AM205" s="154">
        <v>2.6185033745028709E-3</v>
      </c>
      <c r="AN205" s="156">
        <v>9.0463292625179385E-3</v>
      </c>
      <c r="AO205" s="154">
        <v>0.37115313953979789</v>
      </c>
      <c r="AP205" s="156">
        <v>0.81354210417038197</v>
      </c>
      <c r="AQ205" s="154">
        <v>0.86524000000000001</v>
      </c>
      <c r="AR205" s="155">
        <v>0.78998000000000002</v>
      </c>
      <c r="AS205" s="156">
        <v>0.8276</v>
      </c>
    </row>
    <row r="206" spans="1:45" x14ac:dyDescent="0.2">
      <c r="A206" s="152">
        <v>7303</v>
      </c>
      <c r="B206" s="153" t="s">
        <v>242</v>
      </c>
      <c r="C206" s="154">
        <v>0.20537161361067652</v>
      </c>
      <c r="D206" s="156">
        <v>0.20055133402933326</v>
      </c>
      <c r="E206" s="154">
        <v>0.50914323104578818</v>
      </c>
      <c r="F206" s="156">
        <v>0.40319073912362469</v>
      </c>
      <c r="G206" s="154">
        <v>4.281212791274051E-3</v>
      </c>
      <c r="H206" s="156">
        <v>-3.847566051499781E-2</v>
      </c>
      <c r="I206" s="154">
        <v>0.2057153128268534</v>
      </c>
      <c r="J206" s="156">
        <v>0.30481988532102067</v>
      </c>
      <c r="K206" s="157">
        <v>106</v>
      </c>
      <c r="L206" s="158">
        <v>194</v>
      </c>
      <c r="M206" s="154">
        <v>0</v>
      </c>
      <c r="N206" s="156">
        <v>0</v>
      </c>
      <c r="O206" s="157">
        <v>282.12844036697248</v>
      </c>
      <c r="P206" s="158">
        <v>279.61467889908255</v>
      </c>
      <c r="Q206" s="154">
        <v>0.56677762113854235</v>
      </c>
      <c r="R206" s="156">
        <v>0.48922461969931236</v>
      </c>
      <c r="S206" s="154">
        <v>0.15115728756528096</v>
      </c>
      <c r="T206" s="156">
        <v>0.28418304911292286</v>
      </c>
      <c r="U206" s="157">
        <v>12340105</v>
      </c>
      <c r="V206" s="158">
        <v>15933844</v>
      </c>
      <c r="W206" s="157">
        <v>60069383</v>
      </c>
      <c r="X206" s="158">
        <v>82839582</v>
      </c>
      <c r="Y206" s="157">
        <v>257244</v>
      </c>
      <c r="Z206" s="158">
        <v>-3056899</v>
      </c>
      <c r="AA206" s="159">
        <v>2683269</v>
      </c>
      <c r="AB206" s="159">
        <v>2318671</v>
      </c>
      <c r="AC206" s="157">
        <v>3256063</v>
      </c>
      <c r="AD206" s="158">
        <v>5922298</v>
      </c>
      <c r="AE206" s="157">
        <v>0</v>
      </c>
      <c r="AF206" s="158">
        <v>0</v>
      </c>
      <c r="AG206" s="157">
        <v>814193.9900000015</v>
      </c>
      <c r="AH206" s="158">
        <v>2716367.1200000006</v>
      </c>
      <c r="AI206" s="157">
        <v>19658705.130000003</v>
      </c>
      <c r="AJ206" s="158">
        <v>34090283.280000001</v>
      </c>
      <c r="AK206" s="154">
        <v>0</v>
      </c>
      <c r="AL206" s="156">
        <v>0</v>
      </c>
      <c r="AM206" s="154">
        <v>1.7512878255258806E-2</v>
      </c>
      <c r="AN206" s="156">
        <v>4.6154768340239058E-2</v>
      </c>
      <c r="AO206" s="154">
        <v>0.42284825708148638</v>
      </c>
      <c r="AP206" s="156">
        <v>0.57924023445016692</v>
      </c>
      <c r="AQ206" s="154">
        <v>0.86209999999999998</v>
      </c>
      <c r="AR206" s="155">
        <v>0.76231000000000004</v>
      </c>
      <c r="AS206" s="156">
        <v>0.81220000000000003</v>
      </c>
    </row>
    <row r="207" spans="1:45" x14ac:dyDescent="0.2">
      <c r="A207" s="152">
        <v>7304</v>
      </c>
      <c r="B207" s="153" t="s">
        <v>243</v>
      </c>
      <c r="C207" s="154">
        <v>0.23339609505645464</v>
      </c>
      <c r="D207" s="156">
        <v>0.21486494774020504</v>
      </c>
      <c r="E207" s="154">
        <v>0.38978734319827185</v>
      </c>
      <c r="F207" s="156">
        <v>0.33110367816998049</v>
      </c>
      <c r="G207" s="154">
        <v>-4.7832910376492378E-2</v>
      </c>
      <c r="H207" s="156">
        <v>-9.3018425156407875E-2</v>
      </c>
      <c r="I207" s="154">
        <v>0</v>
      </c>
      <c r="J207" s="156">
        <v>0</v>
      </c>
      <c r="K207" s="157">
        <v>0</v>
      </c>
      <c r="L207" s="158">
        <v>0</v>
      </c>
      <c r="M207" s="154">
        <v>0</v>
      </c>
      <c r="N207" s="156">
        <v>0</v>
      </c>
      <c r="O207" s="157">
        <v>103.16129032258064</v>
      </c>
      <c r="P207" s="158">
        <v>131.34246575342465</v>
      </c>
      <c r="Q207" s="154">
        <v>0.44304112392968276</v>
      </c>
      <c r="R207" s="156">
        <v>0.41858659279363242</v>
      </c>
      <c r="S207" s="154">
        <v>0.37206970861532868</v>
      </c>
      <c r="T207" s="156">
        <v>0.39889317569857285</v>
      </c>
      <c r="U207" s="157">
        <v>2604499</v>
      </c>
      <c r="V207" s="158">
        <v>2914955</v>
      </c>
      <c r="W207" s="157">
        <v>11672474</v>
      </c>
      <c r="X207" s="158">
        <v>14946365</v>
      </c>
      <c r="Y207" s="157">
        <v>-533774</v>
      </c>
      <c r="Z207" s="158">
        <v>-1261930</v>
      </c>
      <c r="AA207" s="159">
        <v>3569449</v>
      </c>
      <c r="AB207" s="159">
        <v>2307263</v>
      </c>
      <c r="AC207" s="157">
        <v>0</v>
      </c>
      <c r="AD207" s="158">
        <v>0</v>
      </c>
      <c r="AE207" s="157">
        <v>0</v>
      </c>
      <c r="AF207" s="158">
        <v>0</v>
      </c>
      <c r="AG207" s="157">
        <v>198812.81999999966</v>
      </c>
      <c r="AH207" s="158">
        <v>173413.73999999958</v>
      </c>
      <c r="AI207" s="157">
        <v>3133215.41</v>
      </c>
      <c r="AJ207" s="158">
        <v>5860598.1999999993</v>
      </c>
      <c r="AK207" s="154">
        <v>0</v>
      </c>
      <c r="AL207" s="156">
        <v>0</v>
      </c>
      <c r="AM207" s="154">
        <v>2.4762877111310134E-2</v>
      </c>
      <c r="AN207" s="156">
        <v>1.6850832777189743E-2</v>
      </c>
      <c r="AO207" s="154">
        <v>0.39025364743125385</v>
      </c>
      <c r="AP207" s="156">
        <v>0.56948175065308804</v>
      </c>
      <c r="AQ207" s="154">
        <v>0.86429</v>
      </c>
      <c r="AR207" s="155">
        <v>0.82608000000000004</v>
      </c>
      <c r="AS207" s="156">
        <v>0.84519999999999995</v>
      </c>
    </row>
    <row r="208" spans="1:45" x14ac:dyDescent="0.2">
      <c r="A208" s="152">
        <v>7305</v>
      </c>
      <c r="B208" s="153" t="s">
        <v>244</v>
      </c>
      <c r="C208" s="154">
        <v>0.19259519610022899</v>
      </c>
      <c r="D208" s="156">
        <v>0.23842757490288158</v>
      </c>
      <c r="E208" s="154">
        <v>0.53072630747320138</v>
      </c>
      <c r="F208" s="156">
        <v>0.57435647494968689</v>
      </c>
      <c r="G208" s="154">
        <v>-8.9235398850714354E-2</v>
      </c>
      <c r="H208" s="156">
        <v>-6.2347862124154954E-2</v>
      </c>
      <c r="I208" s="154">
        <v>0</v>
      </c>
      <c r="J208" s="156">
        <v>0</v>
      </c>
      <c r="K208" s="157">
        <v>0</v>
      </c>
      <c r="L208" s="158">
        <v>0</v>
      </c>
      <c r="M208" s="154">
        <v>0</v>
      </c>
      <c r="N208" s="156">
        <v>3.0047941693236543E-2</v>
      </c>
      <c r="O208" s="157">
        <v>173.28571428571428</v>
      </c>
      <c r="P208" s="158">
        <v>168.97297297297297</v>
      </c>
      <c r="Q208" s="154">
        <v>0.42783746996447547</v>
      </c>
      <c r="R208" s="156">
        <v>0.52781684882806901</v>
      </c>
      <c r="S208" s="154">
        <v>0.23969281388651556</v>
      </c>
      <c r="T208" s="156">
        <v>0.13620358124620657</v>
      </c>
      <c r="U208" s="157">
        <v>2818732</v>
      </c>
      <c r="V208" s="158">
        <v>3583653</v>
      </c>
      <c r="W208" s="157">
        <v>15866212</v>
      </c>
      <c r="X208" s="158">
        <v>15877769</v>
      </c>
      <c r="Y208" s="157">
        <v>-1306007</v>
      </c>
      <c r="Z208" s="158">
        <v>-937111</v>
      </c>
      <c r="AA208" s="159">
        <v>2473479</v>
      </c>
      <c r="AB208" s="159">
        <v>1538209</v>
      </c>
      <c r="AC208" s="157">
        <v>0</v>
      </c>
      <c r="AD208" s="158">
        <v>0</v>
      </c>
      <c r="AE208" s="157">
        <v>0</v>
      </c>
      <c r="AF208" s="158">
        <v>141278</v>
      </c>
      <c r="AG208" s="157">
        <v>174198.99000000072</v>
      </c>
      <c r="AH208" s="158">
        <v>2534147.56</v>
      </c>
      <c r="AI208" s="157">
        <v>2331364.8699999992</v>
      </c>
      <c r="AJ208" s="158">
        <v>3837129.88</v>
      </c>
      <c r="AK208" s="154">
        <v>0</v>
      </c>
      <c r="AL208" s="156">
        <v>8.8978495656411166E-3</v>
      </c>
      <c r="AM208" s="154">
        <v>1.4616238449790472E-2</v>
      </c>
      <c r="AN208" s="156">
        <v>0.18309694274088545</v>
      </c>
      <c r="AO208" s="154">
        <v>0.19561413561229382</v>
      </c>
      <c r="AP208" s="156">
        <v>0.27723987387999638</v>
      </c>
      <c r="AQ208" s="154">
        <v>0.76905000000000001</v>
      </c>
      <c r="AR208" s="155">
        <v>0.74123000000000006</v>
      </c>
      <c r="AS208" s="156">
        <v>0.75509999999999999</v>
      </c>
    </row>
    <row r="209" spans="1:45" x14ac:dyDescent="0.2">
      <c r="A209" s="152">
        <v>7306</v>
      </c>
      <c r="B209" s="153" t="s">
        <v>245</v>
      </c>
      <c r="C209" s="154">
        <v>0.12357159658512511</v>
      </c>
      <c r="D209" s="156">
        <v>0.10992284624073853</v>
      </c>
      <c r="E209" s="154">
        <v>0.47214401336134681</v>
      </c>
      <c r="F209" s="156">
        <v>0.29063033964199975</v>
      </c>
      <c r="G209" s="154">
        <v>0.10660718625487152</v>
      </c>
      <c r="H209" s="156">
        <v>-4.2748212022902292E-2</v>
      </c>
      <c r="I209" s="154">
        <v>0</v>
      </c>
      <c r="J209" s="156">
        <v>0</v>
      </c>
      <c r="K209" s="157">
        <v>0</v>
      </c>
      <c r="L209" s="158">
        <v>0</v>
      </c>
      <c r="M209" s="154">
        <v>5.1924711943556164E-3</v>
      </c>
      <c r="N209" s="156">
        <v>4.7444468406297171E-3</v>
      </c>
      <c r="O209" s="157">
        <v>150.71428571428572</v>
      </c>
      <c r="P209" s="158">
        <v>137.06451612903226</v>
      </c>
      <c r="Q209" s="154">
        <v>0.55884845806238259</v>
      </c>
      <c r="R209" s="156">
        <v>0.4843561210784329</v>
      </c>
      <c r="S209" s="154">
        <v>0.15899613896470299</v>
      </c>
      <c r="T209" s="156">
        <v>0.28270337162851927</v>
      </c>
      <c r="U209" s="157">
        <v>1899128</v>
      </c>
      <c r="V209" s="158">
        <v>2102993</v>
      </c>
      <c r="W209" s="157">
        <v>14738534</v>
      </c>
      <c r="X209" s="158">
        <v>19957774</v>
      </c>
      <c r="Y209" s="157">
        <v>1638408</v>
      </c>
      <c r="Z209" s="158">
        <v>-817839</v>
      </c>
      <c r="AA209" s="159">
        <v>3567294</v>
      </c>
      <c r="AB209" s="159">
        <v>2764609</v>
      </c>
      <c r="AC209" s="157">
        <v>0</v>
      </c>
      <c r="AD209" s="158">
        <v>0</v>
      </c>
      <c r="AE209" s="157">
        <v>13094</v>
      </c>
      <c r="AF209" s="158">
        <v>12958</v>
      </c>
      <c r="AG209" s="157">
        <v>69152.930000000197</v>
      </c>
      <c r="AH209" s="158">
        <v>389143.11000000028</v>
      </c>
      <c r="AI209" s="157">
        <v>4957705.2</v>
      </c>
      <c r="AJ209" s="158">
        <v>6101781.0200000005</v>
      </c>
      <c r="AK209" s="154">
        <v>8.8841943167481926E-4</v>
      </c>
      <c r="AL209" s="156">
        <v>6.4927080545154983E-4</v>
      </c>
      <c r="AM209" s="154">
        <v>5.9700950193387657E-3</v>
      </c>
      <c r="AN209" s="156">
        <v>2.6432217160589636E-2</v>
      </c>
      <c r="AO209" s="154">
        <v>0.42800747736747835</v>
      </c>
      <c r="AP209" s="156">
        <v>0.41445832353810408</v>
      </c>
      <c r="AQ209" s="154">
        <v>0.74890000000000001</v>
      </c>
      <c r="AR209" s="155">
        <v>0.71850999999999998</v>
      </c>
      <c r="AS209" s="156">
        <v>0.73370000000000002</v>
      </c>
    </row>
    <row r="210" spans="1:45" x14ac:dyDescent="0.2">
      <c r="A210" s="152">
        <v>7307</v>
      </c>
      <c r="B210" s="153" t="s">
        <v>246</v>
      </c>
      <c r="C210" s="154">
        <v>0.19132775490436923</v>
      </c>
      <c r="D210" s="156">
        <v>0.18149510726033602</v>
      </c>
      <c r="E210" s="154">
        <v>0.43704618688623131</v>
      </c>
      <c r="F210" s="156">
        <v>0.28683914640178859</v>
      </c>
      <c r="G210" s="154">
        <v>0.12407949128525998</v>
      </c>
      <c r="H210" s="156">
        <v>-0.13508180400240169</v>
      </c>
      <c r="I210" s="154">
        <v>0.16848480092083923</v>
      </c>
      <c r="J210" s="156">
        <v>0.11931339279824683</v>
      </c>
      <c r="K210" s="157">
        <v>126</v>
      </c>
      <c r="L210" s="158">
        <v>91</v>
      </c>
      <c r="M210" s="154">
        <v>7.2760448623735388E-2</v>
      </c>
      <c r="N210" s="156">
        <v>7.1756022838044844E-2</v>
      </c>
      <c r="O210" s="157">
        <v>92.122448979591837</v>
      </c>
      <c r="P210" s="158">
        <v>103.76744186046511</v>
      </c>
      <c r="Q210" s="154">
        <v>0.44208854494555155</v>
      </c>
      <c r="R210" s="156">
        <v>0.37756122373754142</v>
      </c>
      <c r="S210" s="154">
        <v>0.24650464046676343</v>
      </c>
      <c r="T210" s="156">
        <v>0.33842247705107231</v>
      </c>
      <c r="U210" s="157">
        <v>2450188</v>
      </c>
      <c r="V210" s="158">
        <v>2491675</v>
      </c>
      <c r="W210" s="157">
        <v>11451111</v>
      </c>
      <c r="X210" s="158">
        <v>15979178</v>
      </c>
      <c r="Y210" s="157">
        <v>1588991</v>
      </c>
      <c r="Z210" s="158">
        <v>-1854485</v>
      </c>
      <c r="AA210" s="159">
        <v>4318323</v>
      </c>
      <c r="AB210" s="159">
        <v>2464700</v>
      </c>
      <c r="AC210" s="157">
        <v>566764</v>
      </c>
      <c r="AD210" s="158">
        <v>406975</v>
      </c>
      <c r="AE210" s="157">
        <v>244758</v>
      </c>
      <c r="AF210" s="158">
        <v>244758</v>
      </c>
      <c r="AG210" s="157">
        <v>511411.5700000003</v>
      </c>
      <c r="AH210" s="158">
        <v>3825843.5700000012</v>
      </c>
      <c r="AI210" s="157">
        <v>3841753.8100000005</v>
      </c>
      <c r="AJ210" s="158">
        <v>6922714.0999999996</v>
      </c>
      <c r="AK210" s="154">
        <v>2.1374170593578212E-2</v>
      </c>
      <c r="AL210" s="156">
        <v>1.5317308562430432E-2</v>
      </c>
      <c r="AM210" s="154">
        <v>5.0338494602022402E-2</v>
      </c>
      <c r="AN210" s="156">
        <v>0.31517407489207988</v>
      </c>
      <c r="AO210" s="154">
        <v>0.37814573383035488</v>
      </c>
      <c r="AP210" s="156">
        <v>0.57029514466265974</v>
      </c>
      <c r="AQ210" s="154">
        <v>0.66881999999999997</v>
      </c>
      <c r="AR210" s="155">
        <v>0.77895000000000003</v>
      </c>
      <c r="AS210" s="156">
        <v>0.72389999999999999</v>
      </c>
    </row>
    <row r="211" spans="1:45" x14ac:dyDescent="0.2">
      <c r="A211" s="152">
        <v>7308</v>
      </c>
      <c r="B211" s="153" t="s">
        <v>247</v>
      </c>
      <c r="C211" s="154">
        <v>0.30943107934193831</v>
      </c>
      <c r="D211" s="156">
        <v>0.33605659983144548</v>
      </c>
      <c r="E211" s="154">
        <v>0.67637200710441059</v>
      </c>
      <c r="F211" s="156">
        <v>0.51525131278174452</v>
      </c>
      <c r="G211" s="154">
        <v>6.7938682814327453E-2</v>
      </c>
      <c r="H211" s="156">
        <v>-0.18043865933234743</v>
      </c>
      <c r="I211" s="154">
        <v>8.9427896296851245E-2</v>
      </c>
      <c r="J211" s="156">
        <v>4.1982341680345411E-2</v>
      </c>
      <c r="K211" s="157">
        <v>60</v>
      </c>
      <c r="L211" s="158">
        <v>31</v>
      </c>
      <c r="M211" s="154">
        <v>4.1664777841711721E-2</v>
      </c>
      <c r="N211" s="156">
        <v>1.2921540116547017E-2</v>
      </c>
      <c r="O211" s="157">
        <v>417.90825688073397</v>
      </c>
      <c r="P211" s="158">
        <v>419.21100917431193</v>
      </c>
      <c r="Q211" s="154">
        <v>0.49207704268959068</v>
      </c>
      <c r="R211" s="156">
        <v>0.4375459539730438</v>
      </c>
      <c r="S211" s="154">
        <v>0.17219043939793996</v>
      </c>
      <c r="T211" s="156">
        <v>0.30153961381276129</v>
      </c>
      <c r="U211" s="157">
        <v>14971863</v>
      </c>
      <c r="V211" s="158">
        <v>16804970</v>
      </c>
      <c r="W211" s="157">
        <v>44739923</v>
      </c>
      <c r="X211" s="158">
        <v>59643918</v>
      </c>
      <c r="Y211" s="157">
        <v>3287222</v>
      </c>
      <c r="Z211" s="158">
        <v>-9023082</v>
      </c>
      <c r="AA211" s="159">
        <v>18481920</v>
      </c>
      <c r="AB211" s="159">
        <v>8963865</v>
      </c>
      <c r="AC211" s="157">
        <v>1363164</v>
      </c>
      <c r="AD211" s="158">
        <v>716906</v>
      </c>
      <c r="AE211" s="157">
        <v>635103</v>
      </c>
      <c r="AF211" s="158">
        <v>220653</v>
      </c>
      <c r="AG211" s="157">
        <v>1506943.6</v>
      </c>
      <c r="AH211" s="158">
        <v>1298863.9200000018</v>
      </c>
      <c r="AI211" s="157">
        <v>40922197.450000003</v>
      </c>
      <c r="AJ211" s="158">
        <v>83094872.300000012</v>
      </c>
      <c r="AK211" s="154">
        <v>1.4195442401633101E-2</v>
      </c>
      <c r="AL211" s="156">
        <v>3.6995054550239305E-3</v>
      </c>
      <c r="AM211" s="154">
        <v>4.467086964039553E-2</v>
      </c>
      <c r="AN211" s="156">
        <v>3.0777379436059096E-2</v>
      </c>
      <c r="AO211" s="154">
        <v>1.21307137685012</v>
      </c>
      <c r="AP211" s="156">
        <v>1.9689841057159962</v>
      </c>
      <c r="AQ211" s="154">
        <v>0.86582999999999999</v>
      </c>
      <c r="AR211" s="155">
        <v>0.75849</v>
      </c>
      <c r="AS211" s="156">
        <v>0.81220000000000003</v>
      </c>
    </row>
    <row r="212" spans="1:45" x14ac:dyDescent="0.2">
      <c r="A212" s="152">
        <v>7309</v>
      </c>
      <c r="B212" s="153" t="s">
        <v>248</v>
      </c>
      <c r="C212" s="154">
        <v>0.2703812225430226</v>
      </c>
      <c r="D212" s="156">
        <v>0.2775597457161455</v>
      </c>
      <c r="E212" s="154">
        <v>0.65076935892955656</v>
      </c>
      <c r="F212" s="156">
        <v>0.74864196739154154</v>
      </c>
      <c r="G212" s="154">
        <v>-2.8861949975672405E-2</v>
      </c>
      <c r="H212" s="156">
        <v>-7.4045154299070947E-3</v>
      </c>
      <c r="I212" s="154">
        <v>0.20516366265086386</v>
      </c>
      <c r="J212" s="156">
        <v>0.29990125994029498</v>
      </c>
      <c r="K212" s="157">
        <v>170</v>
      </c>
      <c r="L212" s="158">
        <v>278</v>
      </c>
      <c r="M212" s="154">
        <v>1.6855092028311952E-2</v>
      </c>
      <c r="N212" s="156">
        <v>1.459256110624765E-2</v>
      </c>
      <c r="O212" s="157">
        <v>190.19642857142858</v>
      </c>
      <c r="P212" s="158">
        <v>148.7605633802817</v>
      </c>
      <c r="Q212" s="154">
        <v>0.52113832906738888</v>
      </c>
      <c r="R212" s="156">
        <v>0.55445358608403295</v>
      </c>
      <c r="S212" s="154">
        <v>0.15527149202490884</v>
      </c>
      <c r="T212" s="156">
        <v>0.14998532412131341</v>
      </c>
      <c r="U212" s="157">
        <v>7452612</v>
      </c>
      <c r="V212" s="158">
        <v>8405344</v>
      </c>
      <c r="W212" s="157">
        <v>28248141</v>
      </c>
      <c r="X212" s="158">
        <v>30611455</v>
      </c>
      <c r="Y212" s="157">
        <v>-795532</v>
      </c>
      <c r="Z212" s="158">
        <v>-224231</v>
      </c>
      <c r="AA212" s="159">
        <v>3075430</v>
      </c>
      <c r="AB212" s="159">
        <v>4006963</v>
      </c>
      <c r="AC212" s="157">
        <v>1815229</v>
      </c>
      <c r="AD212" s="158">
        <v>2940695</v>
      </c>
      <c r="AE212" s="157">
        <v>149129</v>
      </c>
      <c r="AF212" s="158">
        <v>143088</v>
      </c>
      <c r="AG212" s="157">
        <v>1673182.2900000007</v>
      </c>
      <c r="AH212" s="158">
        <v>536666.20000000158</v>
      </c>
      <c r="AI212" s="157">
        <v>7279019.2999999998</v>
      </c>
      <c r="AJ212" s="158">
        <v>1819019.88</v>
      </c>
      <c r="AK212" s="154">
        <v>5.2792500575524594E-3</v>
      </c>
      <c r="AL212" s="156">
        <v>4.6743286132593176E-3</v>
      </c>
      <c r="AM212" s="154">
        <v>7.4472400277276016E-2</v>
      </c>
      <c r="AN212" s="156">
        <v>2.0744555738009082E-2</v>
      </c>
      <c r="AO212" s="154">
        <v>0.32398504465142125</v>
      </c>
      <c r="AP212" s="156">
        <v>7.0313277208824548E-2</v>
      </c>
      <c r="AQ212" s="154">
        <v>0.90305999999999997</v>
      </c>
      <c r="AR212" s="155">
        <v>0.7964</v>
      </c>
      <c r="AS212" s="156">
        <v>0.84970000000000001</v>
      </c>
    </row>
    <row r="213" spans="1:45" x14ac:dyDescent="0.2">
      <c r="A213" s="152">
        <v>7310</v>
      </c>
      <c r="B213" s="153" t="s">
        <v>249</v>
      </c>
      <c r="C213" s="154">
        <v>0.25674222621197507</v>
      </c>
      <c r="D213" s="156">
        <v>0.26686155942627543</v>
      </c>
      <c r="E213" s="154">
        <v>0.5254115437292376</v>
      </c>
      <c r="F213" s="156">
        <v>0.61209520900615166</v>
      </c>
      <c r="G213" s="154">
        <v>-5.1482867048860063E-2</v>
      </c>
      <c r="H213" s="156">
        <v>-0.1067211990673471</v>
      </c>
      <c r="I213" s="154">
        <v>0.12047397258732234</v>
      </c>
      <c r="J213" s="156">
        <v>0.17233216703251608</v>
      </c>
      <c r="K213" s="157">
        <v>80</v>
      </c>
      <c r="L213" s="158">
        <v>136</v>
      </c>
      <c r="M213" s="154">
        <v>7.5031278664293181E-3</v>
      </c>
      <c r="N213" s="156">
        <v>0</v>
      </c>
      <c r="O213" s="157">
        <v>190</v>
      </c>
      <c r="P213" s="158">
        <v>137.56521739130434</v>
      </c>
      <c r="Q213" s="154">
        <v>0.53868315949596646</v>
      </c>
      <c r="R213" s="156">
        <v>0.53353377365998644</v>
      </c>
      <c r="S213" s="154">
        <v>0.20732530223765208</v>
      </c>
      <c r="T213" s="156">
        <v>0.26693657103528368</v>
      </c>
      <c r="U213" s="157">
        <v>3149166</v>
      </c>
      <c r="V213" s="158">
        <v>3693388</v>
      </c>
      <c r="W213" s="157">
        <v>13251658</v>
      </c>
      <c r="X213" s="158">
        <v>15761632</v>
      </c>
      <c r="Y213" s="157">
        <v>-631482</v>
      </c>
      <c r="Z213" s="158">
        <v>-1477031</v>
      </c>
      <c r="AA213" s="159">
        <v>3623588</v>
      </c>
      <c r="AB213" s="159">
        <v>1966474</v>
      </c>
      <c r="AC213" s="157">
        <v>385356</v>
      </c>
      <c r="AD213" s="158">
        <v>645020</v>
      </c>
      <c r="AE213" s="157">
        <v>24000</v>
      </c>
      <c r="AF213" s="158">
        <v>0</v>
      </c>
      <c r="AG213" s="157">
        <v>191180.71000000057</v>
      </c>
      <c r="AH213" s="158">
        <v>117662.50999999944</v>
      </c>
      <c r="AI213" s="157">
        <v>4392002.3099999996</v>
      </c>
      <c r="AJ213" s="158">
        <v>14864631.629999999</v>
      </c>
      <c r="AK213" s="154">
        <v>1.8110941287497761E-3</v>
      </c>
      <c r="AL213" s="156">
        <v>0</v>
      </c>
      <c r="AM213" s="154">
        <v>1.8603541685479733E-2</v>
      </c>
      <c r="AN213" s="156">
        <v>9.4926348938296889E-3</v>
      </c>
      <c r="AO213" s="154">
        <v>0.42737992790594842</v>
      </c>
      <c r="AP213" s="156">
        <v>1.19923092661259</v>
      </c>
      <c r="AQ213" s="154">
        <v>0.95101999999999998</v>
      </c>
      <c r="AR213" s="155">
        <v>0.79815999999999998</v>
      </c>
      <c r="AS213" s="156">
        <v>0.87460000000000004</v>
      </c>
    </row>
    <row r="214" spans="1:45" x14ac:dyDescent="0.2">
      <c r="A214" s="152">
        <v>7311</v>
      </c>
      <c r="B214" s="153" t="s">
        <v>250</v>
      </c>
      <c r="C214" s="154">
        <v>0.28072796357695134</v>
      </c>
      <c r="D214" s="156">
        <v>0.16417307455495453</v>
      </c>
      <c r="E214" s="154">
        <v>0.5661215012665336</v>
      </c>
      <c r="F214" s="156">
        <v>0.32901320537118722</v>
      </c>
      <c r="G214" s="154">
        <v>-1.5912490394252379E-2</v>
      </c>
      <c r="H214" s="156">
        <v>7.3747291479608526E-2</v>
      </c>
      <c r="I214" s="154">
        <v>3.7987458331750525E-3</v>
      </c>
      <c r="J214" s="156">
        <v>0</v>
      </c>
      <c r="K214" s="157">
        <v>3</v>
      </c>
      <c r="L214" s="158">
        <v>0</v>
      </c>
      <c r="M214" s="154">
        <v>2.010746337416219E-2</v>
      </c>
      <c r="N214" s="156">
        <v>0</v>
      </c>
      <c r="O214" s="157">
        <v>286.2</v>
      </c>
      <c r="P214" s="158">
        <v>298.63157894736844</v>
      </c>
      <c r="Q214" s="154">
        <v>0.49904871267342327</v>
      </c>
      <c r="R214" s="156">
        <v>0.44859388277168388</v>
      </c>
      <c r="S214" s="154">
        <v>0.19354915985929608</v>
      </c>
      <c r="T214" s="156">
        <v>0.28270361043341918</v>
      </c>
      <c r="U214" s="157">
        <v>9865629</v>
      </c>
      <c r="V214" s="158">
        <v>8052512</v>
      </c>
      <c r="W214" s="157">
        <v>35816203</v>
      </c>
      <c r="X214" s="158">
        <v>45797604</v>
      </c>
      <c r="Y214" s="157">
        <v>-559213</v>
      </c>
      <c r="Z214" s="158">
        <v>3617225</v>
      </c>
      <c r="AA214" s="159">
        <v>5620302</v>
      </c>
      <c r="AB214" s="159">
        <v>9093366</v>
      </c>
      <c r="AC214" s="157">
        <v>47100</v>
      </c>
      <c r="AD214" s="158">
        <v>0</v>
      </c>
      <c r="AE214" s="157">
        <v>249309</v>
      </c>
      <c r="AF214" s="158">
        <v>0</v>
      </c>
      <c r="AG214" s="157">
        <v>1481544.4700000002</v>
      </c>
      <c r="AH214" s="158">
        <v>4436758.8500000006</v>
      </c>
      <c r="AI214" s="157">
        <v>13406330.82</v>
      </c>
      <c r="AJ214" s="158">
        <v>17216967.91</v>
      </c>
      <c r="AK214" s="154">
        <v>6.9607881103421268E-3</v>
      </c>
      <c r="AL214" s="156">
        <v>0</v>
      </c>
      <c r="AM214" s="154">
        <v>5.3665437500006796E-2</v>
      </c>
      <c r="AN214" s="156">
        <v>0.13248946118501767</v>
      </c>
      <c r="AO214" s="154">
        <v>0.48561256397867342</v>
      </c>
      <c r="AP214" s="156">
        <v>0.51412909260002704</v>
      </c>
      <c r="AQ214" s="154">
        <v>0.84204000000000001</v>
      </c>
      <c r="AR214" s="155">
        <v>0.76978000000000002</v>
      </c>
      <c r="AS214" s="156">
        <v>0.80589999999999995</v>
      </c>
    </row>
    <row r="215" spans="1:45" x14ac:dyDescent="0.2">
      <c r="A215" s="152">
        <v>7312</v>
      </c>
      <c r="B215" s="153" t="s">
        <v>251</v>
      </c>
      <c r="C215" s="154">
        <v>0.24244106635067816</v>
      </c>
      <c r="D215" s="156">
        <v>0.36046638298952483</v>
      </c>
      <c r="E215" s="154">
        <v>0.48387382673056978</v>
      </c>
      <c r="F215" s="156">
        <v>0.94984462853679097</v>
      </c>
      <c r="G215" s="154">
        <v>1.3806223966193141E-2</v>
      </c>
      <c r="H215" s="156">
        <v>-0.11933199876573208</v>
      </c>
      <c r="I215" s="154">
        <v>1.5030363442782302E-2</v>
      </c>
      <c r="J215" s="156">
        <v>6.1835523341451674E-3</v>
      </c>
      <c r="K215" s="157">
        <v>20</v>
      </c>
      <c r="L215" s="158">
        <v>9</v>
      </c>
      <c r="M215" s="154">
        <v>0</v>
      </c>
      <c r="N215" s="156">
        <v>0</v>
      </c>
      <c r="O215" s="157">
        <v>86.272727272727266</v>
      </c>
      <c r="P215" s="158">
        <v>89.090909090909093</v>
      </c>
      <c r="Q215" s="154">
        <v>0.57206488288436119</v>
      </c>
      <c r="R215" s="156">
        <v>0.73593952604186363</v>
      </c>
      <c r="S215" s="154">
        <v>0.28867862722370607</v>
      </c>
      <c r="T215" s="156">
        <v>9.1204140082568982E-2</v>
      </c>
      <c r="U215" s="157">
        <v>2282098</v>
      </c>
      <c r="V215" s="158">
        <v>2726567</v>
      </c>
      <c r="W215" s="157">
        <v>9604012</v>
      </c>
      <c r="X215" s="158">
        <v>8647557</v>
      </c>
      <c r="Y215" s="157">
        <v>129958</v>
      </c>
      <c r="Z215" s="158">
        <v>-902627</v>
      </c>
      <c r="AA215" s="159">
        <v>4086264</v>
      </c>
      <c r="AB215" s="159">
        <v>3211475</v>
      </c>
      <c r="AC215" s="157">
        <v>37636</v>
      </c>
      <c r="AD215" s="158">
        <v>18232</v>
      </c>
      <c r="AE215" s="157">
        <v>0</v>
      </c>
      <c r="AF215" s="158">
        <v>0</v>
      </c>
      <c r="AG215" s="157">
        <v>72908.239999999772</v>
      </c>
      <c r="AH215" s="158">
        <v>174415.23000000021</v>
      </c>
      <c r="AI215" s="157">
        <v>551132.49999999965</v>
      </c>
      <c r="AJ215" s="158">
        <v>3386614.9699999997</v>
      </c>
      <c r="AK215" s="154">
        <v>0</v>
      </c>
      <c r="AL215" s="156">
        <v>0</v>
      </c>
      <c r="AM215" s="154">
        <v>1.0846307636440096E-2</v>
      </c>
      <c r="AN215" s="156">
        <v>2.229814905726956E-2</v>
      </c>
      <c r="AO215" s="154">
        <v>8.199008292396491E-2</v>
      </c>
      <c r="AP215" s="156">
        <v>0.43296245058783217</v>
      </c>
      <c r="AQ215" s="154">
        <v>0.88966000000000001</v>
      </c>
      <c r="AR215" s="155">
        <v>0.87195</v>
      </c>
      <c r="AS215" s="156">
        <v>0.88080000000000003</v>
      </c>
    </row>
    <row r="216" spans="1:45" x14ac:dyDescent="0.2">
      <c r="A216" s="152">
        <v>7313</v>
      </c>
      <c r="B216" s="153" t="s">
        <v>252</v>
      </c>
      <c r="C216" s="154">
        <v>0.26552239222312435</v>
      </c>
      <c r="D216" s="156">
        <v>0.26397548627962636</v>
      </c>
      <c r="E216" s="154">
        <v>0.82836481804921425</v>
      </c>
      <c r="F216" s="156">
        <v>0.87468356083764698</v>
      </c>
      <c r="G216" s="154">
        <v>-3.9076497260543727E-2</v>
      </c>
      <c r="H216" s="156">
        <v>1.1261920937100829E-2</v>
      </c>
      <c r="I216" s="154">
        <v>0.31406211241529886</v>
      </c>
      <c r="J216" s="156">
        <v>0.14603540912615159</v>
      </c>
      <c r="K216" s="157">
        <v>228</v>
      </c>
      <c r="L216" s="158">
        <v>116</v>
      </c>
      <c r="M216" s="154">
        <v>0.1855761792147477</v>
      </c>
      <c r="N216" s="156">
        <v>0.15011442758002069</v>
      </c>
      <c r="O216" s="157">
        <v>131.2439024390244</v>
      </c>
      <c r="P216" s="158">
        <v>117.35164835164835</v>
      </c>
      <c r="Q216" s="154">
        <v>0.62618899193477362</v>
      </c>
      <c r="R216" s="156">
        <v>0.66889265908309536</v>
      </c>
      <c r="S216" s="154">
        <v>0.13430166431256219</v>
      </c>
      <c r="T216" s="156">
        <v>9.9975060598026411E-2</v>
      </c>
      <c r="U216" s="157">
        <v>6415577</v>
      </c>
      <c r="V216" s="158">
        <v>7098323</v>
      </c>
      <c r="W216" s="157">
        <v>23447699</v>
      </c>
      <c r="X216" s="158">
        <v>25421620</v>
      </c>
      <c r="Y216" s="157">
        <v>-944170</v>
      </c>
      <c r="Z216" s="158">
        <v>302834</v>
      </c>
      <c r="AA216" s="159">
        <v>1442240</v>
      </c>
      <c r="AB216" s="159">
        <v>978001</v>
      </c>
      <c r="AC216" s="157">
        <v>2452441</v>
      </c>
      <c r="AD216" s="158">
        <v>1239917</v>
      </c>
      <c r="AE216" s="157">
        <v>1449123</v>
      </c>
      <c r="AF216" s="158">
        <v>1274550</v>
      </c>
      <c r="AG216" s="157">
        <v>1879958.7300000004</v>
      </c>
      <c r="AH216" s="158">
        <v>3338675.68</v>
      </c>
      <c r="AI216" s="157">
        <v>6681779.6799999997</v>
      </c>
      <c r="AJ216" s="158">
        <v>24811866.149999999</v>
      </c>
      <c r="AK216" s="154">
        <v>6.1802354252329834E-2</v>
      </c>
      <c r="AL216" s="156">
        <v>5.0136458652123662E-2</v>
      </c>
      <c r="AM216" s="154">
        <v>9.8391794258241766E-2</v>
      </c>
      <c r="AN216" s="156">
        <v>0.15042249353264622</v>
      </c>
      <c r="AO216" s="154">
        <v>0.34970570420631536</v>
      </c>
      <c r="AP216" s="156">
        <v>1.117887190372818</v>
      </c>
      <c r="AQ216" s="154">
        <v>0.84958</v>
      </c>
      <c r="AR216" s="155">
        <v>0.78610999999999998</v>
      </c>
      <c r="AS216" s="156">
        <v>0.81779999999999997</v>
      </c>
    </row>
    <row r="217" spans="1:45" x14ac:dyDescent="0.2">
      <c r="A217" s="152">
        <v>7314</v>
      </c>
      <c r="B217" s="153" t="s">
        <v>253</v>
      </c>
      <c r="C217" s="154">
        <v>0.39148373999719166</v>
      </c>
      <c r="D217" s="156">
        <v>0.33863082234978353</v>
      </c>
      <c r="E217" s="154">
        <v>0.75533594360895739</v>
      </c>
      <c r="F217" s="156">
        <v>0.63631732346879755</v>
      </c>
      <c r="G217" s="154">
        <v>-9.2801699057354053E-2</v>
      </c>
      <c r="H217" s="156">
        <v>3.088750055554185E-2</v>
      </c>
      <c r="I217" s="154">
        <v>0.19134193141797445</v>
      </c>
      <c r="J217" s="156">
        <v>0.16171510125836719</v>
      </c>
      <c r="K217" s="157">
        <v>157</v>
      </c>
      <c r="L217" s="158">
        <v>157</v>
      </c>
      <c r="M217" s="154">
        <v>0</v>
      </c>
      <c r="N217" s="156">
        <v>0</v>
      </c>
      <c r="O217" s="157">
        <v>494.59154929577466</v>
      </c>
      <c r="P217" s="158">
        <v>234.85906040268458</v>
      </c>
      <c r="Q217" s="154">
        <v>0.45118594917189725</v>
      </c>
      <c r="R217" s="156">
        <v>0.43607500125747561</v>
      </c>
      <c r="S217" s="154">
        <v>0.19395547070107111</v>
      </c>
      <c r="T217" s="156">
        <v>0.3074380638809926</v>
      </c>
      <c r="U217" s="157">
        <v>12498670</v>
      </c>
      <c r="V217" s="158">
        <v>15139711</v>
      </c>
      <c r="W217" s="157">
        <v>34843441</v>
      </c>
      <c r="X217" s="158">
        <v>45448198</v>
      </c>
      <c r="Y217" s="157">
        <v>-2962825</v>
      </c>
      <c r="Z217" s="158">
        <v>1380937</v>
      </c>
      <c r="AA217" s="159">
        <v>8272629</v>
      </c>
      <c r="AB217" s="159">
        <v>6277184</v>
      </c>
      <c r="AC217" s="157">
        <v>2750745</v>
      </c>
      <c r="AD217" s="158">
        <v>2751940</v>
      </c>
      <c r="AE217" s="157">
        <v>0</v>
      </c>
      <c r="AF217" s="158">
        <v>0</v>
      </c>
      <c r="AG217" s="157">
        <v>741936.97999999917</v>
      </c>
      <c r="AH217" s="158">
        <v>2611456.0000000009</v>
      </c>
      <c r="AI217" s="157">
        <v>18062479.369999997</v>
      </c>
      <c r="AJ217" s="158">
        <v>24753034.440000001</v>
      </c>
      <c r="AK217" s="154">
        <v>0</v>
      </c>
      <c r="AL217" s="156">
        <v>0</v>
      </c>
      <c r="AM217" s="154">
        <v>2.9155785401951521E-2</v>
      </c>
      <c r="AN217" s="156">
        <v>8.0981690139141721E-2</v>
      </c>
      <c r="AO217" s="154">
        <v>0.70979852269784016</v>
      </c>
      <c r="AP217" s="156">
        <v>0.7675957645939977</v>
      </c>
      <c r="AQ217" s="154">
        <v>0.87778999999999996</v>
      </c>
      <c r="AR217" s="155">
        <v>0.75668000000000002</v>
      </c>
      <c r="AS217" s="156">
        <v>0.81720000000000004</v>
      </c>
    </row>
    <row r="218" spans="1:45" x14ac:dyDescent="0.2">
      <c r="A218" s="152">
        <v>7315</v>
      </c>
      <c r="B218" s="153" t="s">
        <v>254</v>
      </c>
      <c r="C218" s="154">
        <v>0.49284154325512702</v>
      </c>
      <c r="D218" s="156">
        <v>0.54655047308413496</v>
      </c>
      <c r="E218" s="154">
        <v>0.68216975066984298</v>
      </c>
      <c r="F218" s="156">
        <v>0.8638547184187646</v>
      </c>
      <c r="G218" s="154">
        <v>-1.0861017853373005E-2</v>
      </c>
      <c r="H218" s="156">
        <v>5.0358726936562993E-2</v>
      </c>
      <c r="I218" s="154">
        <v>0.57545438255026748</v>
      </c>
      <c r="J218" s="156">
        <v>0.33120210726480287</v>
      </c>
      <c r="K218" s="157">
        <v>1127</v>
      </c>
      <c r="L218" s="158">
        <v>951</v>
      </c>
      <c r="M218" s="154">
        <v>0</v>
      </c>
      <c r="N218" s="156">
        <v>0</v>
      </c>
      <c r="O218" s="157">
        <v>62.082191780821915</v>
      </c>
      <c r="P218" s="158">
        <v>81.490909090909085</v>
      </c>
      <c r="Q218" s="154">
        <v>0.38602489185746292</v>
      </c>
      <c r="R218" s="156">
        <v>0.38024910880586921</v>
      </c>
      <c r="S218" s="154">
        <v>0.27199542735043231</v>
      </c>
      <c r="T218" s="156">
        <v>0.22803342858976208</v>
      </c>
      <c r="U218" s="157">
        <v>4013015</v>
      </c>
      <c r="V218" s="158">
        <v>6010004</v>
      </c>
      <c r="W218" s="157">
        <v>8637443</v>
      </c>
      <c r="X218" s="158">
        <v>10457037</v>
      </c>
      <c r="Y218" s="157">
        <v>-88437</v>
      </c>
      <c r="Z218" s="158">
        <v>553757</v>
      </c>
      <c r="AA218" s="159">
        <v>235497</v>
      </c>
      <c r="AB218" s="159">
        <v>366734</v>
      </c>
      <c r="AC218" s="157">
        <v>2553012</v>
      </c>
      <c r="AD218" s="158">
        <v>2130492</v>
      </c>
      <c r="AE218" s="157">
        <v>0</v>
      </c>
      <c r="AF218" s="158">
        <v>0</v>
      </c>
      <c r="AG218" s="157">
        <v>299140.88999999972</v>
      </c>
      <c r="AH218" s="158">
        <v>80471.659999999931</v>
      </c>
      <c r="AI218" s="157">
        <v>1548399.4300000002</v>
      </c>
      <c r="AJ218" s="158">
        <v>9732955.4600000009</v>
      </c>
      <c r="AK218" s="154">
        <v>0</v>
      </c>
      <c r="AL218" s="156">
        <v>0</v>
      </c>
      <c r="AM218" s="154">
        <v>3.5365772314336123E-2</v>
      </c>
      <c r="AN218" s="156">
        <v>8.5732470138346287E-3</v>
      </c>
      <c r="AO218" s="154">
        <v>0.18305869750212983</v>
      </c>
      <c r="AP218" s="156">
        <v>1.0369244443724726</v>
      </c>
      <c r="AQ218" s="154">
        <v>0.92732000000000003</v>
      </c>
      <c r="AR218" s="155">
        <v>0.88892000000000004</v>
      </c>
      <c r="AS218" s="156">
        <v>0.90810000000000002</v>
      </c>
    </row>
    <row r="219" spans="1:45" x14ac:dyDescent="0.2">
      <c r="A219" s="152">
        <v>7316</v>
      </c>
      <c r="B219" s="153" t="s">
        <v>255</v>
      </c>
      <c r="C219" s="154">
        <v>0.27068046398731033</v>
      </c>
      <c r="D219" s="156">
        <v>0.25072916976491594</v>
      </c>
      <c r="E219" s="154">
        <v>0.63293146488819518</v>
      </c>
      <c r="F219" s="156">
        <v>0.51935255755035337</v>
      </c>
      <c r="G219" s="154">
        <v>1.2191464902891785E-2</v>
      </c>
      <c r="H219" s="156">
        <v>-0.14542513792123798</v>
      </c>
      <c r="I219" s="154">
        <v>1.0100762787637374</v>
      </c>
      <c r="J219" s="156">
        <v>0.72943763713712162</v>
      </c>
      <c r="K219" s="157">
        <v>710</v>
      </c>
      <c r="L219" s="158">
        <v>463</v>
      </c>
      <c r="M219" s="154">
        <v>6.6191705215945501E-2</v>
      </c>
      <c r="N219" s="156">
        <v>0.11738272160806197</v>
      </c>
      <c r="O219" s="157">
        <v>209.55882352941177</v>
      </c>
      <c r="P219" s="158">
        <v>205.61764705882354</v>
      </c>
      <c r="Q219" s="154">
        <v>0.53766900981081533</v>
      </c>
      <c r="R219" s="156">
        <v>0.6114035247319759</v>
      </c>
      <c r="S219" s="154">
        <v>0.14273552882073556</v>
      </c>
      <c r="T219" s="156">
        <v>0.17188240971994306</v>
      </c>
      <c r="U219" s="157">
        <v>4243289</v>
      </c>
      <c r="V219" s="158">
        <v>3666963</v>
      </c>
      <c r="W219" s="157">
        <v>15992045</v>
      </c>
      <c r="X219" s="158">
        <v>17148084</v>
      </c>
      <c r="Y219" s="157">
        <v>191118</v>
      </c>
      <c r="Z219" s="158">
        <v>-2126871</v>
      </c>
      <c r="AA219" s="159">
        <v>3029915</v>
      </c>
      <c r="AB219" s="159">
        <v>760468</v>
      </c>
      <c r="AC219" s="157">
        <v>5059865</v>
      </c>
      <c r="AD219" s="158">
        <v>3233643</v>
      </c>
      <c r="AE219" s="157">
        <v>331580</v>
      </c>
      <c r="AF219" s="158">
        <v>520365</v>
      </c>
      <c r="AG219" s="157">
        <v>344554.79000000021</v>
      </c>
      <c r="AH219" s="158">
        <v>498216.30999999976</v>
      </c>
      <c r="AI219" s="157">
        <v>1527474.3300000005</v>
      </c>
      <c r="AJ219" s="158">
        <v>1112899.5899999999</v>
      </c>
      <c r="AK219" s="154">
        <v>2.0734058714817274E-2</v>
      </c>
      <c r="AL219" s="156">
        <v>3.0345372695865031E-2</v>
      </c>
      <c r="AM219" s="154">
        <v>2.810739788990653E-2</v>
      </c>
      <c r="AN219" s="156">
        <v>3.3980812586812084E-2</v>
      </c>
      <c r="AO219" s="154">
        <v>0.12460522972247282</v>
      </c>
      <c r="AP219" s="156">
        <v>7.590524765383537E-2</v>
      </c>
      <c r="AQ219" s="154">
        <v>0.85455000000000003</v>
      </c>
      <c r="AR219" s="155">
        <v>0.79676000000000002</v>
      </c>
      <c r="AS219" s="156">
        <v>0.82569999999999999</v>
      </c>
    </row>
    <row r="220" spans="1:45" x14ac:dyDescent="0.2">
      <c r="A220" s="152">
        <v>7317</v>
      </c>
      <c r="B220" s="153" t="s">
        <v>256</v>
      </c>
      <c r="C220" s="154">
        <v>0.14978647082471261</v>
      </c>
      <c r="D220" s="156">
        <v>0.17071619155700291</v>
      </c>
      <c r="E220" s="154">
        <v>0.56888408752739394</v>
      </c>
      <c r="F220" s="156">
        <v>0.41866692070736189</v>
      </c>
      <c r="G220" s="154">
        <v>0.14948718621550969</v>
      </c>
      <c r="H220" s="156">
        <v>-0.13706488381190401</v>
      </c>
      <c r="I220" s="154">
        <v>5.1122378909318637E-2</v>
      </c>
      <c r="J220" s="156">
        <v>0</v>
      </c>
      <c r="K220" s="157">
        <v>33</v>
      </c>
      <c r="L220" s="158">
        <v>0</v>
      </c>
      <c r="M220" s="154">
        <v>0</v>
      </c>
      <c r="N220" s="156">
        <v>0</v>
      </c>
      <c r="O220" s="157">
        <v>140.18</v>
      </c>
      <c r="P220" s="158">
        <v>140.47999999999999</v>
      </c>
      <c r="Q220" s="154">
        <v>0.57862390279492859</v>
      </c>
      <c r="R220" s="156">
        <v>0.53861444321708218</v>
      </c>
      <c r="S220" s="154">
        <v>0.14351051295751857</v>
      </c>
      <c r="T220" s="156">
        <v>0.24602560852796065</v>
      </c>
      <c r="U220" s="157">
        <v>3350725</v>
      </c>
      <c r="V220" s="158">
        <v>3748721</v>
      </c>
      <c r="W220" s="157">
        <v>18885599</v>
      </c>
      <c r="X220" s="158">
        <v>24068779</v>
      </c>
      <c r="Y220" s="157">
        <v>3344030</v>
      </c>
      <c r="Z220" s="158">
        <v>-3009779</v>
      </c>
      <c r="AA220" s="159">
        <v>14709923</v>
      </c>
      <c r="AB220" s="159">
        <v>11413257</v>
      </c>
      <c r="AC220" s="157">
        <v>232649</v>
      </c>
      <c r="AD220" s="158">
        <v>0</v>
      </c>
      <c r="AE220" s="157">
        <v>0</v>
      </c>
      <c r="AF220" s="158">
        <v>0</v>
      </c>
      <c r="AG220" s="157">
        <v>1432532.0999999999</v>
      </c>
      <c r="AH220" s="158">
        <v>1306103.3899999992</v>
      </c>
      <c r="AI220" s="157">
        <v>11315423.399999999</v>
      </c>
      <c r="AJ220" s="158">
        <v>15152734.220000001</v>
      </c>
      <c r="AK220" s="154">
        <v>0</v>
      </c>
      <c r="AL220" s="156">
        <v>0</v>
      </c>
      <c r="AM220" s="154">
        <v>9.2643501244434628E-2</v>
      </c>
      <c r="AN220" s="156">
        <v>7.0218973922866482E-2</v>
      </c>
      <c r="AO220" s="154">
        <v>0.73178146712328807</v>
      </c>
      <c r="AP220" s="156">
        <v>0.81464412174468626</v>
      </c>
      <c r="AQ220" s="154">
        <v>0.87373000000000001</v>
      </c>
      <c r="AR220" s="155">
        <v>0.71501999999999999</v>
      </c>
      <c r="AS220" s="156">
        <v>0.7944</v>
      </c>
    </row>
    <row r="221" spans="1:45" x14ac:dyDescent="0.2">
      <c r="A221" s="152">
        <v>7318</v>
      </c>
      <c r="B221" s="153" t="s">
        <v>257</v>
      </c>
      <c r="C221" s="154">
        <v>0.35462728951893102</v>
      </c>
      <c r="D221" s="156">
        <v>0.34361883301834234</v>
      </c>
      <c r="E221" s="154">
        <v>1.006156031553034</v>
      </c>
      <c r="F221" s="156">
        <v>0.74973808605662373</v>
      </c>
      <c r="G221" s="154">
        <v>-1.256600386382072E-3</v>
      </c>
      <c r="H221" s="156">
        <v>-7.3987319924464279E-2</v>
      </c>
      <c r="I221" s="154">
        <v>1.8821992663740458E-2</v>
      </c>
      <c r="J221" s="156">
        <v>4.2283753776140076E-2</v>
      </c>
      <c r="K221" s="157">
        <v>15</v>
      </c>
      <c r="L221" s="158">
        <v>36</v>
      </c>
      <c r="M221" s="154">
        <v>0</v>
      </c>
      <c r="N221" s="156">
        <v>6.4619887920532417E-3</v>
      </c>
      <c r="O221" s="157">
        <v>402.05882352941177</v>
      </c>
      <c r="P221" s="158">
        <v>176.81770833333334</v>
      </c>
      <c r="Q221" s="154">
        <v>0.56706683760033849</v>
      </c>
      <c r="R221" s="156">
        <v>0.54489873572639347</v>
      </c>
      <c r="S221" s="154">
        <v>0.11705461736679881</v>
      </c>
      <c r="T221" s="156">
        <v>0.15407791269830884</v>
      </c>
      <c r="U221" s="157">
        <v>24615066</v>
      </c>
      <c r="V221" s="158">
        <v>26554315</v>
      </c>
      <c r="W221" s="157">
        <v>66623113</v>
      </c>
      <c r="X221" s="158">
        <v>86587349</v>
      </c>
      <c r="Y221" s="157">
        <v>-87222</v>
      </c>
      <c r="Z221" s="158">
        <v>-5717622</v>
      </c>
      <c r="AA221" s="159">
        <v>28754050</v>
      </c>
      <c r="AB221" s="159">
        <v>22410133</v>
      </c>
      <c r="AC221" s="157">
        <v>510177</v>
      </c>
      <c r="AD221" s="158">
        <v>1228868</v>
      </c>
      <c r="AE221" s="157">
        <v>0</v>
      </c>
      <c r="AF221" s="158">
        <v>187801</v>
      </c>
      <c r="AG221" s="157">
        <v>1161097.4599999995</v>
      </c>
      <c r="AH221" s="158">
        <v>1805176.3700000027</v>
      </c>
      <c r="AI221" s="157">
        <v>21317619.850000001</v>
      </c>
      <c r="AJ221" s="158">
        <v>34465796.300000004</v>
      </c>
      <c r="AK221" s="154">
        <v>0</v>
      </c>
      <c r="AL221" s="156">
        <v>2.1689196189618879E-3</v>
      </c>
      <c r="AM221" s="154">
        <v>2.2199213666990791E-2</v>
      </c>
      <c r="AN221" s="156">
        <v>2.7990076417382138E-2</v>
      </c>
      <c r="AO221" s="154">
        <v>0.40757508669585274</v>
      </c>
      <c r="AP221" s="156">
        <v>0.53440776660671951</v>
      </c>
      <c r="AQ221" s="154">
        <v>0.83453999999999995</v>
      </c>
      <c r="AR221" s="155">
        <v>0.73126999999999998</v>
      </c>
      <c r="AS221" s="156">
        <v>0.78290000000000004</v>
      </c>
    </row>
    <row r="222" spans="1:45" x14ac:dyDescent="0.2">
      <c r="A222" s="152">
        <v>7319</v>
      </c>
      <c r="B222" s="153" t="s">
        <v>258</v>
      </c>
      <c r="C222" s="154">
        <v>0.21332375606808665</v>
      </c>
      <c r="D222" s="156">
        <v>0.23413054694326754</v>
      </c>
      <c r="E222" s="154">
        <v>0.47573835924021879</v>
      </c>
      <c r="F222" s="156">
        <v>0.43860662237051268</v>
      </c>
      <c r="G222" s="154">
        <v>-3.3866063270344991E-2</v>
      </c>
      <c r="H222" s="156">
        <v>-0.1052964566281431</v>
      </c>
      <c r="I222" s="154">
        <v>0.16125570037196199</v>
      </c>
      <c r="J222" s="156">
        <v>3.1217240945685454E-2</v>
      </c>
      <c r="K222" s="157">
        <v>83</v>
      </c>
      <c r="L222" s="158">
        <v>18</v>
      </c>
      <c r="M222" s="154">
        <v>0</v>
      </c>
      <c r="N222" s="156">
        <v>4.050169110891707E-4</v>
      </c>
      <c r="O222" s="157">
        <v>255.43243243243242</v>
      </c>
      <c r="P222" s="158">
        <v>239.84615384615384</v>
      </c>
      <c r="Q222" s="154">
        <v>0.46910600676100883</v>
      </c>
      <c r="R222" s="156">
        <v>0.48802165887874993</v>
      </c>
      <c r="S222" s="154">
        <v>0.18506896237820047</v>
      </c>
      <c r="T222" s="156">
        <v>0.21412035822106329</v>
      </c>
      <c r="U222" s="157">
        <v>6859493</v>
      </c>
      <c r="V222" s="158">
        <v>8114762</v>
      </c>
      <c r="W222" s="157">
        <v>34108815</v>
      </c>
      <c r="X222" s="158">
        <v>40392488</v>
      </c>
      <c r="Y222" s="157">
        <v>-1088974</v>
      </c>
      <c r="Z222" s="158">
        <v>-3649484</v>
      </c>
      <c r="AA222" s="159">
        <v>9045325</v>
      </c>
      <c r="AB222" s="159">
        <v>4155135</v>
      </c>
      <c r="AC222" s="157">
        <v>1573661</v>
      </c>
      <c r="AD222" s="158">
        <v>344069</v>
      </c>
      <c r="AE222" s="157">
        <v>0</v>
      </c>
      <c r="AF222" s="158">
        <v>4464</v>
      </c>
      <c r="AG222" s="157">
        <v>287916.92000000365</v>
      </c>
      <c r="AH222" s="158">
        <v>604631.66000000155</v>
      </c>
      <c r="AI222" s="157">
        <v>19989054.960000001</v>
      </c>
      <c r="AJ222" s="158">
        <v>16544161.18</v>
      </c>
      <c r="AK222" s="154">
        <v>0</v>
      </c>
      <c r="AL222" s="156">
        <v>1.1051559884105183E-4</v>
      </c>
      <c r="AM222" s="154">
        <v>1.0639983053894192E-2</v>
      </c>
      <c r="AN222" s="156">
        <v>1.8656070515883735E-2</v>
      </c>
      <c r="AO222" s="154">
        <v>0.73869644770358389</v>
      </c>
      <c r="AP222" s="156">
        <v>0.5104744888817524</v>
      </c>
      <c r="AQ222" s="154">
        <v>0.82406999999999997</v>
      </c>
      <c r="AR222" s="155">
        <v>0.79000999999999999</v>
      </c>
      <c r="AS222" s="156">
        <v>0.80700000000000005</v>
      </c>
    </row>
    <row r="223" spans="1:45" x14ac:dyDescent="0.2">
      <c r="A223" s="152">
        <v>7320</v>
      </c>
      <c r="B223" s="153" t="s">
        <v>259</v>
      </c>
      <c r="C223" s="154">
        <v>0.2446741647668263</v>
      </c>
      <c r="D223" s="156">
        <v>0.16529247947526038</v>
      </c>
      <c r="E223" s="154">
        <v>0.56228958248709282</v>
      </c>
      <c r="F223" s="156">
        <v>0.32955079753627714</v>
      </c>
      <c r="G223" s="154">
        <v>-8.0425473918060514E-2</v>
      </c>
      <c r="H223" s="156">
        <v>4.0835405679104868E-2</v>
      </c>
      <c r="I223" s="154">
        <v>7.5150794983906241E-2</v>
      </c>
      <c r="J223" s="156">
        <v>9.551453601408999E-2</v>
      </c>
      <c r="K223" s="157">
        <v>44</v>
      </c>
      <c r="L223" s="158">
        <v>60</v>
      </c>
      <c r="M223" s="154">
        <v>8.9667528092471221E-2</v>
      </c>
      <c r="N223" s="156">
        <v>3.9368329559230537E-2</v>
      </c>
      <c r="O223" s="157">
        <v>258.14705882352939</v>
      </c>
      <c r="P223" s="158">
        <v>278.83870967741933</v>
      </c>
      <c r="Q223" s="154">
        <v>0.5307805501602324</v>
      </c>
      <c r="R223" s="156">
        <v>0.39957282867692656</v>
      </c>
      <c r="S223" s="154">
        <v>0.13996168624196395</v>
      </c>
      <c r="T223" s="156">
        <v>0.38206080960169031</v>
      </c>
      <c r="U223" s="157">
        <v>3936902</v>
      </c>
      <c r="V223" s="158">
        <v>4269875</v>
      </c>
      <c r="W223" s="157">
        <v>16673906</v>
      </c>
      <c r="X223" s="158">
        <v>25733469</v>
      </c>
      <c r="Y223" s="157">
        <v>-1294077</v>
      </c>
      <c r="Z223" s="158">
        <v>1054870</v>
      </c>
      <c r="AA223" s="159">
        <v>685141</v>
      </c>
      <c r="AB223" s="159">
        <v>1894075</v>
      </c>
      <c r="AC223" s="157">
        <v>385659</v>
      </c>
      <c r="AD223" s="158">
        <v>521975</v>
      </c>
      <c r="AE223" s="157">
        <v>460156</v>
      </c>
      <c r="AF223" s="158">
        <v>215143</v>
      </c>
      <c r="AG223" s="157">
        <v>698430.12999999907</v>
      </c>
      <c r="AH223" s="158">
        <v>497024.65999999928</v>
      </c>
      <c r="AI223" s="157">
        <v>3750800.1499999994</v>
      </c>
      <c r="AJ223" s="158">
        <v>30345514.670000002</v>
      </c>
      <c r="AK223" s="154">
        <v>2.7597372805148356E-2</v>
      </c>
      <c r="AL223" s="156">
        <v>8.3604351982237615E-3</v>
      </c>
      <c r="AM223" s="154">
        <v>4.4222900268998312E-2</v>
      </c>
      <c r="AN223" s="156">
        <v>2.5285556685802828E-2</v>
      </c>
      <c r="AO223" s="154">
        <v>0.23749155976760927</v>
      </c>
      <c r="AP223" s="156">
        <v>1.543793081309381</v>
      </c>
      <c r="AQ223" s="154">
        <v>0.78761000000000003</v>
      </c>
      <c r="AR223" s="155">
        <v>0.75819999999999999</v>
      </c>
      <c r="AS223" s="156">
        <v>0.77290000000000003</v>
      </c>
    </row>
    <row r="224" spans="1:45" x14ac:dyDescent="0.2">
      <c r="A224" s="152">
        <v>7321</v>
      </c>
      <c r="B224" s="153" t="s">
        <v>260</v>
      </c>
      <c r="C224" s="154">
        <v>0.53370270893027072</v>
      </c>
      <c r="D224" s="156">
        <v>0.35269464411147</v>
      </c>
      <c r="E224" s="154">
        <v>0.86564051533706621</v>
      </c>
      <c r="F224" s="156">
        <v>0.55141334247345331</v>
      </c>
      <c r="G224" s="154">
        <v>-0.10358663704626166</v>
      </c>
      <c r="H224" s="156">
        <v>-1.2088457917727568E-2</v>
      </c>
      <c r="I224" s="154">
        <v>0</v>
      </c>
      <c r="J224" s="156">
        <v>0</v>
      </c>
      <c r="K224" s="157">
        <v>0</v>
      </c>
      <c r="L224" s="158">
        <v>0</v>
      </c>
      <c r="M224" s="154">
        <v>0</v>
      </c>
      <c r="N224" s="156">
        <v>0</v>
      </c>
      <c r="O224" s="157">
        <v>43</v>
      </c>
      <c r="P224" s="158">
        <v>41.5</v>
      </c>
      <c r="Q224" s="154">
        <v>0.46918000951709421</v>
      </c>
      <c r="R224" s="156">
        <v>0.36525716058751001</v>
      </c>
      <c r="S224" s="154">
        <v>0.2252926092551433</v>
      </c>
      <c r="T224" s="156">
        <v>0.38729297814245633</v>
      </c>
      <c r="U224" s="157">
        <v>3034244</v>
      </c>
      <c r="V224" s="158">
        <v>3288327</v>
      </c>
      <c r="W224" s="157">
        <v>6281329</v>
      </c>
      <c r="X224" s="158">
        <v>9423703</v>
      </c>
      <c r="Y224" s="157">
        <v>-588918</v>
      </c>
      <c r="Z224" s="158">
        <v>-112706</v>
      </c>
      <c r="AA224" s="159">
        <v>234620</v>
      </c>
      <c r="AB224" s="159">
        <v>123099</v>
      </c>
      <c r="AC224" s="157">
        <v>0</v>
      </c>
      <c r="AD224" s="158">
        <v>0</v>
      </c>
      <c r="AE224" s="157">
        <v>0</v>
      </c>
      <c r="AF224" s="158">
        <v>0</v>
      </c>
      <c r="AG224" s="157">
        <v>51953.319999999832</v>
      </c>
      <c r="AH224" s="158">
        <v>724409.83000000007</v>
      </c>
      <c r="AI224" s="157">
        <v>2321898.1900000004</v>
      </c>
      <c r="AJ224" s="158">
        <v>2275420.2799999998</v>
      </c>
      <c r="AK224" s="154">
        <v>0</v>
      </c>
      <c r="AL224" s="156">
        <v>0</v>
      </c>
      <c r="AM224" s="154">
        <v>1.0051504137104945E-2</v>
      </c>
      <c r="AN224" s="156">
        <v>0.11088697045263589</v>
      </c>
      <c r="AO224" s="154">
        <v>0.44922190271423579</v>
      </c>
      <c r="AP224" s="156">
        <v>0.34830347533479555</v>
      </c>
      <c r="AQ224" s="154">
        <v>0.80861000000000005</v>
      </c>
      <c r="AR224" s="155">
        <v>0.77639000000000002</v>
      </c>
      <c r="AS224" s="156">
        <v>0.79249999999999998</v>
      </c>
    </row>
    <row r="225" spans="1:45" x14ac:dyDescent="0.2">
      <c r="A225" s="152">
        <v>7322</v>
      </c>
      <c r="B225" s="153" t="s">
        <v>261</v>
      </c>
      <c r="C225" s="154">
        <v>0.67370802920930128</v>
      </c>
      <c r="D225" s="156">
        <v>0.77912848498482234</v>
      </c>
      <c r="E225" s="154">
        <v>1.0953891845136052</v>
      </c>
      <c r="F225" s="156">
        <v>1.3410450857289991</v>
      </c>
      <c r="G225" s="154">
        <v>-1.9788104484446456E-2</v>
      </c>
      <c r="H225" s="156">
        <v>-0.16817675214739092</v>
      </c>
      <c r="I225" s="154">
        <v>0</v>
      </c>
      <c r="J225" s="156">
        <v>0</v>
      </c>
      <c r="K225" s="157">
        <v>0</v>
      </c>
      <c r="L225" s="158">
        <v>0</v>
      </c>
      <c r="M225" s="154">
        <v>0</v>
      </c>
      <c r="N225" s="156">
        <v>0</v>
      </c>
      <c r="O225" s="157">
        <v>68.714285714285708</v>
      </c>
      <c r="P225" s="158">
        <v>65.909090909090907</v>
      </c>
      <c r="Q225" s="154">
        <v>0.4402839722945599</v>
      </c>
      <c r="R225" s="156">
        <v>0.42987438089974178</v>
      </c>
      <c r="S225" s="154">
        <v>0.16744557357976247</v>
      </c>
      <c r="T225" s="156">
        <v>0.11358785557650329</v>
      </c>
      <c r="U225" s="157">
        <v>8047786</v>
      </c>
      <c r="V225" s="158">
        <v>8963426</v>
      </c>
      <c r="W225" s="157">
        <v>12165553</v>
      </c>
      <c r="X225" s="158">
        <v>13426541</v>
      </c>
      <c r="Y225" s="157">
        <v>-236379</v>
      </c>
      <c r="Z225" s="158">
        <v>-1934777</v>
      </c>
      <c r="AA225" s="159">
        <v>8889528</v>
      </c>
      <c r="AB225" s="159">
        <v>5954751</v>
      </c>
      <c r="AC225" s="157">
        <v>0</v>
      </c>
      <c r="AD225" s="158">
        <v>0</v>
      </c>
      <c r="AE225" s="157">
        <v>0</v>
      </c>
      <c r="AF225" s="158">
        <v>0</v>
      </c>
      <c r="AG225" s="157">
        <v>144244.23000000056</v>
      </c>
      <c r="AH225" s="158">
        <v>613023.8600000008</v>
      </c>
      <c r="AI225" s="157">
        <v>1299441.47</v>
      </c>
      <c r="AJ225" s="158">
        <v>20484181.530000001</v>
      </c>
      <c r="AK225" s="154">
        <v>0</v>
      </c>
      <c r="AL225" s="156">
        <v>0</v>
      </c>
      <c r="AM225" s="154">
        <v>1.3066343810137077E-2</v>
      </c>
      <c r="AN225" s="156">
        <v>4.907940153642177E-2</v>
      </c>
      <c r="AO225" s="154">
        <v>0.11770972750986197</v>
      </c>
      <c r="AP225" s="156">
        <v>1.6399873415299417</v>
      </c>
      <c r="AQ225" s="154">
        <v>0.95970999999999995</v>
      </c>
      <c r="AR225" s="155">
        <v>0.82869999999999999</v>
      </c>
      <c r="AS225" s="156">
        <v>0.89419999999999999</v>
      </c>
    </row>
    <row r="226" spans="1:45" x14ac:dyDescent="0.2">
      <c r="A226" s="152">
        <v>7401</v>
      </c>
      <c r="B226" s="153" t="s">
        <v>263</v>
      </c>
      <c r="C226" s="154">
        <v>0.14882713504997808</v>
      </c>
      <c r="D226" s="156">
        <v>0.16106561316138668</v>
      </c>
      <c r="E226" s="154">
        <v>0.39682299751629929</v>
      </c>
      <c r="F226" s="156">
        <v>0.4222378467436888</v>
      </c>
      <c r="G226" s="154">
        <v>-1.7252393236585038E-2</v>
      </c>
      <c r="H226" s="156">
        <v>2.9778640095700341E-4</v>
      </c>
      <c r="I226" s="154">
        <v>2.4030709694785501E-2</v>
      </c>
      <c r="J226" s="156">
        <v>0</v>
      </c>
      <c r="K226" s="157">
        <v>11</v>
      </c>
      <c r="L226" s="158">
        <v>0</v>
      </c>
      <c r="M226" s="154">
        <v>0</v>
      </c>
      <c r="N226" s="156">
        <v>0</v>
      </c>
      <c r="O226" s="157">
        <v>95.530201342281885</v>
      </c>
      <c r="P226" s="158">
        <v>140.45544554455446</v>
      </c>
      <c r="Q226" s="154">
        <v>0.6011153276244291</v>
      </c>
      <c r="R226" s="156">
        <v>0.58626795478793248</v>
      </c>
      <c r="S226" s="154">
        <v>0.17256662468717018</v>
      </c>
      <c r="T226" s="156">
        <v>0.22269225757021863</v>
      </c>
      <c r="U226" s="157">
        <v>2045067</v>
      </c>
      <c r="V226" s="158">
        <v>2711413</v>
      </c>
      <c r="W226" s="157">
        <v>13886144</v>
      </c>
      <c r="X226" s="158">
        <v>16705363</v>
      </c>
      <c r="Y226" s="157">
        <v>-237069</v>
      </c>
      <c r="Z226" s="158">
        <v>5013</v>
      </c>
      <c r="AA226" s="159">
        <v>2803194</v>
      </c>
      <c r="AB226" s="159">
        <v>2727440</v>
      </c>
      <c r="AC226" s="157">
        <v>81062</v>
      </c>
      <c r="AD226" s="158">
        <v>0</v>
      </c>
      <c r="AE226" s="157">
        <v>0</v>
      </c>
      <c r="AF226" s="158">
        <v>0</v>
      </c>
      <c r="AG226" s="157">
        <v>98538.08999999988</v>
      </c>
      <c r="AH226" s="158">
        <v>1293966.27</v>
      </c>
      <c r="AI226" s="157">
        <v>2024120.9899999998</v>
      </c>
      <c r="AJ226" s="158">
        <v>5210272.37</v>
      </c>
      <c r="AK226" s="154">
        <v>0</v>
      </c>
      <c r="AL226" s="156">
        <v>0</v>
      </c>
      <c r="AM226" s="154">
        <v>9.3886680943359221E-3</v>
      </c>
      <c r="AN226" s="156">
        <v>0.10154805730127983</v>
      </c>
      <c r="AO226" s="154">
        <v>0.19285740324263095</v>
      </c>
      <c r="AP226" s="156">
        <v>0.40889244909300076</v>
      </c>
      <c r="AQ226" s="154">
        <v>0.76222000000000001</v>
      </c>
      <c r="AR226" s="155">
        <v>0.59891000000000005</v>
      </c>
      <c r="AS226" s="156">
        <v>0.68059999999999998</v>
      </c>
    </row>
    <row r="227" spans="1:45" x14ac:dyDescent="0.2">
      <c r="A227" s="152">
        <v>7402</v>
      </c>
      <c r="B227" s="153" t="s">
        <v>264</v>
      </c>
      <c r="C227" s="154">
        <v>9.6950290734313438E-2</v>
      </c>
      <c r="D227" s="156">
        <v>0.12586584905278708</v>
      </c>
      <c r="E227" s="154">
        <v>0.39873007562976065</v>
      </c>
      <c r="F227" s="156">
        <v>0.32658116217207639</v>
      </c>
      <c r="G227" s="154">
        <v>0.20732640990399331</v>
      </c>
      <c r="H227" s="156">
        <v>-9.5859418190337969E-2</v>
      </c>
      <c r="I227" s="154">
        <v>0</v>
      </c>
      <c r="J227" s="156">
        <v>0</v>
      </c>
      <c r="K227" s="157">
        <v>0</v>
      </c>
      <c r="L227" s="158">
        <v>0</v>
      </c>
      <c r="M227" s="154">
        <v>0</v>
      </c>
      <c r="N227" s="156">
        <v>0</v>
      </c>
      <c r="O227" s="157">
        <v>147.11864406779662</v>
      </c>
      <c r="P227" s="158">
        <v>147.66101694915255</v>
      </c>
      <c r="Q227" s="154">
        <v>0.6666358880518759</v>
      </c>
      <c r="R227" s="156">
        <v>0.62207425025800711</v>
      </c>
      <c r="S227" s="154">
        <v>0.1266451362734351</v>
      </c>
      <c r="T227" s="156">
        <v>0.19608113213766803</v>
      </c>
      <c r="U227" s="157">
        <v>1002285</v>
      </c>
      <c r="V227" s="158">
        <v>1132445</v>
      </c>
      <c r="W227" s="157">
        <v>8198333</v>
      </c>
      <c r="X227" s="158">
        <v>9859225</v>
      </c>
      <c r="Y227" s="157">
        <v>2143368</v>
      </c>
      <c r="Z227" s="158">
        <v>-862470</v>
      </c>
      <c r="AA227" s="159">
        <v>3569289</v>
      </c>
      <c r="AB227" s="159">
        <v>2671865</v>
      </c>
      <c r="AC227" s="157">
        <v>0</v>
      </c>
      <c r="AD227" s="158">
        <v>0</v>
      </c>
      <c r="AE227" s="157">
        <v>0</v>
      </c>
      <c r="AF227" s="158">
        <v>0</v>
      </c>
      <c r="AG227" s="157">
        <v>276539.52000000031</v>
      </c>
      <c r="AH227" s="158">
        <v>71441.159999999902</v>
      </c>
      <c r="AI227" s="157">
        <v>653405.21999999974</v>
      </c>
      <c r="AJ227" s="158">
        <v>12152594.289999999</v>
      </c>
      <c r="AK227" s="154">
        <v>0</v>
      </c>
      <c r="AL227" s="156">
        <v>0</v>
      </c>
      <c r="AM227" s="154">
        <v>3.7931400475439574E-2</v>
      </c>
      <c r="AN227" s="156">
        <v>8.576312092019537E-3</v>
      </c>
      <c r="AO227" s="154">
        <v>8.9623989629267681E-2</v>
      </c>
      <c r="AP227" s="156">
        <v>1.4588850651184098</v>
      </c>
      <c r="AQ227" s="154">
        <v>0.82647000000000004</v>
      </c>
      <c r="AR227" s="155">
        <v>0.66893999999999998</v>
      </c>
      <c r="AS227" s="156">
        <v>0.74770000000000003</v>
      </c>
    </row>
    <row r="228" spans="1:45" x14ac:dyDescent="0.2">
      <c r="A228" s="152">
        <v>7403</v>
      </c>
      <c r="B228" s="153" t="s">
        <v>265</v>
      </c>
      <c r="C228" s="154">
        <v>0.28277749582837086</v>
      </c>
      <c r="D228" s="156">
        <v>0.26242889669033015</v>
      </c>
      <c r="E228" s="154">
        <v>0.67520197835522111</v>
      </c>
      <c r="F228" s="156">
        <v>0.57658686257928571</v>
      </c>
      <c r="G228" s="154">
        <v>1.9175706505855993E-2</v>
      </c>
      <c r="H228" s="156">
        <v>-0.10215685864091148</v>
      </c>
      <c r="I228" s="154">
        <v>0.3295724412415969</v>
      </c>
      <c r="J228" s="156">
        <v>0.23861157194557098</v>
      </c>
      <c r="K228" s="157">
        <v>226</v>
      </c>
      <c r="L228" s="158">
        <v>161</v>
      </c>
      <c r="M228" s="154">
        <v>0.16967713804505663</v>
      </c>
      <c r="N228" s="156">
        <v>0.14995470904663613</v>
      </c>
      <c r="O228" s="157">
        <v>166.75590551181102</v>
      </c>
      <c r="P228" s="158">
        <v>169.13821138211381</v>
      </c>
      <c r="Q228" s="154">
        <v>0.5371065303593755</v>
      </c>
      <c r="R228" s="156">
        <v>0.53862742901103167</v>
      </c>
      <c r="S228" s="154">
        <v>0.2036667136250194</v>
      </c>
      <c r="T228" s="156">
        <v>0.20103113725897825</v>
      </c>
      <c r="U228" s="157">
        <v>7198859</v>
      </c>
      <c r="V228" s="158">
        <v>6945830</v>
      </c>
      <c r="W228" s="157">
        <v>24986680</v>
      </c>
      <c r="X228" s="158">
        <v>29265357</v>
      </c>
      <c r="Y228" s="157">
        <v>488169</v>
      </c>
      <c r="Z228" s="158">
        <v>-2703834</v>
      </c>
      <c r="AA228" s="159">
        <v>4665135</v>
      </c>
      <c r="AB228" s="159">
        <v>1347540</v>
      </c>
      <c r="AC228" s="157">
        <v>2393770</v>
      </c>
      <c r="AD228" s="158">
        <v>1672722</v>
      </c>
      <c r="AE228" s="157">
        <v>1232409</v>
      </c>
      <c r="AF228" s="158">
        <v>1051217</v>
      </c>
      <c r="AG228" s="157">
        <v>1698387.4400000011</v>
      </c>
      <c r="AH228" s="158">
        <v>1424489.3799999983</v>
      </c>
      <c r="AI228" s="157">
        <v>7489879.2599999988</v>
      </c>
      <c r="AJ228" s="158">
        <v>7557648.1600000039</v>
      </c>
      <c r="AK228" s="154">
        <v>4.9322639102113604E-2</v>
      </c>
      <c r="AL228" s="156">
        <v>3.5920183717560665E-2</v>
      </c>
      <c r="AM228" s="154">
        <v>8.9692857255645547E-2</v>
      </c>
      <c r="AN228" s="156">
        <v>6.2998352079960532E-2</v>
      </c>
      <c r="AO228" s="154">
        <v>0.39554500669717602</v>
      </c>
      <c r="AP228" s="156">
        <v>0.334238630603302</v>
      </c>
      <c r="AQ228" s="154">
        <v>0.89683999999999997</v>
      </c>
      <c r="AR228" s="155">
        <v>0.73472000000000004</v>
      </c>
      <c r="AS228" s="156">
        <v>0.81579999999999997</v>
      </c>
    </row>
    <row r="229" spans="1:45" x14ac:dyDescent="0.2">
      <c r="A229" s="152">
        <v>7404</v>
      </c>
      <c r="B229" s="153" t="s">
        <v>266</v>
      </c>
      <c r="C229" s="154">
        <v>0.2118679818461783</v>
      </c>
      <c r="D229" s="156">
        <v>0.19463777601607835</v>
      </c>
      <c r="E229" s="154">
        <v>0.6080138695095243</v>
      </c>
      <c r="F229" s="156">
        <v>0.56649742654181301</v>
      </c>
      <c r="G229" s="154">
        <v>2.7445821415591314E-2</v>
      </c>
      <c r="H229" s="156">
        <v>1.4552980239141932E-3</v>
      </c>
      <c r="I229" s="154">
        <v>0.15896819439014798</v>
      </c>
      <c r="J229" s="156">
        <v>7.7817080436814595E-2</v>
      </c>
      <c r="K229" s="157">
        <v>71</v>
      </c>
      <c r="L229" s="158">
        <v>36</v>
      </c>
      <c r="M229" s="154">
        <v>0</v>
      </c>
      <c r="N229" s="156">
        <v>0</v>
      </c>
      <c r="O229" s="157">
        <v>492.80916030534354</v>
      </c>
      <c r="P229" s="158">
        <v>579.55656108597282</v>
      </c>
      <c r="Q229" s="154">
        <v>0.6157005267457839</v>
      </c>
      <c r="R229" s="156">
        <v>0.6477450613177661</v>
      </c>
      <c r="S229" s="154">
        <v>9.6644725585528973E-2</v>
      </c>
      <c r="T229" s="156">
        <v>8.0953688179272051E-2</v>
      </c>
      <c r="U229" s="157">
        <v>22944195</v>
      </c>
      <c r="V229" s="158">
        <v>23679691</v>
      </c>
      <c r="W229" s="157">
        <v>106984245</v>
      </c>
      <c r="X229" s="158">
        <v>124268878</v>
      </c>
      <c r="Y229" s="157">
        <v>2972239</v>
      </c>
      <c r="Z229" s="158">
        <v>177052</v>
      </c>
      <c r="AA229" s="159">
        <v>18239834</v>
      </c>
      <c r="AB229" s="159">
        <v>16000715</v>
      </c>
      <c r="AC229" s="157">
        <v>4613288</v>
      </c>
      <c r="AD229" s="158">
        <v>2315501</v>
      </c>
      <c r="AE229" s="157">
        <v>0</v>
      </c>
      <c r="AF229" s="158">
        <v>0</v>
      </c>
      <c r="AG229" s="157">
        <v>898967.3800000035</v>
      </c>
      <c r="AH229" s="158">
        <v>3631399.7800000058</v>
      </c>
      <c r="AI229" s="157">
        <v>24577967.499999996</v>
      </c>
      <c r="AJ229" s="158">
        <v>23697779.929999996</v>
      </c>
      <c r="AK229" s="154">
        <v>0</v>
      </c>
      <c r="AL229" s="156">
        <v>0</v>
      </c>
      <c r="AM229" s="154">
        <v>1.0719285250757368E-2</v>
      </c>
      <c r="AN229" s="156">
        <v>3.6898989583996088E-2</v>
      </c>
      <c r="AO229" s="154">
        <v>0.29306763557576793</v>
      </c>
      <c r="AP229" s="156">
        <v>0.24079533727374405</v>
      </c>
      <c r="AQ229" s="154">
        <v>0.87651000000000001</v>
      </c>
      <c r="AR229" s="155">
        <v>0.79495000000000005</v>
      </c>
      <c r="AS229" s="156">
        <v>0.8357</v>
      </c>
    </row>
    <row r="230" spans="1:45" x14ac:dyDescent="0.2">
      <c r="A230" s="152">
        <v>7405</v>
      </c>
      <c r="B230" s="153" t="s">
        <v>267</v>
      </c>
      <c r="C230" s="154">
        <v>0.18633836691853958</v>
      </c>
      <c r="D230" s="156">
        <v>0.20836376102348261</v>
      </c>
      <c r="E230" s="154">
        <v>0.45582047606108733</v>
      </c>
      <c r="F230" s="156">
        <v>0.48553989923481478</v>
      </c>
      <c r="G230" s="154">
        <v>6.9569634274338779E-2</v>
      </c>
      <c r="H230" s="156">
        <v>-1.3090358166231044E-2</v>
      </c>
      <c r="I230" s="154">
        <v>0.4981506749435809</v>
      </c>
      <c r="J230" s="156">
        <v>0.74101000055974642</v>
      </c>
      <c r="K230" s="157">
        <v>307</v>
      </c>
      <c r="L230" s="158">
        <v>528</v>
      </c>
      <c r="M230" s="154">
        <v>9.0909743126680764E-2</v>
      </c>
      <c r="N230" s="156">
        <v>5.2821158122537931E-2</v>
      </c>
      <c r="O230" s="157">
        <v>190.78431372549019</v>
      </c>
      <c r="P230" s="158">
        <v>185.75</v>
      </c>
      <c r="Q230" s="154">
        <v>0.50287169532990583</v>
      </c>
      <c r="R230" s="156">
        <v>0.52547267984630885</v>
      </c>
      <c r="S230" s="154">
        <v>0.27344435403275941</v>
      </c>
      <c r="T230" s="156">
        <v>0.2416719500723119</v>
      </c>
      <c r="U230" s="157">
        <v>4811238</v>
      </c>
      <c r="V230" s="158">
        <v>5695115</v>
      </c>
      <c r="W230" s="157">
        <v>23643699</v>
      </c>
      <c r="X230" s="158">
        <v>27258302</v>
      </c>
      <c r="Y230" s="157">
        <v>1796281</v>
      </c>
      <c r="Z230" s="158">
        <v>-357793</v>
      </c>
      <c r="AA230" s="159">
        <v>7136106</v>
      </c>
      <c r="AB230" s="159">
        <v>7899024</v>
      </c>
      <c r="AC230" s="157">
        <v>2985685</v>
      </c>
      <c r="AD230" s="158">
        <v>5096752</v>
      </c>
      <c r="AE230" s="157">
        <v>544871</v>
      </c>
      <c r="AF230" s="158">
        <v>363310</v>
      </c>
      <c r="AG230" s="157">
        <v>713242.52000000037</v>
      </c>
      <c r="AH230" s="158">
        <v>1521983.6300000006</v>
      </c>
      <c r="AI230" s="157">
        <v>5826962.1600000001</v>
      </c>
      <c r="AJ230" s="158">
        <v>32233101.210000001</v>
      </c>
      <c r="AK230" s="154">
        <v>2.3045082751222641E-2</v>
      </c>
      <c r="AL230" s="156">
        <v>1.3328416421536456E-2</v>
      </c>
      <c r="AM230" s="154">
        <v>3.8722397752931861E-2</v>
      </c>
      <c r="AN230" s="156">
        <v>6.8652292291766753E-2</v>
      </c>
      <c r="AO230" s="154">
        <v>0.31634954468334681</v>
      </c>
      <c r="AP230" s="156">
        <v>1.4539422383531284</v>
      </c>
      <c r="AQ230" s="154">
        <v>0.83887999999999996</v>
      </c>
      <c r="AR230" s="155">
        <v>0.74014999999999997</v>
      </c>
      <c r="AS230" s="156">
        <v>0.78949999999999998</v>
      </c>
    </row>
    <row r="231" spans="1:45" x14ac:dyDescent="0.2">
      <c r="A231" s="152">
        <v>7406</v>
      </c>
      <c r="B231" s="153" t="s">
        <v>268</v>
      </c>
      <c r="C231" s="154">
        <v>7.2577740682847142E-2</v>
      </c>
      <c r="D231" s="156">
        <v>7.1587328664653879E-2</v>
      </c>
      <c r="E231" s="154">
        <v>0.34692020130527779</v>
      </c>
      <c r="F231" s="156">
        <v>0.30214044224348197</v>
      </c>
      <c r="G231" s="154">
        <v>6.0823915131779829E-2</v>
      </c>
      <c r="H231" s="156">
        <v>3.6752586889242975E-2</v>
      </c>
      <c r="I231" s="154">
        <v>0</v>
      </c>
      <c r="J231" s="156">
        <v>0</v>
      </c>
      <c r="K231" s="157">
        <v>0</v>
      </c>
      <c r="L231" s="158">
        <v>0</v>
      </c>
      <c r="M231" s="154">
        <v>0</v>
      </c>
      <c r="N231" s="156">
        <v>0</v>
      </c>
      <c r="O231" s="157">
        <v>160.92307692307693</v>
      </c>
      <c r="P231" s="158">
        <v>152.07142857142858</v>
      </c>
      <c r="Q231" s="154">
        <v>0.71210789402259833</v>
      </c>
      <c r="R231" s="156">
        <v>0.66115540130435169</v>
      </c>
      <c r="S231" s="154">
        <v>8.9058984768948302E-2</v>
      </c>
      <c r="T231" s="156">
        <v>0.14482625419252496</v>
      </c>
      <c r="U231" s="157">
        <v>709746</v>
      </c>
      <c r="V231" s="158">
        <v>864903</v>
      </c>
      <c r="W231" s="157">
        <v>9203698</v>
      </c>
      <c r="X231" s="158">
        <v>11514839</v>
      </c>
      <c r="Y231" s="157">
        <v>594804</v>
      </c>
      <c r="Z231" s="158">
        <v>444037</v>
      </c>
      <c r="AA231" s="159">
        <v>2376934</v>
      </c>
      <c r="AB231" s="159">
        <v>2712135</v>
      </c>
      <c r="AC231" s="157">
        <v>0</v>
      </c>
      <c r="AD231" s="158">
        <v>0</v>
      </c>
      <c r="AE231" s="157">
        <v>0</v>
      </c>
      <c r="AF231" s="158">
        <v>0</v>
      </c>
      <c r="AG231" s="157">
        <v>76058.630000000587</v>
      </c>
      <c r="AH231" s="158">
        <v>116661.68000000025</v>
      </c>
      <c r="AI231" s="157">
        <v>528056.42999999993</v>
      </c>
      <c r="AJ231" s="158">
        <v>3802132.0900000003</v>
      </c>
      <c r="AK231" s="154">
        <v>0</v>
      </c>
      <c r="AL231" s="156">
        <v>0</v>
      </c>
      <c r="AM231" s="154">
        <v>9.757843074994799E-3</v>
      </c>
      <c r="AN231" s="156">
        <v>1.2828650254309567E-2</v>
      </c>
      <c r="AO231" s="154">
        <v>6.7746313320157556E-2</v>
      </c>
      <c r="AP231" s="156">
        <v>0.41809978052173569</v>
      </c>
      <c r="AQ231" s="154">
        <v>0.87434999999999996</v>
      </c>
      <c r="AR231" s="155">
        <v>0.66744000000000003</v>
      </c>
      <c r="AS231" s="156">
        <v>0.77090000000000003</v>
      </c>
    </row>
    <row r="232" spans="1:45" x14ac:dyDescent="0.2">
      <c r="A232" s="152">
        <v>7407</v>
      </c>
      <c r="B232" s="153" t="s">
        <v>269</v>
      </c>
      <c r="C232" s="154">
        <v>0.20995823146332401</v>
      </c>
      <c r="D232" s="156">
        <v>0.23482335974368423</v>
      </c>
      <c r="E232" s="154">
        <v>0.47604432283995973</v>
      </c>
      <c r="F232" s="156">
        <v>0.43899549932608278</v>
      </c>
      <c r="G232" s="154">
        <v>3.3556912160559157E-2</v>
      </c>
      <c r="H232" s="156">
        <v>4.1638648305481474E-2</v>
      </c>
      <c r="I232" s="154">
        <v>0</v>
      </c>
      <c r="J232" s="156">
        <v>0</v>
      </c>
      <c r="K232" s="157">
        <v>0</v>
      </c>
      <c r="L232" s="158">
        <v>0</v>
      </c>
      <c r="M232" s="154">
        <v>0</v>
      </c>
      <c r="N232" s="156">
        <v>0</v>
      </c>
      <c r="O232" s="157">
        <v>61.546666666666667</v>
      </c>
      <c r="P232" s="158">
        <v>58.556962025316459</v>
      </c>
      <c r="Q232" s="154">
        <v>0.47673627322449036</v>
      </c>
      <c r="R232" s="156">
        <v>0.45811989406776543</v>
      </c>
      <c r="S232" s="154">
        <v>0.24612881479949783</v>
      </c>
      <c r="T232" s="156">
        <v>0.31672544163356486</v>
      </c>
      <c r="U232" s="157">
        <v>1431908</v>
      </c>
      <c r="V232" s="158">
        <v>1983865</v>
      </c>
      <c r="W232" s="157">
        <v>6581899</v>
      </c>
      <c r="X232" s="158">
        <v>8157668</v>
      </c>
      <c r="Y232" s="157">
        <v>228857</v>
      </c>
      <c r="Z232" s="158">
        <v>351777</v>
      </c>
      <c r="AA232" s="159">
        <v>2045521</v>
      </c>
      <c r="AB232" s="159">
        <v>2397548</v>
      </c>
      <c r="AC232" s="157">
        <v>0</v>
      </c>
      <c r="AD232" s="158">
        <v>0</v>
      </c>
      <c r="AE232" s="157">
        <v>0</v>
      </c>
      <c r="AF232" s="158">
        <v>0</v>
      </c>
      <c r="AG232" s="157">
        <v>83027.3900000008</v>
      </c>
      <c r="AH232" s="158">
        <v>80560.950000000477</v>
      </c>
      <c r="AI232" s="157">
        <v>2206797.83</v>
      </c>
      <c r="AJ232" s="158">
        <v>17042424.270000003</v>
      </c>
      <c r="AK232" s="154">
        <v>0</v>
      </c>
      <c r="AL232" s="156">
        <v>0</v>
      </c>
      <c r="AM232" s="154">
        <v>1.397238486640341E-2</v>
      </c>
      <c r="AN232" s="156">
        <v>1.1650060657402232E-2</v>
      </c>
      <c r="AO232" s="154">
        <v>0.37137417667957034</v>
      </c>
      <c r="AP232" s="156">
        <v>2.4645349452145586</v>
      </c>
      <c r="AQ232" s="154">
        <v>0.62585000000000002</v>
      </c>
      <c r="AR232" s="155">
        <v>0.62339999999999995</v>
      </c>
      <c r="AS232" s="156">
        <v>0.62460000000000004</v>
      </c>
    </row>
    <row r="233" spans="1:45" x14ac:dyDescent="0.2">
      <c r="A233" s="152">
        <v>7408</v>
      </c>
      <c r="B233" s="153" t="s">
        <v>270</v>
      </c>
      <c r="C233" s="154">
        <v>0.14499547000199159</v>
      </c>
      <c r="D233" s="156">
        <v>0.145619894182384</v>
      </c>
      <c r="E233" s="154">
        <v>0.3377975648646922</v>
      </c>
      <c r="F233" s="156">
        <v>0.33886933483751314</v>
      </c>
      <c r="G233" s="154">
        <v>-7.8860042468708286E-2</v>
      </c>
      <c r="H233" s="156">
        <v>1.336004622349966E-2</v>
      </c>
      <c r="I233" s="154">
        <v>1.703907860665934E-2</v>
      </c>
      <c r="J233" s="156">
        <v>3.565061847662795E-3</v>
      </c>
      <c r="K233" s="157">
        <v>8</v>
      </c>
      <c r="L233" s="158">
        <v>2</v>
      </c>
      <c r="M233" s="154">
        <v>0</v>
      </c>
      <c r="N233" s="156">
        <v>0</v>
      </c>
      <c r="O233" s="157">
        <v>300.97560975609758</v>
      </c>
      <c r="P233" s="158">
        <v>286.95348837209303</v>
      </c>
      <c r="Q233" s="154">
        <v>0.52492465683341372</v>
      </c>
      <c r="R233" s="156">
        <v>0.51752436515932365</v>
      </c>
      <c r="S233" s="154">
        <v>0.22479909720527316</v>
      </c>
      <c r="T233" s="156">
        <v>0.27821426557282891</v>
      </c>
      <c r="U233" s="157">
        <v>3933604</v>
      </c>
      <c r="V233" s="158">
        <v>5000729</v>
      </c>
      <c r="W233" s="157">
        <v>29094543</v>
      </c>
      <c r="X233" s="158">
        <v>33849871</v>
      </c>
      <c r="Y233" s="157">
        <v>-2139406</v>
      </c>
      <c r="Z233" s="158">
        <v>458797</v>
      </c>
      <c r="AA233" s="159">
        <v>6972411</v>
      </c>
      <c r="AB233" s="159">
        <v>7437878</v>
      </c>
      <c r="AC233" s="157">
        <v>94020</v>
      </c>
      <c r="AD233" s="158">
        <v>23496</v>
      </c>
      <c r="AE233" s="157">
        <v>0</v>
      </c>
      <c r="AF233" s="158">
        <v>0</v>
      </c>
      <c r="AG233" s="157">
        <v>376243.0199999999</v>
      </c>
      <c r="AH233" s="158">
        <v>5433924.5200000005</v>
      </c>
      <c r="AI233" s="157">
        <v>16666261.390000001</v>
      </c>
      <c r="AJ233" s="158">
        <v>10466348.870000003</v>
      </c>
      <c r="AK233" s="154">
        <v>0</v>
      </c>
      <c r="AL233" s="156">
        <v>0</v>
      </c>
      <c r="AM233" s="154">
        <v>1.8557987301218069E-2</v>
      </c>
      <c r="AN233" s="156">
        <v>0.21787147994245454</v>
      </c>
      <c r="AO233" s="154">
        <v>0.82205449880346237</v>
      </c>
      <c r="AP233" s="156">
        <v>0.41964493792801838</v>
      </c>
      <c r="AQ233" s="154">
        <v>0.89642999999999995</v>
      </c>
      <c r="AR233" s="155">
        <v>0.71987999999999996</v>
      </c>
      <c r="AS233" s="156">
        <v>0.80820000000000003</v>
      </c>
    </row>
    <row r="234" spans="1:45" x14ac:dyDescent="0.2">
      <c r="A234" s="152">
        <v>7409</v>
      </c>
      <c r="B234" s="153" t="s">
        <v>271</v>
      </c>
      <c r="C234" s="154">
        <v>0.28005855672394114</v>
      </c>
      <c r="D234" s="156">
        <v>0.2429460147886254</v>
      </c>
      <c r="E234" s="154">
        <v>0.63877947170669858</v>
      </c>
      <c r="F234" s="156">
        <v>0.52468450706619185</v>
      </c>
      <c r="G234" s="154">
        <v>-3.3970810135395754E-2</v>
      </c>
      <c r="H234" s="156">
        <v>-9.9063418537795614E-2</v>
      </c>
      <c r="I234" s="154">
        <v>0.17545836293841696</v>
      </c>
      <c r="J234" s="156">
        <v>0.12980297053775514</v>
      </c>
      <c r="K234" s="157">
        <v>119</v>
      </c>
      <c r="L234" s="158">
        <v>81</v>
      </c>
      <c r="M234" s="154">
        <v>0</v>
      </c>
      <c r="N234" s="156">
        <v>0</v>
      </c>
      <c r="O234" s="157">
        <v>176.19565217391303</v>
      </c>
      <c r="P234" s="158">
        <v>168.17894736842106</v>
      </c>
      <c r="Q234" s="154">
        <v>0.57410528067812194</v>
      </c>
      <c r="R234" s="156">
        <v>0.59346032527742421</v>
      </c>
      <c r="S234" s="154">
        <v>0.20122435571375366</v>
      </c>
      <c r="T234" s="156">
        <v>0.22003414299016058</v>
      </c>
      <c r="U234" s="157">
        <v>9658352</v>
      </c>
      <c r="V234" s="158">
        <v>8643768</v>
      </c>
      <c r="W234" s="157">
        <v>35591944</v>
      </c>
      <c r="X234" s="158">
        <v>39400767</v>
      </c>
      <c r="Y234" s="157">
        <v>-1171548</v>
      </c>
      <c r="Z234" s="158">
        <v>-3524574</v>
      </c>
      <c r="AA234" s="159">
        <v>8979431</v>
      </c>
      <c r="AB234" s="159">
        <v>4835945</v>
      </c>
      <c r="AC234" s="157">
        <v>1933069</v>
      </c>
      <c r="AD234" s="158">
        <v>1298389</v>
      </c>
      <c r="AE234" s="157">
        <v>0</v>
      </c>
      <c r="AF234" s="158">
        <v>0</v>
      </c>
      <c r="AG234" s="157">
        <v>610701.85000000044</v>
      </c>
      <c r="AH234" s="158">
        <v>4601960.3599999975</v>
      </c>
      <c r="AI234" s="157">
        <v>18858966.330000002</v>
      </c>
      <c r="AJ234" s="158">
        <v>16907419.799999997</v>
      </c>
      <c r="AK234" s="154">
        <v>0</v>
      </c>
      <c r="AL234" s="156">
        <v>0</v>
      </c>
      <c r="AM234" s="154">
        <v>2.3357486413151586E-2</v>
      </c>
      <c r="AN234" s="156">
        <v>0.14832056326975587</v>
      </c>
      <c r="AO234" s="154">
        <v>0.72129804391301244</v>
      </c>
      <c r="AP234" s="156">
        <v>0.54492386548375749</v>
      </c>
      <c r="AQ234" s="154">
        <v>0.89609000000000005</v>
      </c>
      <c r="AR234" s="155">
        <v>0.78820000000000001</v>
      </c>
      <c r="AS234" s="156">
        <v>0.84209999999999996</v>
      </c>
    </row>
    <row r="235" spans="1:45" x14ac:dyDescent="0.2">
      <c r="A235" s="152">
        <v>7410</v>
      </c>
      <c r="B235" s="153" t="s">
        <v>262</v>
      </c>
      <c r="C235" s="154">
        <v>0.24921600500078689</v>
      </c>
      <c r="D235" s="156">
        <v>0.22469341299616097</v>
      </c>
      <c r="E235" s="154">
        <v>0.84824495081831131</v>
      </c>
      <c r="F235" s="156">
        <v>0.79732089820132401</v>
      </c>
      <c r="G235" s="154">
        <v>-2.8201483750598756E-2</v>
      </c>
      <c r="H235" s="156">
        <v>1.8092730171820729E-2</v>
      </c>
      <c r="I235" s="154">
        <v>0.45288532165002715</v>
      </c>
      <c r="J235" s="156">
        <v>0.27676258568066303</v>
      </c>
      <c r="K235" s="157">
        <v>204</v>
      </c>
      <c r="L235" s="158">
        <v>136</v>
      </c>
      <c r="M235" s="154">
        <v>2.5303842044801242E-4</v>
      </c>
      <c r="N235" s="156">
        <v>7.4169068569566307E-3</v>
      </c>
      <c r="O235" s="157">
        <v>405.52840909090907</v>
      </c>
      <c r="P235" s="158">
        <v>402.11299435028246</v>
      </c>
      <c r="Q235" s="154">
        <v>0.60303986328862558</v>
      </c>
      <c r="R235" s="156">
        <v>0.60578025367976862</v>
      </c>
      <c r="S235" s="154">
        <v>0.10141656474986441</v>
      </c>
      <c r="T235" s="156">
        <v>0.11340718871786443</v>
      </c>
      <c r="U235" s="157">
        <v>56813903</v>
      </c>
      <c r="V235" s="158">
        <v>62079445</v>
      </c>
      <c r="W235" s="157">
        <v>229479662</v>
      </c>
      <c r="X235" s="158">
        <v>278128762</v>
      </c>
      <c r="Y235" s="157">
        <v>-6429107</v>
      </c>
      <c r="Z235" s="158">
        <v>4998752</v>
      </c>
      <c r="AA235" s="159">
        <v>35116461</v>
      </c>
      <c r="AB235" s="159">
        <v>33304324</v>
      </c>
      <c r="AC235" s="157">
        <v>29180716</v>
      </c>
      <c r="AD235" s="158">
        <v>19290337</v>
      </c>
      <c r="AE235" s="157">
        <v>16304</v>
      </c>
      <c r="AF235" s="158">
        <v>516958</v>
      </c>
      <c r="AG235" s="157">
        <v>5259865.2400000021</v>
      </c>
      <c r="AH235" s="158">
        <v>6840302.5899999887</v>
      </c>
      <c r="AI235" s="157">
        <v>147533563.44999999</v>
      </c>
      <c r="AJ235" s="158">
        <v>135150332.24000001</v>
      </c>
      <c r="AK235" s="154">
        <v>7.1047690492066355E-5</v>
      </c>
      <c r="AL235" s="156">
        <v>1.8587002519358281E-3</v>
      </c>
      <c r="AM235" s="154">
        <v>2.8659553804321152E-2</v>
      </c>
      <c r="AN235" s="156">
        <v>3.1235510104277005E-2</v>
      </c>
      <c r="AO235" s="154">
        <v>0.80386966332972087</v>
      </c>
      <c r="AP235" s="156">
        <v>0.6171495358188418</v>
      </c>
      <c r="AQ235" s="154">
        <v>0.87192000000000003</v>
      </c>
      <c r="AR235" s="155">
        <v>0.79800000000000004</v>
      </c>
      <c r="AS235" s="156">
        <v>0.83499999999999996</v>
      </c>
    </row>
    <row r="236" spans="1:45" x14ac:dyDescent="0.2">
      <c r="A236" s="152">
        <v>7411</v>
      </c>
      <c r="B236" s="153" t="s">
        <v>272</v>
      </c>
      <c r="C236" s="154">
        <v>0.17510004669094315</v>
      </c>
      <c r="D236" s="156">
        <v>0.13147944072267961</v>
      </c>
      <c r="E236" s="154">
        <v>0.4674745161008747</v>
      </c>
      <c r="F236" s="156">
        <v>0.46783774218872431</v>
      </c>
      <c r="G236" s="154">
        <v>-3.1206762719081096E-2</v>
      </c>
      <c r="H236" s="156">
        <v>2.3384669397204551E-3</v>
      </c>
      <c r="I236" s="154">
        <v>1.3382971390609402</v>
      </c>
      <c r="J236" s="156">
        <v>1.572100579398515</v>
      </c>
      <c r="K236" s="157">
        <v>654</v>
      </c>
      <c r="L236" s="158">
        <v>659</v>
      </c>
      <c r="M236" s="154">
        <v>0.22539209884277192</v>
      </c>
      <c r="N236" s="156">
        <v>0.1230716882562964</v>
      </c>
      <c r="O236" s="157">
        <v>236.4</v>
      </c>
      <c r="P236" s="158">
        <v>232.63576158940398</v>
      </c>
      <c r="Q236" s="154">
        <v>0.59189078713251886</v>
      </c>
      <c r="R236" s="156">
        <v>0.64913160364140277</v>
      </c>
      <c r="S236" s="154">
        <v>0.17526635070007654</v>
      </c>
      <c r="T236" s="156">
        <v>0.14564409768065925</v>
      </c>
      <c r="U236" s="157">
        <v>6335576</v>
      </c>
      <c r="V236" s="158">
        <v>5039245</v>
      </c>
      <c r="W236" s="157">
        <v>37305421</v>
      </c>
      <c r="X236" s="158">
        <v>40206813</v>
      </c>
      <c r="Y236" s="157">
        <v>-1129142</v>
      </c>
      <c r="Z236" s="158">
        <v>89627</v>
      </c>
      <c r="AA236" s="159">
        <v>6468633</v>
      </c>
      <c r="AB236" s="159">
        <v>4624719</v>
      </c>
      <c r="AC236" s="157">
        <v>11587346</v>
      </c>
      <c r="AD236" s="158">
        <v>11573718</v>
      </c>
      <c r="AE236" s="157">
        <v>1951507</v>
      </c>
      <c r="AF236" s="158">
        <v>906047</v>
      </c>
      <c r="AG236" s="157">
        <v>7490227.7299999986</v>
      </c>
      <c r="AH236" s="158">
        <v>8131332.79</v>
      </c>
      <c r="AI236" s="157">
        <v>7728048.0099999998</v>
      </c>
      <c r="AJ236" s="158">
        <v>8591376.5099999998</v>
      </c>
      <c r="AK236" s="154">
        <v>5.2311619804531896E-2</v>
      </c>
      <c r="AL236" s="156">
        <v>2.253466346611456E-2</v>
      </c>
      <c r="AM236" s="154">
        <v>0.2640862078807204</v>
      </c>
      <c r="AN236" s="156">
        <v>0.24191637259653975</v>
      </c>
      <c r="AO236" s="154">
        <v>0.27247114064461803</v>
      </c>
      <c r="AP236" s="156">
        <v>0.25560319502189743</v>
      </c>
      <c r="AQ236" s="154">
        <v>0.82150000000000001</v>
      </c>
      <c r="AR236" s="155">
        <v>0.73687999999999998</v>
      </c>
      <c r="AS236" s="156">
        <v>0.7792</v>
      </c>
    </row>
    <row r="237" spans="1:45" x14ac:dyDescent="0.2">
      <c r="A237" s="152">
        <v>7501</v>
      </c>
      <c r="B237" s="153" t="s">
        <v>274</v>
      </c>
      <c r="C237" s="154">
        <v>0.12525761019935405</v>
      </c>
      <c r="D237" s="156">
        <v>9.7153282859771872E-2</v>
      </c>
      <c r="E237" s="154">
        <v>0.26793642492191755</v>
      </c>
      <c r="F237" s="156">
        <v>0.26212138243991029</v>
      </c>
      <c r="G237" s="154">
        <v>6.2527936470227266E-2</v>
      </c>
      <c r="H237" s="156">
        <v>6.6490771564682374E-2</v>
      </c>
      <c r="I237" s="154">
        <v>4.4751615117323708E-4</v>
      </c>
      <c r="J237" s="156">
        <v>0</v>
      </c>
      <c r="K237" s="157">
        <v>0</v>
      </c>
      <c r="L237" s="158">
        <v>0</v>
      </c>
      <c r="M237" s="154">
        <v>0</v>
      </c>
      <c r="N237" s="156">
        <v>0</v>
      </c>
      <c r="O237" s="157">
        <v>56.87341772151899</v>
      </c>
      <c r="P237" s="158">
        <v>56.759493670886073</v>
      </c>
      <c r="Q237" s="154">
        <v>0.51904566027529875</v>
      </c>
      <c r="R237" s="156">
        <v>0.61245476541217159</v>
      </c>
      <c r="S237" s="154">
        <v>0.27569798112737487</v>
      </c>
      <c r="T237" s="156">
        <v>0.18359197875088523</v>
      </c>
      <c r="U237" s="157">
        <v>1663998</v>
      </c>
      <c r="V237" s="158">
        <v>1315150</v>
      </c>
      <c r="W237" s="157">
        <v>12378988</v>
      </c>
      <c r="X237" s="158">
        <v>12341220</v>
      </c>
      <c r="Y237" s="157">
        <v>830659</v>
      </c>
      <c r="Z237" s="158">
        <v>900076</v>
      </c>
      <c r="AA237" s="159">
        <v>3819261</v>
      </c>
      <c r="AB237" s="159">
        <v>4695282</v>
      </c>
      <c r="AC237" s="157">
        <v>1334</v>
      </c>
      <c r="AD237" s="158">
        <v>0</v>
      </c>
      <c r="AE237" s="157">
        <v>0</v>
      </c>
      <c r="AF237" s="158">
        <v>0</v>
      </c>
      <c r="AG237" s="157">
        <v>116409.8600000013</v>
      </c>
      <c r="AH237" s="158">
        <v>1107815.7400000012</v>
      </c>
      <c r="AI237" s="157">
        <v>4055233.4600000004</v>
      </c>
      <c r="AJ237" s="158">
        <v>3011977.0199999986</v>
      </c>
      <c r="AK237" s="154">
        <v>0</v>
      </c>
      <c r="AL237" s="156">
        <v>0</v>
      </c>
      <c r="AM237" s="154">
        <v>1.1736760311493982E-2</v>
      </c>
      <c r="AN237" s="156">
        <v>0.10005021766799616</v>
      </c>
      <c r="AO237" s="154">
        <v>0.40885972311254304</v>
      </c>
      <c r="AP237" s="156">
        <v>0.27202082944046446</v>
      </c>
      <c r="AQ237" s="154">
        <v>0.69159999999999999</v>
      </c>
      <c r="AR237" s="155">
        <v>0.70889000000000002</v>
      </c>
      <c r="AS237" s="156">
        <v>0.70020000000000004</v>
      </c>
    </row>
    <row r="238" spans="1:45" x14ac:dyDescent="0.2">
      <c r="A238" s="152">
        <v>7502</v>
      </c>
      <c r="B238" s="153" t="s">
        <v>275</v>
      </c>
      <c r="C238" s="154">
        <v>0.17024686509510567</v>
      </c>
      <c r="D238" s="156">
        <v>0.17025531327901458</v>
      </c>
      <c r="E238" s="154">
        <v>0.53109794523304477</v>
      </c>
      <c r="F238" s="156">
        <v>0.59315544590497149</v>
      </c>
      <c r="G238" s="154">
        <v>-8.6821845679865756E-2</v>
      </c>
      <c r="H238" s="156">
        <v>-3.331158294607707E-2</v>
      </c>
      <c r="I238" s="154">
        <v>3.1857406115342851E-2</v>
      </c>
      <c r="J238" s="156">
        <v>9.5204645258458953E-2</v>
      </c>
      <c r="K238" s="157">
        <v>14</v>
      </c>
      <c r="L238" s="158">
        <v>47</v>
      </c>
      <c r="M238" s="154">
        <v>0</v>
      </c>
      <c r="N238" s="156">
        <v>0</v>
      </c>
      <c r="O238" s="157">
        <v>162.35714285714286</v>
      </c>
      <c r="P238" s="158">
        <v>161.44897959183675</v>
      </c>
      <c r="Q238" s="154">
        <v>0.65469085187772136</v>
      </c>
      <c r="R238" s="156">
        <v>0.7028977119190345</v>
      </c>
      <c r="S238" s="154">
        <v>0.12979718598370596</v>
      </c>
      <c r="T238" s="156">
        <v>8.5009232066314722E-2</v>
      </c>
      <c r="U238" s="157">
        <v>4328461</v>
      </c>
      <c r="V238" s="158">
        <v>5088782</v>
      </c>
      <c r="W238" s="157">
        <v>27322372</v>
      </c>
      <c r="X238" s="158">
        <v>30866871</v>
      </c>
      <c r="Y238" s="157">
        <v>-2207412</v>
      </c>
      <c r="Z238" s="158">
        <v>-995654</v>
      </c>
      <c r="AA238" s="159">
        <v>3505363</v>
      </c>
      <c r="AB238" s="159">
        <v>2942100</v>
      </c>
      <c r="AC238" s="157">
        <v>222956</v>
      </c>
      <c r="AD238" s="158">
        <v>739329</v>
      </c>
      <c r="AE238" s="157">
        <v>0</v>
      </c>
      <c r="AF238" s="158">
        <v>0</v>
      </c>
      <c r="AG238" s="157">
        <v>288787.8699999993</v>
      </c>
      <c r="AH238" s="158">
        <v>351664.1</v>
      </c>
      <c r="AI238" s="157">
        <v>14332170.93</v>
      </c>
      <c r="AJ238" s="158">
        <v>15748415.140000001</v>
      </c>
      <c r="AK238" s="154">
        <v>0</v>
      </c>
      <c r="AL238" s="156">
        <v>0</v>
      </c>
      <c r="AM238" s="154">
        <v>1.2507703193422617E-2</v>
      </c>
      <c r="AN238" s="156">
        <v>1.3443891350646896E-2</v>
      </c>
      <c r="AO238" s="154">
        <v>0.62074123857709196</v>
      </c>
      <c r="AP238" s="156">
        <v>0.60205173654928856</v>
      </c>
      <c r="AQ238" s="154">
        <v>0.79161999999999999</v>
      </c>
      <c r="AR238" s="155">
        <v>0.68062</v>
      </c>
      <c r="AS238" s="156">
        <v>0.73609999999999998</v>
      </c>
    </row>
    <row r="239" spans="1:45" x14ac:dyDescent="0.2">
      <c r="A239" s="152">
        <v>7503</v>
      </c>
      <c r="B239" s="153" t="s">
        <v>276</v>
      </c>
      <c r="C239" s="154">
        <v>0.10039314979708062</v>
      </c>
      <c r="D239" s="156">
        <v>0.10996385486583186</v>
      </c>
      <c r="E239" s="154">
        <v>0.33205949428418302</v>
      </c>
      <c r="F239" s="156">
        <v>0.24225428625878118</v>
      </c>
      <c r="G239" s="154">
        <v>7.5759190462229883E-2</v>
      </c>
      <c r="H239" s="156">
        <v>-0.10058234711101424</v>
      </c>
      <c r="I239" s="154">
        <v>0</v>
      </c>
      <c r="J239" s="156">
        <v>7.8259613706615203E-2</v>
      </c>
      <c r="K239" s="157">
        <v>0</v>
      </c>
      <c r="L239" s="158">
        <v>29</v>
      </c>
      <c r="M239" s="154">
        <v>6.9091749287674411E-3</v>
      </c>
      <c r="N239" s="156">
        <v>3.1092224586938076E-2</v>
      </c>
      <c r="O239" s="157">
        <v>129.10843373493975</v>
      </c>
      <c r="P239" s="158">
        <v>128</v>
      </c>
      <c r="Q239" s="154">
        <v>0.5719711900971316</v>
      </c>
      <c r="R239" s="156">
        <v>0.54058394964286127</v>
      </c>
      <c r="S239" s="154">
        <v>0.13000938585831515</v>
      </c>
      <c r="T239" s="156">
        <v>0.26558317446286805</v>
      </c>
      <c r="U239" s="157">
        <v>968412</v>
      </c>
      <c r="V239" s="158">
        <v>1105932</v>
      </c>
      <c r="W239" s="157">
        <v>8820717</v>
      </c>
      <c r="X239" s="158">
        <v>11061947</v>
      </c>
      <c r="Y239" s="157">
        <v>730788</v>
      </c>
      <c r="Z239" s="158">
        <v>-1011580</v>
      </c>
      <c r="AA239" s="159">
        <v>3065925</v>
      </c>
      <c r="AB239" s="159">
        <v>2188337</v>
      </c>
      <c r="AC239" s="157">
        <v>0</v>
      </c>
      <c r="AD239" s="158">
        <v>156060</v>
      </c>
      <c r="AE239" s="157">
        <v>12619</v>
      </c>
      <c r="AF239" s="158">
        <v>62002</v>
      </c>
      <c r="AG239" s="157">
        <v>134943.67000000013</v>
      </c>
      <c r="AH239" s="158">
        <v>2167697.06</v>
      </c>
      <c r="AI239" s="157">
        <v>2768875.4800000004</v>
      </c>
      <c r="AJ239" s="158">
        <v>15804004.42</v>
      </c>
      <c r="AK239" s="154">
        <v>1.4306093257498227E-3</v>
      </c>
      <c r="AL239" s="156">
        <v>5.6049807506761695E-3</v>
      </c>
      <c r="AM239" s="154">
        <v>1.8787519545436275E-2</v>
      </c>
      <c r="AN239" s="156">
        <v>0.25143228677029644</v>
      </c>
      <c r="AO239" s="154">
        <v>0.38549642379949506</v>
      </c>
      <c r="AP239" s="156">
        <v>1.8331145272893772</v>
      </c>
      <c r="AQ239" s="154">
        <v>0.77273999999999998</v>
      </c>
      <c r="AR239" s="155">
        <v>0.73319000000000001</v>
      </c>
      <c r="AS239" s="156">
        <v>0.753</v>
      </c>
    </row>
    <row r="240" spans="1:45" x14ac:dyDescent="0.2">
      <c r="A240" s="152">
        <v>7504</v>
      </c>
      <c r="B240" s="153" t="s">
        <v>277</v>
      </c>
      <c r="C240" s="154">
        <v>0.17504536769605927</v>
      </c>
      <c r="D240" s="156">
        <v>0.18482816892852968</v>
      </c>
      <c r="E240" s="154">
        <v>0.40594839343495348</v>
      </c>
      <c r="F240" s="156">
        <v>0.73320688577383186</v>
      </c>
      <c r="G240" s="154">
        <v>-0.13016361694867398</v>
      </c>
      <c r="H240" s="156">
        <v>2.1124584662334637E-2</v>
      </c>
      <c r="I240" s="154">
        <v>0.43780295963996524</v>
      </c>
      <c r="J240" s="156">
        <v>0.2768044432865655</v>
      </c>
      <c r="K240" s="157">
        <v>195</v>
      </c>
      <c r="L240" s="158">
        <v>141</v>
      </c>
      <c r="M240" s="154">
        <v>4.0641501871280163E-2</v>
      </c>
      <c r="N240" s="156">
        <v>1.5270475948686173E-4</v>
      </c>
      <c r="O240" s="157">
        <v>199.43243243243242</v>
      </c>
      <c r="P240" s="158">
        <v>169.53488372093022</v>
      </c>
      <c r="Q240" s="154">
        <v>0.54684677928813297</v>
      </c>
      <c r="R240" s="156">
        <v>0.66766344084958174</v>
      </c>
      <c r="S240" s="154">
        <v>0.22570162485821232</v>
      </c>
      <c r="T240" s="156">
        <v>6.4059672371918869E-2</v>
      </c>
      <c r="U240" s="157">
        <v>7521314</v>
      </c>
      <c r="V240" s="158">
        <v>8787442</v>
      </c>
      <c r="W240" s="157">
        <v>48259657</v>
      </c>
      <c r="X240" s="158">
        <v>46718706</v>
      </c>
      <c r="Y240" s="157">
        <v>-5592844</v>
      </c>
      <c r="Z240" s="158">
        <v>1004344</v>
      </c>
      <c r="AA240" s="159">
        <v>3679989</v>
      </c>
      <c r="AB240" s="159">
        <v>3351070</v>
      </c>
      <c r="AC240" s="157">
        <v>4320990</v>
      </c>
      <c r="AD240" s="158">
        <v>3083364</v>
      </c>
      <c r="AE240" s="157">
        <v>401120</v>
      </c>
      <c r="AF240" s="158">
        <v>1701</v>
      </c>
      <c r="AG240" s="157">
        <v>1346484.2699999993</v>
      </c>
      <c r="AH240" s="158">
        <v>7038163.3899999978</v>
      </c>
      <c r="AI240" s="157">
        <v>5515970.4799999986</v>
      </c>
      <c r="AJ240" s="158">
        <v>12366508.870000001</v>
      </c>
      <c r="AK240" s="154">
        <v>8.3117043289387647E-3</v>
      </c>
      <c r="AL240" s="156">
        <v>3.6409398839085995E-5</v>
      </c>
      <c r="AM240" s="154">
        <v>3.8226919918734815E-2</v>
      </c>
      <c r="AN240" s="156">
        <v>0.17325934746697658</v>
      </c>
      <c r="AO240" s="154">
        <v>0.15659935025684726</v>
      </c>
      <c r="AP240" s="156">
        <v>0.30442789383165747</v>
      </c>
      <c r="AQ240" s="154">
        <v>0.83026999999999995</v>
      </c>
      <c r="AR240" s="155">
        <v>0.73617999999999995</v>
      </c>
      <c r="AS240" s="156">
        <v>0.78320000000000001</v>
      </c>
    </row>
    <row r="241" spans="1:45" x14ac:dyDescent="0.2">
      <c r="A241" s="152">
        <v>7505</v>
      </c>
      <c r="B241" s="153" t="s">
        <v>273</v>
      </c>
      <c r="C241" s="154">
        <v>0.17816194023734583</v>
      </c>
      <c r="D241" s="156">
        <v>0.16387637505879901</v>
      </c>
      <c r="E241" s="154">
        <v>0.45786324882375962</v>
      </c>
      <c r="F241" s="156">
        <v>0.46198818050109841</v>
      </c>
      <c r="G241" s="154">
        <v>-2.6501208011152976E-2</v>
      </c>
      <c r="H241" s="156">
        <v>7.0525654950831093E-3</v>
      </c>
      <c r="I241" s="154">
        <v>0.12560988058244907</v>
      </c>
      <c r="J241" s="156">
        <v>8.0012030396494196E-2</v>
      </c>
      <c r="K241" s="157">
        <v>55</v>
      </c>
      <c r="L241" s="158">
        <v>37</v>
      </c>
      <c r="M241" s="154">
        <v>0</v>
      </c>
      <c r="N241" s="156">
        <v>0</v>
      </c>
      <c r="O241" s="157">
        <v>412.83760683760681</v>
      </c>
      <c r="P241" s="158">
        <v>422.11403508771929</v>
      </c>
      <c r="Q241" s="154">
        <v>0.60964614387722127</v>
      </c>
      <c r="R241" s="156">
        <v>0.64905971689529385</v>
      </c>
      <c r="S241" s="154">
        <v>0.1357708470735306</v>
      </c>
      <c r="T241" s="156">
        <v>0.11478171804142449</v>
      </c>
      <c r="U241" s="157">
        <v>16582181</v>
      </c>
      <c r="V241" s="158">
        <v>17990473</v>
      </c>
      <c r="W241" s="157">
        <v>95593909</v>
      </c>
      <c r="X241" s="158">
        <v>108764211</v>
      </c>
      <c r="Y241" s="157">
        <v>-2466564</v>
      </c>
      <c r="Z241" s="158">
        <v>774236</v>
      </c>
      <c r="AA241" s="159">
        <v>15288002</v>
      </c>
      <c r="AB241" s="159">
        <v>15735400</v>
      </c>
      <c r="AC241" s="157">
        <v>2654260</v>
      </c>
      <c r="AD241" s="158">
        <v>1803437</v>
      </c>
      <c r="AE241" s="157">
        <v>0</v>
      </c>
      <c r="AF241" s="158">
        <v>0</v>
      </c>
      <c r="AG241" s="157">
        <v>590142.4099999941</v>
      </c>
      <c r="AH241" s="158">
        <v>1751620.1500000036</v>
      </c>
      <c r="AI241" s="157">
        <v>32068639.460000001</v>
      </c>
      <c r="AJ241" s="158">
        <v>53153550.079999998</v>
      </c>
      <c r="AK241" s="154">
        <v>0</v>
      </c>
      <c r="AL241" s="156">
        <v>0</v>
      </c>
      <c r="AM241" s="154">
        <v>8.1288679683646555E-3</v>
      </c>
      <c r="AN241" s="156">
        <v>2.0296989066229586E-2</v>
      </c>
      <c r="AO241" s="154">
        <v>0.44172683013144476</v>
      </c>
      <c r="AP241" s="156">
        <v>0.61591951017750313</v>
      </c>
      <c r="AQ241" s="154">
        <v>0.88741000000000003</v>
      </c>
      <c r="AR241" s="155">
        <v>0.71282999999999996</v>
      </c>
      <c r="AS241" s="156">
        <v>0.80010000000000003</v>
      </c>
    </row>
    <row r="242" spans="1:45" x14ac:dyDescent="0.2">
      <c r="A242" s="152">
        <v>7601</v>
      </c>
      <c r="B242" s="153" t="s">
        <v>279</v>
      </c>
      <c r="C242" s="154">
        <v>0.33165534028073806</v>
      </c>
      <c r="D242" s="156">
        <v>0.26498725210442436</v>
      </c>
      <c r="E242" s="154">
        <v>0.96036181891772665</v>
      </c>
      <c r="F242" s="156">
        <v>0.6225022786521649</v>
      </c>
      <c r="G242" s="154">
        <v>9.4959209152387144E-3</v>
      </c>
      <c r="H242" s="156">
        <v>-6.795032069001572E-2</v>
      </c>
      <c r="I242" s="154">
        <v>0.19919679142074997</v>
      </c>
      <c r="J242" s="156">
        <v>0.11621424979739015</v>
      </c>
      <c r="K242" s="157">
        <v>128</v>
      </c>
      <c r="L242" s="158">
        <v>60</v>
      </c>
      <c r="M242" s="154">
        <v>0</v>
      </c>
      <c r="N242" s="156">
        <v>0</v>
      </c>
      <c r="O242" s="157">
        <v>280.11612903225807</v>
      </c>
      <c r="P242" s="158">
        <v>277.03870967741938</v>
      </c>
      <c r="Q242" s="154">
        <v>0.59677880493875834</v>
      </c>
      <c r="R242" s="156">
        <v>0.58878716111221274</v>
      </c>
      <c r="S242" s="154">
        <v>0.12022808032428323</v>
      </c>
      <c r="T242" s="156">
        <v>0.12937939564081782</v>
      </c>
      <c r="U242" s="157">
        <v>23862549</v>
      </c>
      <c r="V242" s="158">
        <v>18338482</v>
      </c>
      <c r="W242" s="157">
        <v>67448694</v>
      </c>
      <c r="X242" s="158">
        <v>78761838</v>
      </c>
      <c r="Y242" s="157">
        <v>683230</v>
      </c>
      <c r="Z242" s="158">
        <v>-4702512</v>
      </c>
      <c r="AA242" s="159">
        <v>15528497</v>
      </c>
      <c r="AB242" s="159">
        <v>7805173</v>
      </c>
      <c r="AC242" s="157">
        <v>5542780</v>
      </c>
      <c r="AD242" s="158">
        <v>2591750</v>
      </c>
      <c r="AE242" s="157">
        <v>0</v>
      </c>
      <c r="AF242" s="158">
        <v>0</v>
      </c>
      <c r="AG242" s="157">
        <v>2554993.7099999995</v>
      </c>
      <c r="AH242" s="158">
        <v>1747094.4000000022</v>
      </c>
      <c r="AI242" s="157">
        <v>16208007.859999999</v>
      </c>
      <c r="AJ242" s="158">
        <v>40098037.149999999</v>
      </c>
      <c r="AK242" s="154">
        <v>0</v>
      </c>
      <c r="AL242" s="156">
        <v>0</v>
      </c>
      <c r="AM242" s="154">
        <v>4.7860607949604728E-2</v>
      </c>
      <c r="AN242" s="156">
        <v>2.7652532274791905E-2</v>
      </c>
      <c r="AO242" s="154">
        <v>0.3036113579440366</v>
      </c>
      <c r="AP242" s="156">
        <v>0.63466076386380632</v>
      </c>
      <c r="AQ242" s="154">
        <v>0.84909999999999997</v>
      </c>
      <c r="AR242" s="155">
        <v>0.77036000000000004</v>
      </c>
      <c r="AS242" s="156">
        <v>0.80969999999999998</v>
      </c>
    </row>
    <row r="243" spans="1:45" x14ac:dyDescent="0.2">
      <c r="A243" s="152">
        <v>7602</v>
      </c>
      <c r="B243" s="153" t="s">
        <v>280</v>
      </c>
      <c r="C243" s="154">
        <v>0.1438845364484779</v>
      </c>
      <c r="D243" s="156">
        <v>0.13494387937243199</v>
      </c>
      <c r="E243" s="154">
        <v>0.21741126510913036</v>
      </c>
      <c r="F243" s="156">
        <v>0.24898167208529226</v>
      </c>
      <c r="G243" s="154">
        <v>-0.21465394892098394</v>
      </c>
      <c r="H243" s="156">
        <v>-4.1452798533155533E-2</v>
      </c>
      <c r="I243" s="154">
        <v>1.2529931339162017</v>
      </c>
      <c r="J243" s="156">
        <v>0.63431292066570044</v>
      </c>
      <c r="K243" s="157">
        <v>857</v>
      </c>
      <c r="L243" s="158">
        <v>448</v>
      </c>
      <c r="M243" s="154">
        <v>2.2374306558382826E-2</v>
      </c>
      <c r="N243" s="156">
        <v>5.0881335815239855E-2</v>
      </c>
      <c r="O243" s="157">
        <v>101.75510204081633</v>
      </c>
      <c r="P243" s="158">
        <v>102.53061224489795</v>
      </c>
      <c r="Q243" s="154">
        <v>0.4515414040056222</v>
      </c>
      <c r="R243" s="156">
        <v>0.54483551361982963</v>
      </c>
      <c r="S243" s="154">
        <v>0.34710028287353567</v>
      </c>
      <c r="T243" s="156">
        <v>0.26034059780221563</v>
      </c>
      <c r="U243" s="157">
        <v>2049104</v>
      </c>
      <c r="V243" s="158">
        <v>2192008</v>
      </c>
      <c r="W243" s="157">
        <v>16610603</v>
      </c>
      <c r="X243" s="158">
        <v>17268755</v>
      </c>
      <c r="Y243" s="157">
        <v>-3056953</v>
      </c>
      <c r="Z243" s="158">
        <v>-673353</v>
      </c>
      <c r="AA243" s="159">
        <v>4256000</v>
      </c>
      <c r="AB243" s="159">
        <v>1528384</v>
      </c>
      <c r="AC243" s="157">
        <v>4272461</v>
      </c>
      <c r="AD243" s="158">
        <v>2253148</v>
      </c>
      <c r="AE243" s="157">
        <v>76292</v>
      </c>
      <c r="AF243" s="158">
        <v>180736</v>
      </c>
      <c r="AG243" s="157">
        <v>715324.53999999992</v>
      </c>
      <c r="AH243" s="158">
        <v>2996156.6599999992</v>
      </c>
      <c r="AI243" s="157">
        <v>3321050.2300000004</v>
      </c>
      <c r="AJ243" s="158">
        <v>12928304.530000001</v>
      </c>
      <c r="AK243" s="154">
        <v>4.5929699240900524E-3</v>
      </c>
      <c r="AL243" s="156">
        <v>1.0466070078589915E-2</v>
      </c>
      <c r="AM243" s="154">
        <v>5.7861078803147468E-2</v>
      </c>
      <c r="AN243" s="156">
        <v>0.21619261986139135</v>
      </c>
      <c r="AO243" s="154">
        <v>0.26863268114252181</v>
      </c>
      <c r="AP243" s="156">
        <v>0.93286311227350671</v>
      </c>
      <c r="AQ243" s="154">
        <v>0.74212999999999996</v>
      </c>
      <c r="AR243" s="155">
        <v>0.74468999999999996</v>
      </c>
      <c r="AS243" s="156">
        <v>0.74339999999999995</v>
      </c>
    </row>
    <row r="244" spans="1:45" x14ac:dyDescent="0.2">
      <c r="A244" s="152">
        <v>7603</v>
      </c>
      <c r="B244" s="153" t="s">
        <v>281</v>
      </c>
      <c r="C244" s="154">
        <v>0.17148730861315858</v>
      </c>
      <c r="D244" s="156">
        <v>0.10347925550722392</v>
      </c>
      <c r="E244" s="154">
        <v>0.48931778756371291</v>
      </c>
      <c r="F244" s="156">
        <v>0.2153191913312302</v>
      </c>
      <c r="G244" s="154">
        <v>2.5406612733980431E-2</v>
      </c>
      <c r="H244" s="156">
        <v>-1.4570000367649601E-2</v>
      </c>
      <c r="I244" s="154">
        <v>0.15941536107096205</v>
      </c>
      <c r="J244" s="156">
        <v>0.13589701306205501</v>
      </c>
      <c r="K244" s="157">
        <v>76</v>
      </c>
      <c r="L244" s="158">
        <v>60</v>
      </c>
      <c r="M244" s="154">
        <v>9.2219370995292899E-4</v>
      </c>
      <c r="N244" s="156">
        <v>2.9270125890288773E-5</v>
      </c>
      <c r="O244" s="157">
        <v>207.71428571428572</v>
      </c>
      <c r="P244" s="158">
        <v>227.78947368421052</v>
      </c>
      <c r="Q244" s="154">
        <v>0.59938264910120387</v>
      </c>
      <c r="R244" s="156">
        <v>0.48722145445040832</v>
      </c>
      <c r="S244" s="154">
        <v>0.21713453304555863</v>
      </c>
      <c r="T244" s="156">
        <v>0.38212067653585263</v>
      </c>
      <c r="U244" s="157">
        <v>2978128</v>
      </c>
      <c r="V244" s="158">
        <v>2662627</v>
      </c>
      <c r="W244" s="157">
        <v>17205126</v>
      </c>
      <c r="X244" s="158">
        <v>25591371</v>
      </c>
      <c r="Y244" s="157">
        <v>441223</v>
      </c>
      <c r="Z244" s="158">
        <v>-374901</v>
      </c>
      <c r="AA244" s="159">
        <v>4306611</v>
      </c>
      <c r="AB244" s="159">
        <v>3808668</v>
      </c>
      <c r="AC244" s="157">
        <v>660000</v>
      </c>
      <c r="AD244" s="158">
        <v>520000</v>
      </c>
      <c r="AE244" s="157">
        <v>3818</v>
      </c>
      <c r="AF244" s="158">
        <v>112</v>
      </c>
      <c r="AG244" s="157">
        <v>106031.92000000023</v>
      </c>
      <c r="AH244" s="158">
        <v>1138784.2599999981</v>
      </c>
      <c r="AI244" s="157">
        <v>11783336.990000002</v>
      </c>
      <c r="AJ244" s="158">
        <v>7162159.6299999999</v>
      </c>
      <c r="AK244" s="154">
        <v>2.219106096636549E-4</v>
      </c>
      <c r="AL244" s="156">
        <v>4.3764751798565225E-6</v>
      </c>
      <c r="AM244" s="154">
        <v>7.3659288714105105E-3</v>
      </c>
      <c r="AN244" s="156">
        <v>6.4416536385607542E-2</v>
      </c>
      <c r="AO244" s="154">
        <v>0.8185763507460796</v>
      </c>
      <c r="AP244" s="156">
        <v>0.40513513631232068</v>
      </c>
      <c r="AQ244" s="154">
        <v>0.87014000000000002</v>
      </c>
      <c r="AR244" s="155">
        <v>0.77232999999999996</v>
      </c>
      <c r="AS244" s="156">
        <v>0.82120000000000004</v>
      </c>
    </row>
    <row r="245" spans="1:45" x14ac:dyDescent="0.2">
      <c r="A245" s="152">
        <v>7604</v>
      </c>
      <c r="B245" s="153" t="s">
        <v>282</v>
      </c>
      <c r="C245" s="154">
        <v>0.12145225512045743</v>
      </c>
      <c r="D245" s="156">
        <v>6.7331250940638673E-2</v>
      </c>
      <c r="E245" s="154">
        <v>0.26199251484671837</v>
      </c>
      <c r="F245" s="156">
        <v>0.16973491341068639</v>
      </c>
      <c r="G245" s="154">
        <v>4.8389788056730824E-2</v>
      </c>
      <c r="H245" s="156">
        <v>0.21079886026807867</v>
      </c>
      <c r="I245" s="154">
        <v>0</v>
      </c>
      <c r="J245" s="156">
        <v>0</v>
      </c>
      <c r="K245" s="157">
        <v>0</v>
      </c>
      <c r="L245" s="158">
        <v>0</v>
      </c>
      <c r="M245" s="154">
        <v>0</v>
      </c>
      <c r="N245" s="156">
        <v>2.6174456746932044E-3</v>
      </c>
      <c r="O245" s="157">
        <v>45.223880597014926</v>
      </c>
      <c r="P245" s="158">
        <v>54.584615384615383</v>
      </c>
      <c r="Q245" s="154">
        <v>0.53031426544066507</v>
      </c>
      <c r="R245" s="156">
        <v>0.50813312740605854</v>
      </c>
      <c r="S245" s="154">
        <v>0.17520437406750686</v>
      </c>
      <c r="T245" s="156">
        <v>0.25919296837115402</v>
      </c>
      <c r="U245" s="157">
        <v>690022</v>
      </c>
      <c r="V245" s="158">
        <v>553853</v>
      </c>
      <c r="W245" s="157">
        <v>5697763</v>
      </c>
      <c r="X245" s="158">
        <v>6467008</v>
      </c>
      <c r="Y245" s="157">
        <v>274923</v>
      </c>
      <c r="Z245" s="158">
        <v>1733988</v>
      </c>
      <c r="AA245" s="159">
        <v>1350433</v>
      </c>
      <c r="AB245" s="159">
        <v>3085664</v>
      </c>
      <c r="AC245" s="157">
        <v>0</v>
      </c>
      <c r="AD245" s="158">
        <v>0</v>
      </c>
      <c r="AE245" s="157">
        <v>0</v>
      </c>
      <c r="AF245" s="158">
        <v>2950</v>
      </c>
      <c r="AG245" s="157">
        <v>14950.919999999991</v>
      </c>
      <c r="AH245" s="158">
        <v>303405.94</v>
      </c>
      <c r="AI245" s="157">
        <v>933843.39000000013</v>
      </c>
      <c r="AJ245" s="158">
        <v>4178851.6</v>
      </c>
      <c r="AK245" s="154">
        <v>0</v>
      </c>
      <c r="AL245" s="156">
        <v>4.5616148920799232E-4</v>
      </c>
      <c r="AM245" s="154">
        <v>3.3908894787741091E-3</v>
      </c>
      <c r="AN245" s="156">
        <v>5.9433197825422217E-2</v>
      </c>
      <c r="AO245" s="154">
        <v>0.21179698145490375</v>
      </c>
      <c r="AP245" s="156">
        <v>0.81858158026135597</v>
      </c>
      <c r="AQ245" s="154">
        <v>0.73443999999999998</v>
      </c>
      <c r="AR245" s="155">
        <v>0.71340999999999999</v>
      </c>
      <c r="AS245" s="156">
        <v>0.72389999999999999</v>
      </c>
    </row>
    <row r="246" spans="1:45" x14ac:dyDescent="0.2">
      <c r="A246" s="152">
        <v>7605</v>
      </c>
      <c r="B246" s="153" t="s">
        <v>283</v>
      </c>
      <c r="C246" s="154">
        <v>0.23649162757144546</v>
      </c>
      <c r="D246" s="156">
        <v>0.22061175152893689</v>
      </c>
      <c r="E246" s="154">
        <v>0.48931184493371277</v>
      </c>
      <c r="F246" s="156">
        <v>0.43706638520901808</v>
      </c>
      <c r="G246" s="154">
        <v>2.5667744915975895E-2</v>
      </c>
      <c r="H246" s="156">
        <v>-0.14653723518337136</v>
      </c>
      <c r="I246" s="154">
        <v>0.18480231403785161</v>
      </c>
      <c r="J246" s="156">
        <v>0.16935204090524794</v>
      </c>
      <c r="K246" s="157">
        <v>110</v>
      </c>
      <c r="L246" s="158">
        <v>93</v>
      </c>
      <c r="M246" s="154">
        <v>0.22909819359624545</v>
      </c>
      <c r="N246" s="156">
        <v>0.16885450376342617</v>
      </c>
      <c r="O246" s="157">
        <v>148.45945945945945</v>
      </c>
      <c r="P246" s="158">
        <v>149.05405405405406</v>
      </c>
      <c r="Q246" s="154">
        <v>0.51404386175361327</v>
      </c>
      <c r="R246" s="156">
        <v>0.54762810910067661</v>
      </c>
      <c r="S246" s="154">
        <v>0.24979480747782601</v>
      </c>
      <c r="T246" s="156">
        <v>0.23513816546887797</v>
      </c>
      <c r="U246" s="157">
        <v>2587208</v>
      </c>
      <c r="V246" s="158">
        <v>2346279</v>
      </c>
      <c r="W246" s="157">
        <v>11204112</v>
      </c>
      <c r="X246" s="158">
        <v>12181336</v>
      </c>
      <c r="Y246" s="157">
        <v>280804</v>
      </c>
      <c r="Z246" s="158">
        <v>-1558472</v>
      </c>
      <c r="AA246" s="159">
        <v>2272416</v>
      </c>
      <c r="AB246" s="159">
        <v>568962</v>
      </c>
      <c r="AC246" s="157">
        <v>603880</v>
      </c>
      <c r="AD246" s="158">
        <v>514996</v>
      </c>
      <c r="AE246" s="157">
        <v>748626</v>
      </c>
      <c r="AF246" s="158">
        <v>513483</v>
      </c>
      <c r="AG246" s="157">
        <v>908224.16</v>
      </c>
      <c r="AH246" s="158">
        <v>658504.73000000021</v>
      </c>
      <c r="AI246" s="157">
        <v>23315321.440000005</v>
      </c>
      <c r="AJ246" s="158">
        <v>27033483.320000004</v>
      </c>
      <c r="AK246" s="154">
        <v>6.6817075730767422E-2</v>
      </c>
      <c r="AL246" s="156">
        <v>4.2153258066274506E-2</v>
      </c>
      <c r="AM246" s="154">
        <v>9.3053780519204154E-2</v>
      </c>
      <c r="AN246" s="156">
        <v>6.3302618565866192E-2</v>
      </c>
      <c r="AO246" s="154">
        <v>2.3888142372390262</v>
      </c>
      <c r="AP246" s="156">
        <v>2.5987516947868627</v>
      </c>
      <c r="AQ246" s="154">
        <v>0.84243999999999997</v>
      </c>
      <c r="AR246" s="155">
        <v>0.76459999999999995</v>
      </c>
      <c r="AS246" s="156">
        <v>0.80349999999999999</v>
      </c>
    </row>
    <row r="247" spans="1:45" x14ac:dyDescent="0.2">
      <c r="A247" s="152">
        <v>7606</v>
      </c>
      <c r="B247" s="153" t="s">
        <v>284</v>
      </c>
      <c r="C247" s="154">
        <v>0.20492488846291448</v>
      </c>
      <c r="D247" s="156">
        <v>0.19440113098106881</v>
      </c>
      <c r="E247" s="154">
        <v>0.54498539238514776</v>
      </c>
      <c r="F247" s="156">
        <v>0.77740658889271597</v>
      </c>
      <c r="G247" s="154">
        <v>-7.5852272783333008E-3</v>
      </c>
      <c r="H247" s="156">
        <v>4.112678080535237E-2</v>
      </c>
      <c r="I247" s="154">
        <v>0.24295521932463221</v>
      </c>
      <c r="J247" s="156">
        <v>5.7032734136367835E-2</v>
      </c>
      <c r="K247" s="157">
        <v>121</v>
      </c>
      <c r="L247" s="158">
        <v>31</v>
      </c>
      <c r="M247" s="154">
        <v>0</v>
      </c>
      <c r="N247" s="156">
        <v>2.0018073731178507E-2</v>
      </c>
      <c r="O247" s="157">
        <v>200.22549019607843</v>
      </c>
      <c r="P247" s="158">
        <v>239.21176470588236</v>
      </c>
      <c r="Q247" s="154">
        <v>0.6134365048782614</v>
      </c>
      <c r="R247" s="156">
        <v>0.65597160589238757</v>
      </c>
      <c r="S247" s="154">
        <v>0.19263988271028396</v>
      </c>
      <c r="T247" s="156">
        <v>0.15674002887660909</v>
      </c>
      <c r="U247" s="157">
        <v>8307814</v>
      </c>
      <c r="V247" s="158">
        <v>9084443</v>
      </c>
      <c r="W247" s="157">
        <v>41789171</v>
      </c>
      <c r="X247" s="158">
        <v>45454783</v>
      </c>
      <c r="Y247" s="157">
        <v>-307511</v>
      </c>
      <c r="Z247" s="158">
        <v>1921871</v>
      </c>
      <c r="AA247" s="159">
        <v>5632188</v>
      </c>
      <c r="AB247" s="159">
        <v>5750970</v>
      </c>
      <c r="AC247" s="157">
        <v>2460994</v>
      </c>
      <c r="AD247" s="158">
        <v>622087</v>
      </c>
      <c r="AE247" s="157">
        <v>0</v>
      </c>
      <c r="AF247" s="158">
        <v>218348</v>
      </c>
      <c r="AG247" s="157">
        <v>236445.16999999958</v>
      </c>
      <c r="AH247" s="158">
        <v>1064456.2400000007</v>
      </c>
      <c r="AI247" s="157">
        <v>3543130.839999998</v>
      </c>
      <c r="AJ247" s="158">
        <v>11499187.41</v>
      </c>
      <c r="AK247" s="154">
        <v>0</v>
      </c>
      <c r="AL247" s="156">
        <v>4.803630896224936E-3</v>
      </c>
      <c r="AM247" s="154">
        <v>7.6768575338994676E-3</v>
      </c>
      <c r="AN247" s="156">
        <v>2.8934015365151024E-2</v>
      </c>
      <c r="AO247" s="154">
        <v>0.11503770909190313</v>
      </c>
      <c r="AP247" s="156">
        <v>0.31257054325473349</v>
      </c>
      <c r="AQ247" s="154">
        <v>0.88658999999999999</v>
      </c>
      <c r="AR247" s="155">
        <v>0.76161000000000001</v>
      </c>
      <c r="AS247" s="156">
        <v>0.82410000000000005</v>
      </c>
    </row>
    <row r="248" spans="1:45" x14ac:dyDescent="0.2">
      <c r="A248" s="152">
        <v>7607</v>
      </c>
      <c r="B248" s="153" t="s">
        <v>285</v>
      </c>
      <c r="C248" s="154">
        <v>0.10844464073010369</v>
      </c>
      <c r="D248" s="156">
        <v>0.18359448311692514</v>
      </c>
      <c r="E248" s="154">
        <v>0.40576160913628923</v>
      </c>
      <c r="F248" s="156">
        <v>0.49147934730438059</v>
      </c>
      <c r="G248" s="154">
        <v>-1.1618990731034822E-2</v>
      </c>
      <c r="H248" s="156">
        <v>9.1764153830419817E-2</v>
      </c>
      <c r="I248" s="154">
        <v>0.27156472753402605</v>
      </c>
      <c r="J248" s="156">
        <v>0.10736238905913291</v>
      </c>
      <c r="K248" s="157">
        <v>96</v>
      </c>
      <c r="L248" s="158">
        <v>72</v>
      </c>
      <c r="M248" s="154">
        <v>0.11720978955251485</v>
      </c>
      <c r="N248" s="156">
        <v>7.9854084213449125E-2</v>
      </c>
      <c r="O248" s="157">
        <v>202.29729729729729</v>
      </c>
      <c r="P248" s="158">
        <v>196.34210526315789</v>
      </c>
      <c r="Q248" s="154">
        <v>0.6640936555433512</v>
      </c>
      <c r="R248" s="156">
        <v>0.54578466228740674</v>
      </c>
      <c r="S248" s="154">
        <v>0.12897558499945574</v>
      </c>
      <c r="T248" s="156">
        <v>0.2947214214652813</v>
      </c>
      <c r="U248" s="157">
        <v>1391768</v>
      </c>
      <c r="V248" s="158">
        <v>3723190</v>
      </c>
      <c r="W248" s="157">
        <v>12870653</v>
      </c>
      <c r="X248" s="158">
        <v>18221648</v>
      </c>
      <c r="Y248" s="157">
        <v>-149117</v>
      </c>
      <c r="Z248" s="158">
        <v>1860924</v>
      </c>
      <c r="AA248" s="159">
        <v>802382</v>
      </c>
      <c r="AB248" s="159">
        <v>2487909</v>
      </c>
      <c r="AC248" s="157">
        <v>716542</v>
      </c>
      <c r="AD248" s="158">
        <v>533590</v>
      </c>
      <c r="AE248" s="157">
        <v>309266</v>
      </c>
      <c r="AF248" s="158">
        <v>396874</v>
      </c>
      <c r="AG248" s="157">
        <v>299019.41999999946</v>
      </c>
      <c r="AH248" s="158">
        <v>1655252.2699999993</v>
      </c>
      <c r="AI248" s="157">
        <v>4322242.49</v>
      </c>
      <c r="AJ248" s="158">
        <v>7489014.2700000014</v>
      </c>
      <c r="AK248" s="154">
        <v>2.4028773054482939E-2</v>
      </c>
      <c r="AL248" s="156">
        <v>2.1780357078569401E-2</v>
      </c>
      <c r="AM248" s="154">
        <v>2.7729028756937321E-2</v>
      </c>
      <c r="AN248" s="156">
        <v>0.1269224396648623</v>
      </c>
      <c r="AO248" s="154">
        <v>0.40081539285865309</v>
      </c>
      <c r="AP248" s="156">
        <v>0.57424718821462073</v>
      </c>
      <c r="AQ248" s="154">
        <v>0.67630999999999997</v>
      </c>
      <c r="AR248" s="155">
        <v>0.54749000000000003</v>
      </c>
      <c r="AS248" s="156">
        <v>0.6119</v>
      </c>
    </row>
    <row r="249" spans="1:45" x14ac:dyDescent="0.2">
      <c r="A249" s="152">
        <v>7608</v>
      </c>
      <c r="B249" s="153" t="s">
        <v>286</v>
      </c>
      <c r="C249" s="154">
        <v>0.16794762833615878</v>
      </c>
      <c r="D249" s="156">
        <v>0.12999033443669877</v>
      </c>
      <c r="E249" s="154">
        <v>0.5503940576615246</v>
      </c>
      <c r="F249" s="156">
        <v>0.30192516682554815</v>
      </c>
      <c r="G249" s="154">
        <v>4.1999325509850721E-2</v>
      </c>
      <c r="H249" s="156">
        <v>-4.244133112523437E-2</v>
      </c>
      <c r="I249" s="154">
        <v>7.2048066928226641E-3</v>
      </c>
      <c r="J249" s="156">
        <v>0</v>
      </c>
      <c r="K249" s="157">
        <v>4</v>
      </c>
      <c r="L249" s="158">
        <v>0</v>
      </c>
      <c r="M249" s="154">
        <v>3.9542246564719323E-2</v>
      </c>
      <c r="N249" s="156">
        <v>3.9809728005339023E-2</v>
      </c>
      <c r="O249" s="157">
        <v>0</v>
      </c>
      <c r="P249" s="158">
        <v>121.01960784313725</v>
      </c>
      <c r="Q249" s="154">
        <v>0.60865784428725522</v>
      </c>
      <c r="R249" s="156">
        <v>0.54335817868242176</v>
      </c>
      <c r="S249" s="154">
        <v>0.15790485533485515</v>
      </c>
      <c r="T249" s="156">
        <v>0.20948530173841165</v>
      </c>
      <c r="U249" s="157">
        <v>2004943</v>
      </c>
      <c r="V249" s="158">
        <v>1900317</v>
      </c>
      <c r="W249" s="157">
        <v>11235291</v>
      </c>
      <c r="X249" s="158">
        <v>15032458</v>
      </c>
      <c r="Y249" s="157">
        <v>501384</v>
      </c>
      <c r="Z249" s="158">
        <v>-620446</v>
      </c>
      <c r="AA249" s="159">
        <v>4251158</v>
      </c>
      <c r="AB249" s="159">
        <v>3594515</v>
      </c>
      <c r="AC249" s="157">
        <v>21480</v>
      </c>
      <c r="AD249" s="158">
        <v>0</v>
      </c>
      <c r="AE249" s="157">
        <v>117889</v>
      </c>
      <c r="AF249" s="158">
        <v>115007</v>
      </c>
      <c r="AG249" s="157">
        <v>238564.86999999988</v>
      </c>
      <c r="AH249" s="158">
        <v>250738.22999999992</v>
      </c>
      <c r="AI249" s="157">
        <v>3093913.89</v>
      </c>
      <c r="AJ249" s="158">
        <v>5700910.5800000001</v>
      </c>
      <c r="AK249" s="154">
        <v>1.0492741131493613E-2</v>
      </c>
      <c r="AL249" s="156">
        <v>7.6505785015331491E-3</v>
      </c>
      <c r="AM249" s="154">
        <v>2.6578381730899589E-2</v>
      </c>
      <c r="AN249" s="156">
        <v>2.3228142658154247E-2</v>
      </c>
      <c r="AO249" s="154">
        <v>0.34469125488154445</v>
      </c>
      <c r="AP249" s="156">
        <v>0.52812674091869005</v>
      </c>
      <c r="AQ249" s="154">
        <v>0.71099999999999997</v>
      </c>
      <c r="AR249" s="155">
        <v>0.65337999999999996</v>
      </c>
      <c r="AS249" s="156">
        <v>0.68220000000000003</v>
      </c>
    </row>
    <row r="250" spans="1:45" x14ac:dyDescent="0.2">
      <c r="A250" s="152">
        <v>7609</v>
      </c>
      <c r="B250" s="153" t="s">
        <v>287</v>
      </c>
      <c r="C250" s="154">
        <v>0.12564534427011864</v>
      </c>
      <c r="D250" s="156">
        <v>0.12200405823110486</v>
      </c>
      <c r="E250" s="154">
        <v>0.28098396639596035</v>
      </c>
      <c r="F250" s="156">
        <v>0.22020039451498014</v>
      </c>
      <c r="G250" s="154">
        <v>-5.5776846703364809E-2</v>
      </c>
      <c r="H250" s="156">
        <v>-7.3256844949379424E-2</v>
      </c>
      <c r="I250" s="154">
        <v>0</v>
      </c>
      <c r="J250" s="156">
        <v>0.12840628167773233</v>
      </c>
      <c r="K250" s="157">
        <v>0</v>
      </c>
      <c r="L250" s="158">
        <v>70</v>
      </c>
      <c r="M250" s="154">
        <v>0</v>
      </c>
      <c r="N250" s="156">
        <v>0</v>
      </c>
      <c r="O250" s="157">
        <v>223.76623376623377</v>
      </c>
      <c r="P250" s="158">
        <v>190.65934065934067</v>
      </c>
      <c r="Q250" s="154">
        <v>0.56279169341097057</v>
      </c>
      <c r="R250" s="156">
        <v>0.4826626090917831</v>
      </c>
      <c r="S250" s="154">
        <v>0.23231965410936584</v>
      </c>
      <c r="T250" s="156">
        <v>0.35735367653336259</v>
      </c>
      <c r="U250" s="157">
        <v>2452160</v>
      </c>
      <c r="V250" s="158">
        <v>3228925</v>
      </c>
      <c r="W250" s="157">
        <v>20683532</v>
      </c>
      <c r="X250" s="158">
        <v>29353494</v>
      </c>
      <c r="Y250" s="157">
        <v>-1088570</v>
      </c>
      <c r="Z250" s="158">
        <v>-1938795</v>
      </c>
      <c r="AA250" s="159">
        <v>2791817</v>
      </c>
      <c r="AB250" s="159">
        <v>1504889</v>
      </c>
      <c r="AC250" s="157">
        <v>0</v>
      </c>
      <c r="AD250" s="158">
        <v>604861</v>
      </c>
      <c r="AE250" s="157">
        <v>0</v>
      </c>
      <c r="AF250" s="158">
        <v>0</v>
      </c>
      <c r="AG250" s="157">
        <v>399834.50000000006</v>
      </c>
      <c r="AH250" s="158">
        <v>3808684.1300000004</v>
      </c>
      <c r="AI250" s="157">
        <v>25331286.93</v>
      </c>
      <c r="AJ250" s="158">
        <v>21598714.990000002</v>
      </c>
      <c r="AK250" s="154">
        <v>0</v>
      </c>
      <c r="AL250" s="156">
        <v>0</v>
      </c>
      <c r="AM250" s="154">
        <v>2.5920708664704698E-2</v>
      </c>
      <c r="AN250" s="156">
        <v>0.19039454731579414</v>
      </c>
      <c r="AO250" s="154">
        <v>1.6421917283640399</v>
      </c>
      <c r="AP250" s="156">
        <v>1.0797108457308344</v>
      </c>
      <c r="AQ250" s="154">
        <v>0.72884000000000004</v>
      </c>
      <c r="AR250" s="155">
        <v>0.71745999999999999</v>
      </c>
      <c r="AS250" s="156">
        <v>0.72319999999999995</v>
      </c>
    </row>
    <row r="251" spans="1:45" x14ac:dyDescent="0.2">
      <c r="A251" s="152">
        <v>7610</v>
      </c>
      <c r="B251" s="153" t="s">
        <v>288</v>
      </c>
      <c r="C251" s="154">
        <v>0.21711441652555477</v>
      </c>
      <c r="D251" s="156">
        <v>0.24425778843478238</v>
      </c>
      <c r="E251" s="154">
        <v>0.60671417986372933</v>
      </c>
      <c r="F251" s="156">
        <v>0.9159434735630031</v>
      </c>
      <c r="G251" s="154">
        <v>-0.15034293638375784</v>
      </c>
      <c r="H251" s="156">
        <v>6.0658978361342958E-2</v>
      </c>
      <c r="I251" s="154">
        <v>0.4470659068002269</v>
      </c>
      <c r="J251" s="156">
        <v>0.29425270188329289</v>
      </c>
      <c r="K251" s="157">
        <v>217</v>
      </c>
      <c r="L251" s="158">
        <v>187</v>
      </c>
      <c r="M251" s="154">
        <v>4.1263184362177178E-2</v>
      </c>
      <c r="N251" s="156">
        <v>1.166090027108004E-2</v>
      </c>
      <c r="O251" s="157">
        <v>235.0888888888889</v>
      </c>
      <c r="P251" s="158">
        <v>242.6057142857143</v>
      </c>
      <c r="Q251" s="154">
        <v>0.64331243555126905</v>
      </c>
      <c r="R251" s="156">
        <v>0.66941568346682212</v>
      </c>
      <c r="S251" s="154">
        <v>0.12623146878775054</v>
      </c>
      <c r="T251" s="156">
        <v>0.10454366005223592</v>
      </c>
      <c r="U251" s="157">
        <v>7936086</v>
      </c>
      <c r="V251" s="158">
        <v>11100580</v>
      </c>
      <c r="W251" s="157">
        <v>37322302</v>
      </c>
      <c r="X251" s="158">
        <v>42313795</v>
      </c>
      <c r="Y251" s="157">
        <v>-5495418</v>
      </c>
      <c r="Z251" s="158">
        <v>2756718</v>
      </c>
      <c r="AA251" s="159">
        <v>6771293</v>
      </c>
      <c r="AB251" s="159">
        <v>8980186</v>
      </c>
      <c r="AC251" s="157">
        <v>4601509</v>
      </c>
      <c r="AD251" s="158">
        <v>3959841</v>
      </c>
      <c r="AE251" s="157">
        <v>424709</v>
      </c>
      <c r="AF251" s="158">
        <v>156924</v>
      </c>
      <c r="AG251" s="157">
        <v>703660.54000000097</v>
      </c>
      <c r="AH251" s="158">
        <v>394018.1999999999</v>
      </c>
      <c r="AI251" s="157">
        <v>10768671.120000001</v>
      </c>
      <c r="AJ251" s="158">
        <v>20960111.709999997</v>
      </c>
      <c r="AK251" s="154">
        <v>1.137949636654245E-2</v>
      </c>
      <c r="AL251" s="156">
        <v>3.7085777817848766E-3</v>
      </c>
      <c r="AM251" s="154">
        <v>2.4808881746313249E-2</v>
      </c>
      <c r="AN251" s="156">
        <v>1.1786715650871709E-2</v>
      </c>
      <c r="AO251" s="154">
        <v>0.37966984532203313</v>
      </c>
      <c r="AP251" s="156">
        <v>0.62700371895581575</v>
      </c>
      <c r="AQ251" s="154">
        <v>0.84189000000000003</v>
      </c>
      <c r="AR251" s="155">
        <v>0.76839000000000002</v>
      </c>
      <c r="AS251" s="156">
        <v>0.80510000000000004</v>
      </c>
    </row>
    <row r="252" spans="1:45" x14ac:dyDescent="0.2">
      <c r="A252" s="152">
        <v>7611</v>
      </c>
      <c r="B252" s="153" t="s">
        <v>278</v>
      </c>
      <c r="C252" s="154">
        <v>0.2697732456264626</v>
      </c>
      <c r="D252" s="156">
        <v>0.23914535562734723</v>
      </c>
      <c r="E252" s="154">
        <v>0.87413950477403646</v>
      </c>
      <c r="F252" s="156">
        <v>0.79539459887583996</v>
      </c>
      <c r="G252" s="154">
        <v>4.0433847789086715E-2</v>
      </c>
      <c r="H252" s="156">
        <v>-1.3527653049892932E-2</v>
      </c>
      <c r="I252" s="154">
        <v>0</v>
      </c>
      <c r="J252" s="156">
        <v>0</v>
      </c>
      <c r="K252" s="157">
        <v>0</v>
      </c>
      <c r="L252" s="158">
        <v>0</v>
      </c>
      <c r="M252" s="154">
        <v>0</v>
      </c>
      <c r="N252" s="156">
        <v>0</v>
      </c>
      <c r="O252" s="157">
        <v>373.54672897196264</v>
      </c>
      <c r="P252" s="158">
        <v>355.76233183856505</v>
      </c>
      <c r="Q252" s="154">
        <v>0.60480022288386182</v>
      </c>
      <c r="R252" s="156">
        <v>0.62717151475600041</v>
      </c>
      <c r="S252" s="154">
        <v>0.10019825660814254</v>
      </c>
      <c r="T252" s="156">
        <v>9.502085359940303E-2</v>
      </c>
      <c r="U252" s="157">
        <v>39845186</v>
      </c>
      <c r="V252" s="158">
        <v>37522706</v>
      </c>
      <c r="W252" s="157">
        <v>139272533</v>
      </c>
      <c r="X252" s="158">
        <v>156990644</v>
      </c>
      <c r="Y252" s="157">
        <v>5972031</v>
      </c>
      <c r="Z252" s="158">
        <v>-2122534</v>
      </c>
      <c r="AA252" s="159">
        <v>22945904</v>
      </c>
      <c r="AB252" s="159">
        <v>20882723</v>
      </c>
      <c r="AC252" s="157">
        <v>0</v>
      </c>
      <c r="AD252" s="158">
        <v>0</v>
      </c>
      <c r="AE252" s="157">
        <v>0</v>
      </c>
      <c r="AF252" s="158">
        <v>0</v>
      </c>
      <c r="AG252" s="157">
        <v>1816097.76</v>
      </c>
      <c r="AH252" s="158">
        <v>3055230.840000005</v>
      </c>
      <c r="AI252" s="157">
        <v>55634337.729999997</v>
      </c>
      <c r="AJ252" s="158">
        <v>65739699.460000001</v>
      </c>
      <c r="AK252" s="154">
        <v>0</v>
      </c>
      <c r="AL252" s="156">
        <v>0</v>
      </c>
      <c r="AM252" s="154">
        <v>1.6779265337055999E-2</v>
      </c>
      <c r="AN252" s="156">
        <v>2.3923593923988459E-2</v>
      </c>
      <c r="AO252" s="154">
        <v>0.51401600463570618</v>
      </c>
      <c r="AP252" s="156">
        <v>0.51476629980799771</v>
      </c>
      <c r="AQ252" s="154">
        <v>0.86404000000000003</v>
      </c>
      <c r="AR252" s="155">
        <v>0.75875999999999999</v>
      </c>
      <c r="AS252" s="156">
        <v>0.81140000000000001</v>
      </c>
    </row>
    <row r="253" spans="1:45" x14ac:dyDescent="0.2">
      <c r="A253" s="152">
        <v>7701</v>
      </c>
      <c r="B253" s="153" t="s">
        <v>290</v>
      </c>
      <c r="C253" s="154">
        <v>0.16264821604517063</v>
      </c>
      <c r="D253" s="156">
        <v>0.16479998333486487</v>
      </c>
      <c r="E253" s="154">
        <v>0.45443639300256616</v>
      </c>
      <c r="F253" s="156">
        <v>0.69317365730387226</v>
      </c>
      <c r="G253" s="154">
        <v>9.1871712321794224E-3</v>
      </c>
      <c r="H253" s="156">
        <v>-5.6701370123306422E-3</v>
      </c>
      <c r="I253" s="154">
        <v>5.1212290949827956E-3</v>
      </c>
      <c r="J253" s="156">
        <v>0</v>
      </c>
      <c r="K253" s="157">
        <v>2</v>
      </c>
      <c r="L253" s="158">
        <v>0</v>
      </c>
      <c r="M253" s="154">
        <v>4.8305993438425218E-3</v>
      </c>
      <c r="N253" s="156">
        <v>2.8958929111133312E-3</v>
      </c>
      <c r="O253" s="157">
        <v>189.1906976744186</v>
      </c>
      <c r="P253" s="158">
        <v>181.09417040358744</v>
      </c>
      <c r="Q253" s="154">
        <v>0.58190621832775113</v>
      </c>
      <c r="R253" s="156">
        <v>0.67147089549699635</v>
      </c>
      <c r="S253" s="154">
        <v>0.17746373069345481</v>
      </c>
      <c r="T253" s="156">
        <v>6.8486942734772391E-2</v>
      </c>
      <c r="U253" s="157">
        <v>3287975</v>
      </c>
      <c r="V253" s="158">
        <v>3385962</v>
      </c>
      <c r="W253" s="157">
        <v>20053044</v>
      </c>
      <c r="X253" s="158">
        <v>20631962</v>
      </c>
      <c r="Y253" s="157">
        <v>185721</v>
      </c>
      <c r="Z253" s="158">
        <v>-116498</v>
      </c>
      <c r="AA253" s="159">
        <v>3160101</v>
      </c>
      <c r="AB253" s="159">
        <v>3060916</v>
      </c>
      <c r="AC253" s="157">
        <v>24000</v>
      </c>
      <c r="AD253" s="158">
        <v>0</v>
      </c>
      <c r="AE253" s="157">
        <v>22638</v>
      </c>
      <c r="AF253" s="158">
        <v>13855</v>
      </c>
      <c r="AG253" s="157">
        <v>121993.6400000002</v>
      </c>
      <c r="AH253" s="158">
        <v>4430650.1000000006</v>
      </c>
      <c r="AI253" s="157">
        <v>1683599.42</v>
      </c>
      <c r="AJ253" s="158">
        <v>10142171.34</v>
      </c>
      <c r="AK253" s="154">
        <v>1.1289059157303001E-3</v>
      </c>
      <c r="AL253" s="156">
        <v>6.715308994849835E-4</v>
      </c>
      <c r="AM253" s="154">
        <v>8.0122733410018868E-3</v>
      </c>
      <c r="AN253" s="156">
        <v>0.25241919982206779</v>
      </c>
      <c r="AO253" s="154">
        <v>0.11057509842146045</v>
      </c>
      <c r="AP253" s="156">
        <v>0.57781109234988071</v>
      </c>
      <c r="AQ253" s="154">
        <v>0.83796000000000004</v>
      </c>
      <c r="AR253" s="155">
        <v>0.75061999999999995</v>
      </c>
      <c r="AS253" s="156">
        <v>0.79430000000000001</v>
      </c>
    </row>
    <row r="254" spans="1:45" x14ac:dyDescent="0.2">
      <c r="A254" s="152">
        <v>7702</v>
      </c>
      <c r="B254" s="153" t="s">
        <v>291</v>
      </c>
      <c r="C254" s="154">
        <v>0.12095143692868507</v>
      </c>
      <c r="D254" s="156">
        <v>0.13290137882955005</v>
      </c>
      <c r="E254" s="154">
        <v>0.28299902945596311</v>
      </c>
      <c r="F254" s="156">
        <v>0.39777429894310568</v>
      </c>
      <c r="G254" s="154">
        <v>-0.2864336350790383</v>
      </c>
      <c r="H254" s="156">
        <v>-6.1201005486391312E-2</v>
      </c>
      <c r="I254" s="154">
        <v>0.65814639231710537</v>
      </c>
      <c r="J254" s="156">
        <v>0.52742853411610802</v>
      </c>
      <c r="K254" s="157">
        <v>272</v>
      </c>
      <c r="L254" s="158">
        <v>230</v>
      </c>
      <c r="M254" s="154">
        <v>0</v>
      </c>
      <c r="N254" s="156">
        <v>0</v>
      </c>
      <c r="O254" s="157">
        <v>155.25641025641025</v>
      </c>
      <c r="P254" s="158">
        <v>151.4390243902439</v>
      </c>
      <c r="Q254" s="154">
        <v>0.47768537673953154</v>
      </c>
      <c r="R254" s="156">
        <v>0.64169973984498874</v>
      </c>
      <c r="S254" s="154">
        <v>0.33587252347842056</v>
      </c>
      <c r="T254" s="156">
        <v>0.16786928113412897</v>
      </c>
      <c r="U254" s="157">
        <v>1462314</v>
      </c>
      <c r="V254" s="158">
        <v>1654899</v>
      </c>
      <c r="W254" s="157">
        <v>15532774</v>
      </c>
      <c r="X254" s="158">
        <v>13016086</v>
      </c>
      <c r="Y254" s="157">
        <v>-3463009</v>
      </c>
      <c r="Z254" s="158">
        <v>-762080</v>
      </c>
      <c r="AA254" s="159">
        <v>1884336</v>
      </c>
      <c r="AB254" s="159">
        <v>921584</v>
      </c>
      <c r="AC254" s="157">
        <v>1648995</v>
      </c>
      <c r="AD254" s="158">
        <v>1429700</v>
      </c>
      <c r="AE254" s="157">
        <v>0</v>
      </c>
      <c r="AF254" s="158">
        <v>0</v>
      </c>
      <c r="AG254" s="157">
        <v>643151.04000000039</v>
      </c>
      <c r="AH254" s="158">
        <v>806751.84999999951</v>
      </c>
      <c r="AI254" s="157">
        <v>2527694</v>
      </c>
      <c r="AJ254" s="158">
        <v>7260984.1999999993</v>
      </c>
      <c r="AK254" s="154">
        <v>0</v>
      </c>
      <c r="AL254" s="156">
        <v>0</v>
      </c>
      <c r="AM254" s="154">
        <v>5.9035088347337832E-2</v>
      </c>
      <c r="AN254" s="156">
        <v>6.6541876705092984E-2</v>
      </c>
      <c r="AO254" s="154">
        <v>0.23201803203962115</v>
      </c>
      <c r="AP254" s="156">
        <v>0.59889483413521571</v>
      </c>
      <c r="AQ254" s="154">
        <v>0.93777999999999995</v>
      </c>
      <c r="AR254" s="155">
        <v>0.74714000000000003</v>
      </c>
      <c r="AS254" s="156">
        <v>0.84250000000000003</v>
      </c>
    </row>
    <row r="255" spans="1:45" x14ac:dyDescent="0.2">
      <c r="A255" s="152">
        <v>7703</v>
      </c>
      <c r="B255" s="153" t="s">
        <v>292</v>
      </c>
      <c r="C255" s="154">
        <v>0.10545271643299645</v>
      </c>
      <c r="D255" s="156">
        <v>0.13956773527153829</v>
      </c>
      <c r="E255" s="154">
        <v>0.29827192563645949</v>
      </c>
      <c r="F255" s="156">
        <v>0.23749212627733615</v>
      </c>
      <c r="G255" s="154">
        <v>0.12289998396818298</v>
      </c>
      <c r="H255" s="156">
        <v>-0.23440314192659556</v>
      </c>
      <c r="I255" s="154">
        <v>0.41104048256301229</v>
      </c>
      <c r="J255" s="156">
        <v>0.63722097965862845</v>
      </c>
      <c r="K255" s="157">
        <v>190</v>
      </c>
      <c r="L255" s="158">
        <v>324</v>
      </c>
      <c r="M255" s="154">
        <v>0</v>
      </c>
      <c r="N255" s="156">
        <v>4.0001678356316071E-3</v>
      </c>
      <c r="O255" s="157">
        <v>152.72</v>
      </c>
      <c r="P255" s="158">
        <v>153.94</v>
      </c>
      <c r="Q255" s="154">
        <v>0.60985228972725081</v>
      </c>
      <c r="R255" s="156">
        <v>0.55701226062868847</v>
      </c>
      <c r="S255" s="154">
        <v>0.13171819383364664</v>
      </c>
      <c r="T255" s="156">
        <v>0.26230755148741419</v>
      </c>
      <c r="U255" s="157">
        <v>1977261</v>
      </c>
      <c r="V255" s="158">
        <v>2357586</v>
      </c>
      <c r="W255" s="157">
        <v>16443203</v>
      </c>
      <c r="X255" s="158">
        <v>20757500</v>
      </c>
      <c r="Y255" s="157">
        <v>2304401</v>
      </c>
      <c r="Z255" s="158">
        <v>-3959551</v>
      </c>
      <c r="AA255" s="159">
        <v>4334373</v>
      </c>
      <c r="AB255" s="159">
        <v>1327687</v>
      </c>
      <c r="AC255" s="157">
        <v>1450217</v>
      </c>
      <c r="AD255" s="158">
        <v>2490633</v>
      </c>
      <c r="AE255" s="157">
        <v>0</v>
      </c>
      <c r="AF255" s="158">
        <v>15635</v>
      </c>
      <c r="AG255" s="157">
        <v>272936.63000000094</v>
      </c>
      <c r="AH255" s="158">
        <v>111478.1800000018</v>
      </c>
      <c r="AI255" s="157">
        <v>4852551.9899999984</v>
      </c>
      <c r="AJ255" s="158">
        <v>2083663.9299999997</v>
      </c>
      <c r="AK255" s="154">
        <v>0</v>
      </c>
      <c r="AL255" s="156">
        <v>7.5322172708659524E-4</v>
      </c>
      <c r="AM255" s="154">
        <v>2.0503531144695532E-2</v>
      </c>
      <c r="AN255" s="156">
        <v>6.9965996773780443E-3</v>
      </c>
      <c r="AO255" s="154">
        <v>0.36453315503389527</v>
      </c>
      <c r="AP255" s="156">
        <v>0.13077503041763</v>
      </c>
      <c r="AQ255" s="154">
        <v>0.74439</v>
      </c>
      <c r="AR255" s="155">
        <v>0.67344999999999999</v>
      </c>
      <c r="AS255" s="156">
        <v>0.70889999999999997</v>
      </c>
    </row>
    <row r="256" spans="1:45" x14ac:dyDescent="0.2">
      <c r="A256" s="152">
        <v>7704</v>
      </c>
      <c r="B256" s="153" t="s">
        <v>293</v>
      </c>
      <c r="C256" s="154">
        <v>0.13825763627136392</v>
      </c>
      <c r="D256" s="156">
        <v>0.13304403542355975</v>
      </c>
      <c r="E256" s="154">
        <v>0.30916846792693814</v>
      </c>
      <c r="F256" s="156">
        <v>0.37193400684901257</v>
      </c>
      <c r="G256" s="154">
        <v>-0.12731802066218231</v>
      </c>
      <c r="H256" s="156">
        <v>-4.0884107647202267E-2</v>
      </c>
      <c r="I256" s="154">
        <v>0.54983656335968234</v>
      </c>
      <c r="J256" s="156">
        <v>0.47063447149632692</v>
      </c>
      <c r="K256" s="157">
        <v>237</v>
      </c>
      <c r="L256" s="158">
        <v>213</v>
      </c>
      <c r="M256" s="154">
        <v>0</v>
      </c>
      <c r="N256" s="156">
        <v>0</v>
      </c>
      <c r="O256" s="157">
        <v>232.02197802197801</v>
      </c>
      <c r="P256" s="158">
        <v>166</v>
      </c>
      <c r="Q256" s="154">
        <v>0.52971079263714604</v>
      </c>
      <c r="R256" s="156">
        <v>0.58201649818406742</v>
      </c>
      <c r="S256" s="154">
        <v>0.29013335897781622</v>
      </c>
      <c r="T256" s="156">
        <v>0.23543568513204802</v>
      </c>
      <c r="U256" s="157">
        <v>2860239</v>
      </c>
      <c r="V256" s="158">
        <v>3157822</v>
      </c>
      <c r="W256" s="157">
        <v>23043293</v>
      </c>
      <c r="X256" s="158">
        <v>24481361</v>
      </c>
      <c r="Y256" s="157">
        <v>-2633923</v>
      </c>
      <c r="Z256" s="158">
        <v>-970391</v>
      </c>
      <c r="AA256" s="159">
        <v>5577940</v>
      </c>
      <c r="AB256" s="159">
        <v>4408787</v>
      </c>
      <c r="AC256" s="157">
        <v>2497764</v>
      </c>
      <c r="AD256" s="158">
        <v>2283670</v>
      </c>
      <c r="AE256" s="157">
        <v>0</v>
      </c>
      <c r="AF256" s="158">
        <v>0</v>
      </c>
      <c r="AG256" s="157">
        <v>195536.28999999957</v>
      </c>
      <c r="AH256" s="158">
        <v>211551.34999999905</v>
      </c>
      <c r="AI256" s="157">
        <v>2786065.4300000006</v>
      </c>
      <c r="AJ256" s="158">
        <v>4560771.5199999996</v>
      </c>
      <c r="AK256" s="154">
        <v>0</v>
      </c>
      <c r="AL256" s="156">
        <v>0</v>
      </c>
      <c r="AM256" s="154">
        <v>1.173861109797055E-2</v>
      </c>
      <c r="AN256" s="156">
        <v>1.0730271060488876E-2</v>
      </c>
      <c r="AO256" s="154">
        <v>0.16725559524664282</v>
      </c>
      <c r="AP256" s="156">
        <v>0.23133066583861592</v>
      </c>
      <c r="AQ256" s="154">
        <v>0.67957000000000001</v>
      </c>
      <c r="AR256" s="155">
        <v>0.59584999999999999</v>
      </c>
      <c r="AS256" s="156">
        <v>0.63770000000000004</v>
      </c>
    </row>
    <row r="257" spans="1:45" x14ac:dyDescent="0.2">
      <c r="A257" s="152">
        <v>7705</v>
      </c>
      <c r="B257" s="153" t="s">
        <v>294</v>
      </c>
      <c r="C257" s="154">
        <v>0.15160694392056071</v>
      </c>
      <c r="D257" s="156">
        <v>0.15915270908790058</v>
      </c>
      <c r="E257" s="154">
        <v>0.49156589442202703</v>
      </c>
      <c r="F257" s="156">
        <v>0.49486315283998639</v>
      </c>
      <c r="G257" s="154">
        <v>-2.6014333459065432E-2</v>
      </c>
      <c r="H257" s="156">
        <v>-5.0870942409064528E-2</v>
      </c>
      <c r="I257" s="154">
        <v>0</v>
      </c>
      <c r="J257" s="156">
        <v>0</v>
      </c>
      <c r="K257" s="157">
        <v>0</v>
      </c>
      <c r="L257" s="158">
        <v>0</v>
      </c>
      <c r="M257" s="154">
        <v>0</v>
      </c>
      <c r="N257" s="156">
        <v>0</v>
      </c>
      <c r="O257" s="157">
        <v>123.76237623762377</v>
      </c>
      <c r="P257" s="158">
        <v>119.67619047619047</v>
      </c>
      <c r="Q257" s="154">
        <v>0.62102217371484569</v>
      </c>
      <c r="R257" s="156">
        <v>0.64421171257607346</v>
      </c>
      <c r="S257" s="154">
        <v>0.15505052375205255</v>
      </c>
      <c r="T257" s="156">
        <v>0.12164368848261507</v>
      </c>
      <c r="U257" s="157">
        <v>2160380</v>
      </c>
      <c r="V257" s="158">
        <v>2423813</v>
      </c>
      <c r="W257" s="157">
        <v>14340087</v>
      </c>
      <c r="X257" s="158">
        <v>16077061</v>
      </c>
      <c r="Y257" s="157">
        <v>-370701</v>
      </c>
      <c r="Z257" s="158">
        <v>-774738</v>
      </c>
      <c r="AA257" s="159">
        <v>1665757</v>
      </c>
      <c r="AB257" s="159">
        <v>921301</v>
      </c>
      <c r="AC257" s="157">
        <v>0</v>
      </c>
      <c r="AD257" s="158">
        <v>0</v>
      </c>
      <c r="AE257" s="157">
        <v>0</v>
      </c>
      <c r="AF257" s="158">
        <v>0</v>
      </c>
      <c r="AG257" s="157">
        <v>393600.12999999971</v>
      </c>
      <c r="AH257" s="158">
        <v>2091694.8399999989</v>
      </c>
      <c r="AI257" s="157">
        <v>2125195.25</v>
      </c>
      <c r="AJ257" s="158">
        <v>8930332.1199999992</v>
      </c>
      <c r="AK257" s="154">
        <v>0</v>
      </c>
      <c r="AL257" s="156">
        <v>0</v>
      </c>
      <c r="AM257" s="154">
        <v>3.46491157567946E-2</v>
      </c>
      <c r="AN257" s="156">
        <v>0.15851610613095152</v>
      </c>
      <c r="AO257" s="154">
        <v>0.18708361763762654</v>
      </c>
      <c r="AP257" s="156">
        <v>0.67677246558516435</v>
      </c>
      <c r="AQ257" s="154">
        <v>0.85272000000000003</v>
      </c>
      <c r="AR257" s="155">
        <v>0.67308000000000001</v>
      </c>
      <c r="AS257" s="156">
        <v>0.76290000000000002</v>
      </c>
    </row>
    <row r="258" spans="1:45" x14ac:dyDescent="0.2">
      <c r="A258" s="152">
        <v>7706</v>
      </c>
      <c r="B258" s="153" t="s">
        <v>295</v>
      </c>
      <c r="C258" s="154">
        <v>0.19680342591819311</v>
      </c>
      <c r="D258" s="156">
        <v>0.18177300452319681</v>
      </c>
      <c r="E258" s="154">
        <v>0.63679981525809914</v>
      </c>
      <c r="F258" s="156">
        <v>0.69531423144730764</v>
      </c>
      <c r="G258" s="154">
        <v>1.1104253420414689E-2</v>
      </c>
      <c r="H258" s="156">
        <v>-1.3263245595673519E-3</v>
      </c>
      <c r="I258" s="154">
        <v>0.82415743720828283</v>
      </c>
      <c r="J258" s="156">
        <v>0.72302802419366019</v>
      </c>
      <c r="K258" s="157">
        <v>559</v>
      </c>
      <c r="L258" s="158">
        <v>488</v>
      </c>
      <c r="M258" s="154">
        <v>0</v>
      </c>
      <c r="N258" s="156">
        <v>0</v>
      </c>
      <c r="O258" s="157">
        <v>119.72727272727273</v>
      </c>
      <c r="P258" s="158">
        <v>260.39024390243901</v>
      </c>
      <c r="Q258" s="154">
        <v>0.63204440204222767</v>
      </c>
      <c r="R258" s="156">
        <v>0.68139892675664282</v>
      </c>
      <c r="S258" s="154">
        <v>0.17683401515763558</v>
      </c>
      <c r="T258" s="156">
        <v>0.11010727133010922</v>
      </c>
      <c r="U258" s="157">
        <v>2608667</v>
      </c>
      <c r="V258" s="158">
        <v>2641642</v>
      </c>
      <c r="W258" s="157">
        <v>13157593</v>
      </c>
      <c r="X258" s="158">
        <v>14149447</v>
      </c>
      <c r="Y258" s="157">
        <v>147189</v>
      </c>
      <c r="Z258" s="158">
        <v>-19275</v>
      </c>
      <c r="AA258" s="159">
        <v>1947995</v>
      </c>
      <c r="AB258" s="159">
        <v>1593090</v>
      </c>
      <c r="AC258" s="157">
        <v>2944028</v>
      </c>
      <c r="AD258" s="158">
        <v>2606691</v>
      </c>
      <c r="AE258" s="157">
        <v>0</v>
      </c>
      <c r="AF258" s="158">
        <v>0</v>
      </c>
      <c r="AG258" s="157">
        <v>110473.0100000005</v>
      </c>
      <c r="AH258" s="158">
        <v>673598.41000000015</v>
      </c>
      <c r="AI258" s="157">
        <v>488219.65999999968</v>
      </c>
      <c r="AJ258" s="158">
        <v>5232895.53</v>
      </c>
      <c r="AK258" s="154">
        <v>0</v>
      </c>
      <c r="AL258" s="156">
        <v>0</v>
      </c>
      <c r="AM258" s="154">
        <v>9.7154028251379351E-3</v>
      </c>
      <c r="AN258" s="156">
        <v>5.3029883228488339E-2</v>
      </c>
      <c r="AO258" s="154">
        <v>4.293583259885702E-2</v>
      </c>
      <c r="AP258" s="156">
        <v>0.41196629146256231</v>
      </c>
      <c r="AQ258" s="154">
        <v>0.65434000000000003</v>
      </c>
      <c r="AR258" s="155">
        <v>0.65783000000000003</v>
      </c>
      <c r="AS258" s="156">
        <v>0.65610000000000002</v>
      </c>
    </row>
    <row r="259" spans="1:45" x14ac:dyDescent="0.2">
      <c r="A259" s="152">
        <v>7707</v>
      </c>
      <c r="B259" s="153" t="s">
        <v>296</v>
      </c>
      <c r="C259" s="154">
        <v>0.15043360821157495</v>
      </c>
      <c r="D259" s="156">
        <v>0.13561977151351912</v>
      </c>
      <c r="E259" s="154">
        <v>0.49298394021761488</v>
      </c>
      <c r="F259" s="156">
        <v>0.63577006610973807</v>
      </c>
      <c r="G259" s="154">
        <v>-8.8286164604989004E-2</v>
      </c>
      <c r="H259" s="156">
        <v>5.9071250793097871E-4</v>
      </c>
      <c r="I259" s="154">
        <v>0.47270826699004115</v>
      </c>
      <c r="J259" s="156">
        <v>0.37525367148192179</v>
      </c>
      <c r="K259" s="157">
        <v>207</v>
      </c>
      <c r="L259" s="158">
        <v>174</v>
      </c>
      <c r="M259" s="154">
        <v>0</v>
      </c>
      <c r="N259" s="156">
        <v>0</v>
      </c>
      <c r="O259" s="157">
        <v>292.60606060606062</v>
      </c>
      <c r="P259" s="158">
        <v>238.16528925619835</v>
      </c>
      <c r="Q259" s="154">
        <v>0.64194907780303334</v>
      </c>
      <c r="R259" s="156">
        <v>0.68111928209174388</v>
      </c>
      <c r="S259" s="154">
        <v>0.12261008830431906</v>
      </c>
      <c r="T259" s="156">
        <v>9.4066021042288644E-2</v>
      </c>
      <c r="U259" s="157">
        <v>4553809</v>
      </c>
      <c r="V259" s="158">
        <v>4855760</v>
      </c>
      <c r="W259" s="157">
        <v>32797603</v>
      </c>
      <c r="X259" s="158">
        <v>36296337</v>
      </c>
      <c r="Y259" s="157">
        <v>-2672530</v>
      </c>
      <c r="Z259" s="158">
        <v>21150</v>
      </c>
      <c r="AA259" s="159">
        <v>3456115</v>
      </c>
      <c r="AB259" s="159">
        <v>3007352</v>
      </c>
      <c r="AC259" s="157">
        <v>3000000</v>
      </c>
      <c r="AD259" s="158">
        <v>2500000</v>
      </c>
      <c r="AE259" s="157">
        <v>0</v>
      </c>
      <c r="AF259" s="158">
        <v>0</v>
      </c>
      <c r="AG259" s="157">
        <v>265421.45999999956</v>
      </c>
      <c r="AH259" s="158">
        <v>645143.87000000093</v>
      </c>
      <c r="AI259" s="157">
        <v>4570528.6999999993</v>
      </c>
      <c r="AJ259" s="158">
        <v>6949404.9900000002</v>
      </c>
      <c r="AK259" s="154">
        <v>0</v>
      </c>
      <c r="AL259" s="156">
        <v>0</v>
      </c>
      <c r="AM259" s="154">
        <v>9.7092337882988822E-3</v>
      </c>
      <c r="AN259" s="156">
        <v>2.0525748263137435E-2</v>
      </c>
      <c r="AO259" s="154">
        <v>0.1671919508107213</v>
      </c>
      <c r="AP259" s="156">
        <v>0.22110066302471562</v>
      </c>
      <c r="AQ259" s="154">
        <v>0.80752999999999997</v>
      </c>
      <c r="AR259" s="155">
        <v>0.63222999999999996</v>
      </c>
      <c r="AS259" s="156">
        <v>0.71989999999999998</v>
      </c>
    </row>
    <row r="260" spans="1:45" x14ac:dyDescent="0.2">
      <c r="A260" s="152">
        <v>7708</v>
      </c>
      <c r="B260" s="153" t="s">
        <v>297</v>
      </c>
      <c r="C260" s="154">
        <v>9.1822470749351473E-2</v>
      </c>
      <c r="D260" s="156">
        <v>0.11730664007096005</v>
      </c>
      <c r="E260" s="154">
        <v>0.28143884022953791</v>
      </c>
      <c r="F260" s="156">
        <v>0.5504269758551591</v>
      </c>
      <c r="G260" s="154">
        <v>-4.305664194205374E-2</v>
      </c>
      <c r="H260" s="156">
        <v>2.4666686624817677E-2</v>
      </c>
      <c r="I260" s="154">
        <v>0</v>
      </c>
      <c r="J260" s="156">
        <v>0</v>
      </c>
      <c r="K260" s="157">
        <v>0</v>
      </c>
      <c r="L260" s="158">
        <v>0</v>
      </c>
      <c r="M260" s="154">
        <v>0</v>
      </c>
      <c r="N260" s="156">
        <v>0</v>
      </c>
      <c r="O260" s="157">
        <v>155.33333333333334</v>
      </c>
      <c r="P260" s="158">
        <v>154.55072463768116</v>
      </c>
      <c r="Q260" s="154">
        <v>0.58017898909154819</v>
      </c>
      <c r="R260" s="156">
        <v>0.65918665285361033</v>
      </c>
      <c r="S260" s="154">
        <v>0.17101112318382364</v>
      </c>
      <c r="T260" s="156">
        <v>0.12227538185193436</v>
      </c>
      <c r="U260" s="157">
        <v>1397766</v>
      </c>
      <c r="V260" s="158">
        <v>1994476</v>
      </c>
      <c r="W260" s="157">
        <v>15600839</v>
      </c>
      <c r="X260" s="158">
        <v>16625816</v>
      </c>
      <c r="Y260" s="157">
        <v>-655429</v>
      </c>
      <c r="Z260" s="158">
        <v>419389</v>
      </c>
      <c r="AA260" s="159">
        <v>2237328</v>
      </c>
      <c r="AB260" s="159">
        <v>2577290</v>
      </c>
      <c r="AC260" s="157">
        <v>0</v>
      </c>
      <c r="AD260" s="158">
        <v>0</v>
      </c>
      <c r="AE260" s="157">
        <v>0</v>
      </c>
      <c r="AF260" s="158">
        <v>0</v>
      </c>
      <c r="AG260" s="157">
        <v>72699.499999999724</v>
      </c>
      <c r="AH260" s="158">
        <v>397028.30999999965</v>
      </c>
      <c r="AI260" s="157">
        <v>1526018.3499999996</v>
      </c>
      <c r="AJ260" s="158">
        <v>4388059.93</v>
      </c>
      <c r="AK260" s="154">
        <v>0</v>
      </c>
      <c r="AL260" s="156">
        <v>0</v>
      </c>
      <c r="AM260" s="154">
        <v>6.6392097989200318E-3</v>
      </c>
      <c r="AN260" s="156">
        <v>2.9973698256591262E-2</v>
      </c>
      <c r="AO260" s="154">
        <v>0.13936211366861967</v>
      </c>
      <c r="AP260" s="156">
        <v>0.33127709274348494</v>
      </c>
      <c r="AQ260" s="154">
        <v>0.86560999999999999</v>
      </c>
      <c r="AR260" s="155">
        <v>0.72623000000000004</v>
      </c>
      <c r="AS260" s="156">
        <v>0.79590000000000005</v>
      </c>
    </row>
    <row r="261" spans="1:45" x14ac:dyDescent="0.2">
      <c r="A261" s="152">
        <v>7709</v>
      </c>
      <c r="B261" s="153" t="s">
        <v>298</v>
      </c>
      <c r="C261" s="154">
        <v>0.27142091769186627</v>
      </c>
      <c r="D261" s="156">
        <v>0.18437820217965989</v>
      </c>
      <c r="E261" s="154">
        <v>0.46276116896393144</v>
      </c>
      <c r="F261" s="156">
        <v>0.49110069120077354</v>
      </c>
      <c r="G261" s="154">
        <v>-4.9791851228981956E-2</v>
      </c>
      <c r="H261" s="156">
        <v>2.7316021167751402E-2</v>
      </c>
      <c r="I261" s="154">
        <v>0.36452498229529856</v>
      </c>
      <c r="J261" s="156">
        <v>0.38536123158321234</v>
      </c>
      <c r="K261" s="157">
        <v>281</v>
      </c>
      <c r="L261" s="158">
        <v>210</v>
      </c>
      <c r="M261" s="154">
        <v>0</v>
      </c>
      <c r="N261" s="156">
        <v>0</v>
      </c>
      <c r="O261" s="157">
        <v>133.44186046511629</v>
      </c>
      <c r="P261" s="158">
        <v>159.31578947368422</v>
      </c>
      <c r="Q261" s="154">
        <v>0.43234000646584603</v>
      </c>
      <c r="R261" s="156">
        <v>0.58886637418106091</v>
      </c>
      <c r="S261" s="154">
        <v>0.2160181149430864</v>
      </c>
      <c r="T261" s="156">
        <v>0.11020744855506606</v>
      </c>
      <c r="U261" s="157">
        <v>3291430</v>
      </c>
      <c r="V261" s="158">
        <v>2173786</v>
      </c>
      <c r="W261" s="157">
        <v>12861426</v>
      </c>
      <c r="X261" s="158">
        <v>11457202</v>
      </c>
      <c r="Y261" s="157">
        <v>-603809</v>
      </c>
      <c r="Z261" s="158">
        <v>322051</v>
      </c>
      <c r="AA261" s="159">
        <v>2096927</v>
      </c>
      <c r="AB261" s="159">
        <v>2092983</v>
      </c>
      <c r="AC261" s="157">
        <v>1611102</v>
      </c>
      <c r="AD261" s="158">
        <v>1272573</v>
      </c>
      <c r="AE261" s="157">
        <v>0</v>
      </c>
      <c r="AF261" s="158">
        <v>0</v>
      </c>
      <c r="AG261" s="157">
        <v>199017.77999999988</v>
      </c>
      <c r="AH261" s="158">
        <v>621213.89999999991</v>
      </c>
      <c r="AI261" s="157">
        <v>7885798.8100000015</v>
      </c>
      <c r="AJ261" s="158">
        <v>12445869.759999998</v>
      </c>
      <c r="AK261" s="154">
        <v>0</v>
      </c>
      <c r="AL261" s="156">
        <v>0</v>
      </c>
      <c r="AM261" s="154">
        <v>2.1143697472831437E-2</v>
      </c>
      <c r="AN261" s="156">
        <v>5.8870663799265754E-2</v>
      </c>
      <c r="AO261" s="154">
        <v>0.83778918833409899</v>
      </c>
      <c r="AP261" s="156">
        <v>1.1794594652991641</v>
      </c>
      <c r="AQ261" s="154">
        <v>0.89002999999999999</v>
      </c>
      <c r="AR261" s="155">
        <v>0.79256000000000004</v>
      </c>
      <c r="AS261" s="156">
        <v>0.84130000000000005</v>
      </c>
    </row>
    <row r="262" spans="1:45" x14ac:dyDescent="0.2">
      <c r="A262" s="152">
        <v>7710</v>
      </c>
      <c r="B262" s="153" t="s">
        <v>289</v>
      </c>
      <c r="C262" s="154">
        <v>0.23923219790264733</v>
      </c>
      <c r="D262" s="156">
        <v>0.24141044719060928</v>
      </c>
      <c r="E262" s="154">
        <v>0.64169732530582002</v>
      </c>
      <c r="F262" s="156">
        <v>0.85691035753443834</v>
      </c>
      <c r="G262" s="154">
        <v>-0.10458004536403064</v>
      </c>
      <c r="H262" s="156">
        <v>1.940661200743558E-2</v>
      </c>
      <c r="I262" s="154">
        <v>0.2963974821752452</v>
      </c>
      <c r="J262" s="156">
        <v>0.35983885484801431</v>
      </c>
      <c r="K262" s="157">
        <v>147</v>
      </c>
      <c r="L262" s="158">
        <v>210</v>
      </c>
      <c r="M262" s="154">
        <v>0</v>
      </c>
      <c r="N262" s="156">
        <v>0</v>
      </c>
      <c r="O262" s="157">
        <v>402.63917525773195</v>
      </c>
      <c r="P262" s="158">
        <v>389.81909547738695</v>
      </c>
      <c r="Q262" s="154">
        <v>0.6166704468433134</v>
      </c>
      <c r="R262" s="156">
        <v>0.66168657317887314</v>
      </c>
      <c r="S262" s="154">
        <v>0.14966276841717285</v>
      </c>
      <c r="T262" s="156">
        <v>9.1554737966528008E-2</v>
      </c>
      <c r="U262" s="157">
        <v>33386591</v>
      </c>
      <c r="V262" s="158">
        <v>39837053</v>
      </c>
      <c r="W262" s="157">
        <v>152078431</v>
      </c>
      <c r="X262" s="158">
        <v>163663862</v>
      </c>
      <c r="Y262" s="157">
        <v>-14594905</v>
      </c>
      <c r="Z262" s="158">
        <v>3202439</v>
      </c>
      <c r="AA262" s="159">
        <v>23612670</v>
      </c>
      <c r="AB262" s="159">
        <v>32459930</v>
      </c>
      <c r="AC262" s="157">
        <v>11509734</v>
      </c>
      <c r="AD262" s="158">
        <v>16294458</v>
      </c>
      <c r="AE262" s="157">
        <v>0</v>
      </c>
      <c r="AF262" s="158">
        <v>0</v>
      </c>
      <c r="AG262" s="157">
        <v>3310731.7299999986</v>
      </c>
      <c r="AH262" s="158">
        <v>3777651.8699999927</v>
      </c>
      <c r="AI262" s="157">
        <v>71030016.569999993</v>
      </c>
      <c r="AJ262" s="158">
        <v>76423211</v>
      </c>
      <c r="AK262" s="154">
        <v>0</v>
      </c>
      <c r="AL262" s="156">
        <v>0</v>
      </c>
      <c r="AM262" s="154">
        <v>2.8977515407073065E-2</v>
      </c>
      <c r="AN262" s="156">
        <v>2.8070693319737033E-2</v>
      </c>
      <c r="AO262" s="154">
        <v>0.62169742745113055</v>
      </c>
      <c r="AP262" s="156">
        <v>0.56787988737844119</v>
      </c>
      <c r="AQ262" s="154">
        <v>0.87653000000000003</v>
      </c>
      <c r="AR262" s="155">
        <v>0.77137</v>
      </c>
      <c r="AS262" s="156">
        <v>0.82399999999999995</v>
      </c>
    </row>
    <row r="263" spans="1:45" x14ac:dyDescent="0.2">
      <c r="A263" s="152">
        <v>7801</v>
      </c>
      <c r="B263" s="153" t="s">
        <v>300</v>
      </c>
      <c r="C263" s="154">
        <v>0.16080615947799018</v>
      </c>
      <c r="D263" s="156">
        <v>0.12945060559226063</v>
      </c>
      <c r="E263" s="154">
        <v>0.50681269114684757</v>
      </c>
      <c r="F263" s="156">
        <v>0.24892809681018366</v>
      </c>
      <c r="G263" s="154">
        <v>2.6111924253761267E-2</v>
      </c>
      <c r="H263" s="156">
        <v>-9.1218430924352584E-2</v>
      </c>
      <c r="I263" s="154">
        <v>0</v>
      </c>
      <c r="J263" s="156">
        <v>1.4533351292409872E-2</v>
      </c>
      <c r="K263" s="157">
        <v>0</v>
      </c>
      <c r="L263" s="158">
        <v>16</v>
      </c>
      <c r="M263" s="154">
        <v>0</v>
      </c>
      <c r="N263" s="156">
        <v>0</v>
      </c>
      <c r="O263" s="157">
        <v>66.777777777777771</v>
      </c>
      <c r="P263" s="158">
        <v>63.531914893617021</v>
      </c>
      <c r="Q263" s="154">
        <v>0.5387102931708031</v>
      </c>
      <c r="R263" s="156">
        <v>0.40418302840945342</v>
      </c>
      <c r="S263" s="154">
        <v>0.1682137601534017</v>
      </c>
      <c r="T263" s="156">
        <v>0.33688408652678309</v>
      </c>
      <c r="U263" s="157">
        <v>1969019</v>
      </c>
      <c r="V263" s="158">
        <v>2353419</v>
      </c>
      <c r="W263" s="157">
        <v>11965448</v>
      </c>
      <c r="X263" s="158">
        <v>20031994</v>
      </c>
      <c r="Y263" s="157">
        <v>319732</v>
      </c>
      <c r="Z263" s="158">
        <v>-1658356</v>
      </c>
      <c r="AA263" s="159">
        <v>3115057</v>
      </c>
      <c r="AB263" s="159">
        <v>2141575</v>
      </c>
      <c r="AC263" s="157">
        <v>0</v>
      </c>
      <c r="AD263" s="158">
        <v>46289</v>
      </c>
      <c r="AE263" s="157">
        <v>0</v>
      </c>
      <c r="AF263" s="158">
        <v>0</v>
      </c>
      <c r="AG263" s="157">
        <v>149018.10000000021</v>
      </c>
      <c r="AH263" s="158">
        <v>238931.55000000171</v>
      </c>
      <c r="AI263" s="157">
        <v>2329578.9800000004</v>
      </c>
      <c r="AJ263" s="158">
        <v>11102568.029999999</v>
      </c>
      <c r="AK263" s="154">
        <v>0</v>
      </c>
      <c r="AL263" s="156">
        <v>0</v>
      </c>
      <c r="AM263" s="154">
        <v>1.5782373314972953E-2</v>
      </c>
      <c r="AN263" s="156">
        <v>1.8946216423177821E-2</v>
      </c>
      <c r="AO263" s="154">
        <v>0.24672362034594367</v>
      </c>
      <c r="AP263" s="156">
        <v>0.88038459864104812</v>
      </c>
      <c r="AQ263" s="154">
        <v>0.81950000000000001</v>
      </c>
      <c r="AR263" s="155">
        <v>0.65447</v>
      </c>
      <c r="AS263" s="156">
        <v>0.73699999999999999</v>
      </c>
    </row>
    <row r="264" spans="1:45" x14ac:dyDescent="0.2">
      <c r="A264" s="152">
        <v>7802</v>
      </c>
      <c r="B264" s="153" t="s">
        <v>301</v>
      </c>
      <c r="C264" s="154">
        <v>0.24299294171791039</v>
      </c>
      <c r="D264" s="156">
        <v>0.1702016414349056</v>
      </c>
      <c r="E264" s="154">
        <v>0.86595352045520435</v>
      </c>
      <c r="F264" s="156">
        <v>0.59431996382923835</v>
      </c>
      <c r="G264" s="154">
        <v>0.11242956774663752</v>
      </c>
      <c r="H264" s="156">
        <v>-4.344397944158071E-3</v>
      </c>
      <c r="I264" s="154">
        <v>4.0171912670904072E-2</v>
      </c>
      <c r="J264" s="156">
        <v>0</v>
      </c>
      <c r="K264" s="157">
        <v>26</v>
      </c>
      <c r="L264" s="158">
        <v>0</v>
      </c>
      <c r="M264" s="154">
        <v>0</v>
      </c>
      <c r="N264" s="156">
        <v>0</v>
      </c>
      <c r="O264" s="157">
        <v>181.25874125874125</v>
      </c>
      <c r="P264" s="158">
        <v>164.03846153846155</v>
      </c>
      <c r="Q264" s="154">
        <v>0.61953581849492467</v>
      </c>
      <c r="R264" s="156">
        <v>0.65460548705577326</v>
      </c>
      <c r="S264" s="154">
        <v>0.12550718511890743</v>
      </c>
      <c r="T264" s="156">
        <v>0.13003456006790262</v>
      </c>
      <c r="U264" s="157">
        <v>6302072</v>
      </c>
      <c r="V264" s="158">
        <v>4321997</v>
      </c>
      <c r="W264" s="157">
        <v>23081316</v>
      </c>
      <c r="X264" s="158">
        <v>25872345</v>
      </c>
      <c r="Y264" s="157">
        <v>2915884</v>
      </c>
      <c r="Z264" s="158">
        <v>-110319</v>
      </c>
      <c r="AA264" s="159">
        <v>7056744</v>
      </c>
      <c r="AB264" s="159">
        <v>6655519</v>
      </c>
      <c r="AC264" s="157">
        <v>331381</v>
      </c>
      <c r="AD264" s="158">
        <v>0</v>
      </c>
      <c r="AE264" s="157">
        <v>0</v>
      </c>
      <c r="AF264" s="158">
        <v>0</v>
      </c>
      <c r="AG264" s="157">
        <v>926390.67000000062</v>
      </c>
      <c r="AH264" s="158">
        <v>2744412.1700000013</v>
      </c>
      <c r="AI264" s="157">
        <v>2709007.41</v>
      </c>
      <c r="AJ264" s="158">
        <v>6353743.6600000001</v>
      </c>
      <c r="AK264" s="154">
        <v>0</v>
      </c>
      <c r="AL264" s="156">
        <v>0</v>
      </c>
      <c r="AM264" s="154">
        <v>5.1169247304059445E-2</v>
      </c>
      <c r="AN264" s="156">
        <v>0.12966448211992651</v>
      </c>
      <c r="AO264" s="154">
        <v>0.14963219578929857</v>
      </c>
      <c r="AP264" s="156">
        <v>0.30019356793504748</v>
      </c>
      <c r="AQ264" s="154">
        <v>0.77895000000000003</v>
      </c>
      <c r="AR264" s="155">
        <v>0.75163999999999997</v>
      </c>
      <c r="AS264" s="156">
        <v>0.76529999999999998</v>
      </c>
    </row>
    <row r="265" spans="1:45" x14ac:dyDescent="0.2">
      <c r="A265" s="152">
        <v>7803</v>
      </c>
      <c r="B265" s="153" t="s">
        <v>302</v>
      </c>
      <c r="C265" s="154">
        <v>0.16967409888234478</v>
      </c>
      <c r="D265" s="156">
        <v>0.16638408509625247</v>
      </c>
      <c r="E265" s="154">
        <v>0.69613331592288863</v>
      </c>
      <c r="F265" s="156">
        <v>0.82386085908389006</v>
      </c>
      <c r="G265" s="154">
        <v>3.7952291437372568E-2</v>
      </c>
      <c r="H265" s="156">
        <v>1.8746419524310127E-2</v>
      </c>
      <c r="I265" s="154">
        <v>2.5461951020788547E-3</v>
      </c>
      <c r="J265" s="156">
        <v>0</v>
      </c>
      <c r="K265" s="157">
        <v>1</v>
      </c>
      <c r="L265" s="158">
        <v>0</v>
      </c>
      <c r="M265" s="154">
        <v>2.2996768580853442E-3</v>
      </c>
      <c r="N265" s="156">
        <v>2.4994198359530834E-3</v>
      </c>
      <c r="O265" s="157">
        <v>114.98305084745763</v>
      </c>
      <c r="P265" s="158">
        <v>113.61797752808988</v>
      </c>
      <c r="Q265" s="154">
        <v>0.69730881353694329</v>
      </c>
      <c r="R265" s="156">
        <v>0.76994259564711898</v>
      </c>
      <c r="S265" s="154">
        <v>7.2250191129599517E-2</v>
      </c>
      <c r="T265" s="156">
        <v>3.0766950480951297E-2</v>
      </c>
      <c r="U265" s="157">
        <v>3513231</v>
      </c>
      <c r="V265" s="158">
        <v>3537806</v>
      </c>
      <c r="W265" s="157">
        <v>19828169</v>
      </c>
      <c r="X265" s="158">
        <v>20800339</v>
      </c>
      <c r="Y265" s="157">
        <v>785831</v>
      </c>
      <c r="Z265" s="158">
        <v>398603</v>
      </c>
      <c r="AA265" s="159">
        <v>6307167</v>
      </c>
      <c r="AB265" s="159">
        <v>6622572</v>
      </c>
      <c r="AC265" s="157">
        <v>13169</v>
      </c>
      <c r="AD265" s="158">
        <v>0</v>
      </c>
      <c r="AE265" s="157">
        <v>11894</v>
      </c>
      <c r="AF265" s="158">
        <v>12989</v>
      </c>
      <c r="AG265" s="157">
        <v>313073.38000000064</v>
      </c>
      <c r="AH265" s="158">
        <v>269736.80000000098</v>
      </c>
      <c r="AI265" s="157">
        <v>3118361.42</v>
      </c>
      <c r="AJ265" s="158">
        <v>7380502.8600000003</v>
      </c>
      <c r="AK265" s="154">
        <v>5.9985367282274025E-4</v>
      </c>
      <c r="AL265" s="156">
        <v>6.2446097633312608E-4</v>
      </c>
      <c r="AM265" s="154">
        <v>1.9498144467066582E-2</v>
      </c>
      <c r="AN265" s="156">
        <v>1.4809656269587091E-2</v>
      </c>
      <c r="AO265" s="154">
        <v>0.19421089543827316</v>
      </c>
      <c r="AP265" s="156">
        <v>0.40521986786120423</v>
      </c>
      <c r="AQ265" s="154">
        <v>0.78425999999999996</v>
      </c>
      <c r="AR265" s="155">
        <v>0.67349999999999999</v>
      </c>
      <c r="AS265" s="156">
        <v>0.72889999999999999</v>
      </c>
    </row>
    <row r="266" spans="1:45" x14ac:dyDescent="0.2">
      <c r="A266" s="152">
        <v>7804</v>
      </c>
      <c r="B266" s="153" t="s">
        <v>303</v>
      </c>
      <c r="C266" s="154">
        <v>0.21824339419521704</v>
      </c>
      <c r="D266" s="156">
        <v>0.23060812282101828</v>
      </c>
      <c r="E266" s="154">
        <v>0.50489433657103744</v>
      </c>
      <c r="F266" s="156">
        <v>0.65866613834811494</v>
      </c>
      <c r="G266" s="154">
        <v>-5.0427747439951029E-2</v>
      </c>
      <c r="H266" s="156">
        <v>-5.9035131452904455E-2</v>
      </c>
      <c r="I266" s="154">
        <v>1.51732487363508E-2</v>
      </c>
      <c r="J266" s="156">
        <v>3.1919465165657454E-2</v>
      </c>
      <c r="K266" s="157">
        <v>7</v>
      </c>
      <c r="L266" s="158">
        <v>17</v>
      </c>
      <c r="M266" s="154">
        <v>0</v>
      </c>
      <c r="N266" s="156">
        <v>0</v>
      </c>
      <c r="O266" s="157">
        <v>260.72151898734177</v>
      </c>
      <c r="P266" s="158">
        <v>263.33757961783442</v>
      </c>
      <c r="Q266" s="154">
        <v>0.52486292122538658</v>
      </c>
      <c r="R266" s="156">
        <v>0.58116710306410668</v>
      </c>
      <c r="S266" s="154">
        <v>0.1703146586330162</v>
      </c>
      <c r="T266" s="156">
        <v>0.11712180213705839</v>
      </c>
      <c r="U266" s="157">
        <v>7563971</v>
      </c>
      <c r="V266" s="158">
        <v>8524251</v>
      </c>
      <c r="W266" s="157">
        <v>36414828</v>
      </c>
      <c r="X266" s="158">
        <v>38464555</v>
      </c>
      <c r="Y266" s="157">
        <v>-1747746</v>
      </c>
      <c r="Z266" s="158">
        <v>-2182188</v>
      </c>
      <c r="AA266" s="159">
        <v>4909748</v>
      </c>
      <c r="AB266" s="159">
        <v>2930903</v>
      </c>
      <c r="AC266" s="157">
        <v>154005</v>
      </c>
      <c r="AD266" s="158">
        <v>354978</v>
      </c>
      <c r="AE266" s="157">
        <v>0</v>
      </c>
      <c r="AF266" s="158">
        <v>0</v>
      </c>
      <c r="AG266" s="157">
        <v>715765.69999999844</v>
      </c>
      <c r="AH266" s="158">
        <v>391352.78000000096</v>
      </c>
      <c r="AI266" s="157">
        <v>8166884.6000000015</v>
      </c>
      <c r="AJ266" s="158">
        <v>8740144.5199999996</v>
      </c>
      <c r="AK266" s="154">
        <v>0</v>
      </c>
      <c r="AL266" s="156">
        <v>0</v>
      </c>
      <c r="AM266" s="154">
        <v>2.6019550495996403E-2</v>
      </c>
      <c r="AN266" s="156">
        <v>1.2095065208272112E-2</v>
      </c>
      <c r="AO266" s="154">
        <v>0.29688299711019384</v>
      </c>
      <c r="AP266" s="156">
        <v>0.27012103478381294</v>
      </c>
      <c r="AQ266" s="154">
        <v>0.83830000000000005</v>
      </c>
      <c r="AR266" s="155">
        <v>0.64834000000000003</v>
      </c>
      <c r="AS266" s="156">
        <v>0.74329999999999996</v>
      </c>
    </row>
    <row r="267" spans="1:45" ht="12" thickBot="1" x14ac:dyDescent="0.25">
      <c r="A267" s="161">
        <v>7805</v>
      </c>
      <c r="B267" s="162" t="s">
        <v>299</v>
      </c>
      <c r="C267" s="163">
        <v>0.21618747201792363</v>
      </c>
      <c r="D267" s="165">
        <v>0.20240163098810351</v>
      </c>
      <c r="E267" s="163">
        <v>0.64239233878584334</v>
      </c>
      <c r="F267" s="165">
        <v>0.73316011184304408</v>
      </c>
      <c r="G267" s="163">
        <v>-0.14811473201397782</v>
      </c>
      <c r="H267" s="165">
        <v>-6.9069392714765391E-3</v>
      </c>
      <c r="I267" s="163">
        <v>0.5677047709112083</v>
      </c>
      <c r="J267" s="165">
        <v>0.46843932197658861</v>
      </c>
      <c r="K267" s="166">
        <v>239</v>
      </c>
      <c r="L267" s="167">
        <v>225</v>
      </c>
      <c r="M267" s="163">
        <v>0</v>
      </c>
      <c r="N267" s="165">
        <v>2.4233958166786328E-2</v>
      </c>
      <c r="O267" s="166">
        <v>439.42753623188406</v>
      </c>
      <c r="P267" s="167">
        <v>436.16788321167883</v>
      </c>
      <c r="Q267" s="163">
        <v>0.58212081180869846</v>
      </c>
      <c r="R267" s="165">
        <v>0.6062492220211454</v>
      </c>
      <c r="S267" s="163">
        <v>0.14125835595769562</v>
      </c>
      <c r="T267" s="165">
        <v>0.11935263667677402</v>
      </c>
      <c r="U267" s="166">
        <v>22224594</v>
      </c>
      <c r="V267" s="167">
        <v>25358888</v>
      </c>
      <c r="W267" s="166">
        <v>114835281</v>
      </c>
      <c r="X267" s="167">
        <v>129068418</v>
      </c>
      <c r="Y267" s="166">
        <v>-15226552</v>
      </c>
      <c r="Z267" s="167">
        <v>-865370</v>
      </c>
      <c r="AA267" s="168">
        <v>21931351</v>
      </c>
      <c r="AB267" s="168">
        <v>27494087</v>
      </c>
      <c r="AC267" s="166">
        <v>14500028</v>
      </c>
      <c r="AD267" s="167">
        <v>13432773</v>
      </c>
      <c r="AE267" s="166">
        <v>0</v>
      </c>
      <c r="AF267" s="167">
        <v>694923</v>
      </c>
      <c r="AG267" s="166">
        <v>2180011.73</v>
      </c>
      <c r="AH267" s="167">
        <v>1531395.9700000067</v>
      </c>
      <c r="AI267" s="166">
        <v>42355032.269999996</v>
      </c>
      <c r="AJ267" s="167">
        <v>47917185.590000004</v>
      </c>
      <c r="AK267" s="163">
        <v>0</v>
      </c>
      <c r="AL267" s="165">
        <v>5.3841444000653979E-3</v>
      </c>
      <c r="AM267" s="163">
        <v>2.5012155555357449E-2</v>
      </c>
      <c r="AN267" s="165">
        <v>1.4738792614834968E-2</v>
      </c>
      <c r="AO267" s="163">
        <v>0.4859564015691899</v>
      </c>
      <c r="AP267" s="165">
        <v>0.46117495078530574</v>
      </c>
      <c r="AQ267" s="163">
        <v>0.83265</v>
      </c>
      <c r="AR267" s="164">
        <v>0.74236999999999997</v>
      </c>
      <c r="AS267" s="165">
        <v>0.78749999999999998</v>
      </c>
    </row>
    <row r="268" spans="1:45" s="177" customFormat="1" ht="12" thickBot="1" x14ac:dyDescent="0.25">
      <c r="A268" s="169"/>
      <c r="B268" s="170" t="s">
        <v>336</v>
      </c>
      <c r="C268" s="171">
        <v>0.26853991033064223</v>
      </c>
      <c r="D268" s="173">
        <v>0.24983015874771231</v>
      </c>
      <c r="E268" s="171">
        <v>0.74076812699292582</v>
      </c>
      <c r="F268" s="173">
        <v>0.67268756554109921</v>
      </c>
      <c r="G268" s="171">
        <v>-1.6371523736339232E-2</v>
      </c>
      <c r="H268" s="173">
        <v>-2.101889848441104E-2</v>
      </c>
      <c r="I268" s="171">
        <v>0.46578148678966597</v>
      </c>
      <c r="J268" s="173">
        <v>0.4386933641928884</v>
      </c>
      <c r="K268" s="174">
        <v>275</v>
      </c>
      <c r="L268" s="175">
        <v>273</v>
      </c>
      <c r="M268" s="171">
        <v>4.1627938437985179E-2</v>
      </c>
      <c r="N268" s="173">
        <v>3.5718193556502763E-2</v>
      </c>
      <c r="O268" s="174">
        <v>264.78431920101184</v>
      </c>
      <c r="P268" s="175">
        <v>265.22430252654101</v>
      </c>
      <c r="Q268" s="171">
        <v>0.54757630772166066</v>
      </c>
      <c r="R268" s="173">
        <v>0.55127053667862458</v>
      </c>
      <c r="S268" s="171">
        <v>0.15019103214601789</v>
      </c>
      <c r="T268" s="173">
        <v>0.16406700337616953</v>
      </c>
      <c r="U268" s="174">
        <v>3348897849</v>
      </c>
      <c r="V268" s="175">
        <v>3545817535</v>
      </c>
      <c r="W268" s="174">
        <v>12506450353</v>
      </c>
      <c r="X268" s="175">
        <v>14724831022</v>
      </c>
      <c r="Y268" s="174">
        <v>-204165409</v>
      </c>
      <c r="Z268" s="175">
        <v>-298319383</v>
      </c>
      <c r="AA268" s="176">
        <v>2131516013</v>
      </c>
      <c r="AB268" s="176">
        <v>1922833738</v>
      </c>
      <c r="AC268" s="174">
        <v>1770494096</v>
      </c>
      <c r="AD268" s="175">
        <v>1756548250</v>
      </c>
      <c r="AE268" s="174">
        <v>158233037</v>
      </c>
      <c r="AF268" s="175">
        <v>143017277</v>
      </c>
      <c r="AG268" s="174">
        <v>610180048.0399996</v>
      </c>
      <c r="AH268" s="175">
        <v>932754662.11999977</v>
      </c>
      <c r="AI268" s="174">
        <v>5086091309.0300016</v>
      </c>
      <c r="AJ268" s="175">
        <v>6613132726.1300001</v>
      </c>
      <c r="AK268" s="171">
        <v>1.2652114111822597E-2</v>
      </c>
      <c r="AL268" s="173">
        <v>9.7126599813825692E-3</v>
      </c>
      <c r="AM268" s="171">
        <v>6.2851785130108709E-2</v>
      </c>
      <c r="AN268" s="173">
        <v>8.0657965663818193E-2</v>
      </c>
      <c r="AO268" s="171">
        <v>0.5238944130246479</v>
      </c>
      <c r="AP268" s="173">
        <v>0.57185651706326535</v>
      </c>
      <c r="AQ268" s="171">
        <v>0.80248150943396246</v>
      </c>
      <c r="AR268" s="172">
        <v>0.71835086792452807</v>
      </c>
      <c r="AS268" s="173">
        <v>0.76039999999999996</v>
      </c>
    </row>
    <row r="270" spans="1:45" ht="15.75" x14ac:dyDescent="0.25">
      <c r="B270" s="178" t="s">
        <v>337</v>
      </c>
      <c r="C270" s="179"/>
      <c r="D270" s="180"/>
      <c r="E270" s="180"/>
      <c r="F270" s="180"/>
      <c r="G270" s="180"/>
      <c r="H270" s="181"/>
    </row>
    <row r="271" spans="1:45" ht="29.25" customHeight="1" x14ac:dyDescent="0.2">
      <c r="B271" s="277" t="s">
        <v>338</v>
      </c>
      <c r="C271" s="277"/>
      <c r="D271" s="277"/>
      <c r="E271" s="277"/>
      <c r="F271" s="277"/>
      <c r="G271" s="277"/>
      <c r="H271" s="277"/>
    </row>
    <row r="272" spans="1:45" ht="15.75" x14ac:dyDescent="0.25">
      <c r="B272" s="178" t="s">
        <v>339</v>
      </c>
      <c r="C272" s="179"/>
      <c r="D272" s="180"/>
      <c r="E272" s="180"/>
      <c r="F272" s="180"/>
      <c r="G272" s="180"/>
      <c r="H272" s="181"/>
    </row>
    <row r="274" spans="3:45" x14ac:dyDescent="0.2"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  <c r="AB274" s="184"/>
      <c r="AC274" s="184"/>
      <c r="AD274" s="184"/>
      <c r="AE274" s="184"/>
      <c r="AF274" s="184"/>
      <c r="AG274" s="184"/>
      <c r="AH274" s="184"/>
      <c r="AI274" s="184"/>
      <c r="AJ274" s="184"/>
      <c r="AK274" s="184"/>
      <c r="AL274" s="184"/>
      <c r="AM274" s="184"/>
      <c r="AN274" s="184"/>
      <c r="AO274" s="184"/>
      <c r="AP274" s="184"/>
      <c r="AQ274" s="184"/>
      <c r="AR274" s="184"/>
      <c r="AS274" s="184"/>
    </row>
  </sheetData>
  <autoFilter ref="A1:AS268"/>
  <mergeCells count="1">
    <mergeCell ref="B271:H271"/>
  </mergeCells>
  <conditionalFormatting sqref="C3:AS268">
    <cfRule type="expression" dxfId="11" priority="1">
      <formula>ROUND(C3,4)=0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H272"/>
  <sheetViews>
    <sheetView showGridLines="0" zoomScaleNormal="100" workbookViewId="0">
      <pane xSplit="2" ySplit="2" topLeftCell="C247" activePane="bottomRight" state="frozen"/>
      <selection sqref="A1:XFD2"/>
      <selection pane="topRight" sqref="A1:XFD2"/>
      <selection pane="bottomLeft" sqref="A1:XFD2"/>
      <selection pane="bottomRight" activeCell="D233" sqref="D233"/>
    </sheetView>
  </sheetViews>
  <sheetFormatPr defaultRowHeight="12" x14ac:dyDescent="0.2"/>
  <cols>
    <col min="1" max="1" width="5" style="189" bestFit="1" customWidth="1"/>
    <col min="2" max="2" width="22.5703125" style="189" customWidth="1"/>
    <col min="3" max="23" width="10.7109375" style="189" customWidth="1"/>
    <col min="24" max="30" width="10.7109375" style="187" customWidth="1"/>
    <col min="31" max="31" width="11.5703125" style="189" customWidth="1"/>
    <col min="32" max="32" width="11.5703125" style="187" customWidth="1"/>
    <col min="33" max="33" width="11.5703125" style="189" customWidth="1"/>
    <col min="34" max="34" width="11.5703125" style="187" customWidth="1"/>
    <col min="35" max="16384" width="9.140625" style="187"/>
  </cols>
  <sheetData>
    <row r="1" spans="1:34" ht="135.75" thickBot="1" x14ac:dyDescent="0.25">
      <c r="A1" s="185" t="s">
        <v>340</v>
      </c>
      <c r="B1" s="186"/>
      <c r="C1" s="133" t="s">
        <v>341</v>
      </c>
      <c r="D1" s="135"/>
      <c r="E1" s="133" t="s">
        <v>342</v>
      </c>
      <c r="F1" s="135"/>
      <c r="G1" s="133" t="s">
        <v>343</v>
      </c>
      <c r="H1" s="135"/>
      <c r="I1" s="133" t="s">
        <v>344</v>
      </c>
      <c r="J1" s="135"/>
      <c r="K1" s="133" t="s">
        <v>345</v>
      </c>
      <c r="L1" s="135"/>
      <c r="M1" s="133" t="s">
        <v>346</v>
      </c>
      <c r="N1" s="135"/>
      <c r="O1" s="133" t="s">
        <v>347</v>
      </c>
      <c r="P1" s="135"/>
      <c r="Q1" s="133" t="s">
        <v>348</v>
      </c>
      <c r="R1" s="135"/>
      <c r="S1" s="133" t="s">
        <v>349</v>
      </c>
      <c r="T1" s="135"/>
      <c r="U1" s="133" t="s">
        <v>350</v>
      </c>
      <c r="V1" s="135"/>
      <c r="W1" s="133" t="s">
        <v>351</v>
      </c>
      <c r="X1" s="135"/>
      <c r="Y1" s="133" t="s">
        <v>352</v>
      </c>
      <c r="Z1" s="135"/>
      <c r="AA1" s="133" t="s">
        <v>353</v>
      </c>
      <c r="AB1" s="135"/>
      <c r="AC1" s="133" t="s">
        <v>354</v>
      </c>
      <c r="AD1" s="135"/>
      <c r="AE1" s="133" t="s">
        <v>395</v>
      </c>
      <c r="AF1" s="135" t="s">
        <v>395</v>
      </c>
      <c r="AG1" s="133" t="s">
        <v>396</v>
      </c>
      <c r="AH1" s="135" t="s">
        <v>396</v>
      </c>
    </row>
    <row r="2" spans="1:34" s="188" customFormat="1" ht="23.25" thickBot="1" x14ac:dyDescent="0.3">
      <c r="A2" s="138" t="s">
        <v>335</v>
      </c>
      <c r="B2" s="139"/>
      <c r="C2" s="140" t="s">
        <v>393</v>
      </c>
      <c r="D2" s="142" t="s">
        <v>394</v>
      </c>
      <c r="E2" s="140" t="s">
        <v>393</v>
      </c>
      <c r="F2" s="142" t="s">
        <v>394</v>
      </c>
      <c r="G2" s="140" t="s">
        <v>393</v>
      </c>
      <c r="H2" s="142" t="s">
        <v>394</v>
      </c>
      <c r="I2" s="140" t="s">
        <v>393</v>
      </c>
      <c r="J2" s="142" t="s">
        <v>394</v>
      </c>
      <c r="K2" s="140" t="s">
        <v>393</v>
      </c>
      <c r="L2" s="142" t="s">
        <v>394</v>
      </c>
      <c r="M2" s="140" t="s">
        <v>393</v>
      </c>
      <c r="N2" s="142" t="s">
        <v>394</v>
      </c>
      <c r="O2" s="140" t="s">
        <v>393</v>
      </c>
      <c r="P2" s="142" t="s">
        <v>394</v>
      </c>
      <c r="Q2" s="140" t="s">
        <v>393</v>
      </c>
      <c r="R2" s="142" t="s">
        <v>394</v>
      </c>
      <c r="S2" s="140" t="s">
        <v>393</v>
      </c>
      <c r="T2" s="142" t="s">
        <v>394</v>
      </c>
      <c r="U2" s="140" t="s">
        <v>393</v>
      </c>
      <c r="V2" s="142" t="s">
        <v>394</v>
      </c>
      <c r="W2" s="140" t="s">
        <v>393</v>
      </c>
      <c r="X2" s="142" t="s">
        <v>394</v>
      </c>
      <c r="Y2" s="140" t="s">
        <v>393</v>
      </c>
      <c r="Z2" s="142" t="s">
        <v>394</v>
      </c>
      <c r="AA2" s="140" t="s">
        <v>393</v>
      </c>
      <c r="AB2" s="142" t="s">
        <v>394</v>
      </c>
      <c r="AC2" s="140" t="s">
        <v>393</v>
      </c>
      <c r="AD2" s="142" t="s">
        <v>394</v>
      </c>
      <c r="AE2" s="140" t="s">
        <v>393</v>
      </c>
      <c r="AF2" s="142" t="s">
        <v>394</v>
      </c>
      <c r="AG2" s="140" t="s">
        <v>393</v>
      </c>
      <c r="AH2" s="142" t="s">
        <v>394</v>
      </c>
    </row>
    <row r="3" spans="1:34" x14ac:dyDescent="0.2">
      <c r="A3" s="144">
        <v>5101</v>
      </c>
      <c r="B3" s="145" t="s">
        <v>39</v>
      </c>
      <c r="C3" s="149">
        <v>0</v>
      </c>
      <c r="D3" s="150">
        <v>0</v>
      </c>
      <c r="E3" s="149">
        <v>635</v>
      </c>
      <c r="F3" s="150">
        <v>46342</v>
      </c>
      <c r="G3" s="149">
        <v>0</v>
      </c>
      <c r="H3" s="150">
        <v>0</v>
      </c>
      <c r="I3" s="149">
        <v>0</v>
      </c>
      <c r="J3" s="150">
        <v>50000</v>
      </c>
      <c r="K3" s="149">
        <v>-635</v>
      </c>
      <c r="L3" s="150">
        <v>3658</v>
      </c>
      <c r="M3" s="149">
        <v>0</v>
      </c>
      <c r="N3" s="150">
        <v>0</v>
      </c>
      <c r="O3" s="149">
        <v>600534</v>
      </c>
      <c r="P3" s="150">
        <v>2804965</v>
      </c>
      <c r="Q3" s="149">
        <v>594745</v>
      </c>
      <c r="R3" s="150">
        <v>1735788</v>
      </c>
      <c r="S3" s="149">
        <v>-173629</v>
      </c>
      <c r="T3" s="150">
        <v>1757515</v>
      </c>
      <c r="U3" s="149">
        <v>-179418</v>
      </c>
      <c r="V3" s="150">
        <v>688338</v>
      </c>
      <c r="W3" s="149">
        <v>133.89000000001397</v>
      </c>
      <c r="X3" s="150">
        <v>0</v>
      </c>
      <c r="Y3" s="149">
        <v>0</v>
      </c>
      <c r="Z3" s="150">
        <v>0</v>
      </c>
      <c r="AA3" s="149">
        <v>467438.32999999996</v>
      </c>
      <c r="AB3" s="150">
        <v>1550062.64</v>
      </c>
      <c r="AC3" s="149">
        <v>0</v>
      </c>
      <c r="AD3" s="150">
        <v>0</v>
      </c>
      <c r="AE3" s="146">
        <v>2.3774413787308682E-6</v>
      </c>
      <c r="AF3" s="148">
        <v>0</v>
      </c>
      <c r="AG3" s="146">
        <v>0</v>
      </c>
      <c r="AH3" s="148">
        <v>0</v>
      </c>
    </row>
    <row r="4" spans="1:34" x14ac:dyDescent="0.2">
      <c r="A4" s="152">
        <v>5102</v>
      </c>
      <c r="B4" s="153" t="s">
        <v>40</v>
      </c>
      <c r="C4" s="157">
        <v>0</v>
      </c>
      <c r="D4" s="158">
        <v>0</v>
      </c>
      <c r="E4" s="157">
        <v>4486048</v>
      </c>
      <c r="F4" s="158">
        <v>1697364</v>
      </c>
      <c r="G4" s="157">
        <v>5542201</v>
      </c>
      <c r="H4" s="158">
        <v>558690</v>
      </c>
      <c r="I4" s="157">
        <v>-29901</v>
      </c>
      <c r="J4" s="158">
        <v>72030</v>
      </c>
      <c r="K4" s="157">
        <v>1026252</v>
      </c>
      <c r="L4" s="158">
        <v>-1066644</v>
      </c>
      <c r="M4" s="157">
        <v>1111</v>
      </c>
      <c r="N4" s="158">
        <v>8157</v>
      </c>
      <c r="O4" s="157">
        <v>1309768</v>
      </c>
      <c r="P4" s="158">
        <v>2209479</v>
      </c>
      <c r="Q4" s="157">
        <v>1319011</v>
      </c>
      <c r="R4" s="158">
        <v>1813851</v>
      </c>
      <c r="S4" s="157">
        <v>-232489</v>
      </c>
      <c r="T4" s="158">
        <v>189068</v>
      </c>
      <c r="U4" s="157">
        <v>-222135</v>
      </c>
      <c r="V4" s="158">
        <v>-198403</v>
      </c>
      <c r="W4" s="157">
        <v>0</v>
      </c>
      <c r="X4" s="158">
        <v>102720.01000000001</v>
      </c>
      <c r="Y4" s="157">
        <v>0</v>
      </c>
      <c r="Z4" s="158">
        <v>0</v>
      </c>
      <c r="AA4" s="157">
        <v>5491011.5300000003</v>
      </c>
      <c r="AB4" s="158">
        <v>9283686.0300000012</v>
      </c>
      <c r="AC4" s="157">
        <v>0</v>
      </c>
      <c r="AD4" s="158">
        <v>0</v>
      </c>
      <c r="AE4" s="154">
        <v>0</v>
      </c>
      <c r="AF4" s="156">
        <v>4.0852320427084881E-3</v>
      </c>
      <c r="AG4" s="154">
        <v>0</v>
      </c>
      <c r="AH4" s="156">
        <v>0</v>
      </c>
    </row>
    <row r="5" spans="1:34" x14ac:dyDescent="0.2">
      <c r="A5" s="152">
        <v>5103</v>
      </c>
      <c r="B5" s="153" t="s">
        <v>38</v>
      </c>
      <c r="C5" s="157">
        <v>0</v>
      </c>
      <c r="D5" s="158">
        <v>0</v>
      </c>
      <c r="E5" s="157">
        <v>0</v>
      </c>
      <c r="F5" s="158">
        <v>0</v>
      </c>
      <c r="G5" s="157">
        <v>0</v>
      </c>
      <c r="H5" s="158">
        <v>0</v>
      </c>
      <c r="I5" s="157">
        <v>0</v>
      </c>
      <c r="J5" s="158">
        <v>0</v>
      </c>
      <c r="K5" s="157">
        <v>0</v>
      </c>
      <c r="L5" s="158">
        <v>0</v>
      </c>
      <c r="M5" s="157">
        <v>286</v>
      </c>
      <c r="N5" s="158">
        <v>112</v>
      </c>
      <c r="O5" s="157">
        <v>40708764</v>
      </c>
      <c r="P5" s="158">
        <v>5791381</v>
      </c>
      <c r="Q5" s="157">
        <v>31554381</v>
      </c>
      <c r="R5" s="158">
        <v>13098436</v>
      </c>
      <c r="S5" s="157">
        <v>7754577</v>
      </c>
      <c r="T5" s="158">
        <v>-7325875</v>
      </c>
      <c r="U5" s="157">
        <v>-1399520</v>
      </c>
      <c r="V5" s="158">
        <v>-18708</v>
      </c>
      <c r="W5" s="157">
        <v>272662.94999999553</v>
      </c>
      <c r="X5" s="158">
        <v>292888.37999999989</v>
      </c>
      <c r="Y5" s="157">
        <v>2.9999999999972715E-2</v>
      </c>
      <c r="Z5" s="158">
        <v>0</v>
      </c>
      <c r="AA5" s="157">
        <v>4507578.6000000006</v>
      </c>
      <c r="AB5" s="158">
        <v>7767466.5</v>
      </c>
      <c r="AC5" s="157">
        <v>0</v>
      </c>
      <c r="AD5" s="158">
        <v>0</v>
      </c>
      <c r="AE5" s="154">
        <v>2.1188408991735961E-3</v>
      </c>
      <c r="AF5" s="156">
        <v>1.824708972603857E-3</v>
      </c>
      <c r="AG5" s="154">
        <v>0</v>
      </c>
      <c r="AH5" s="156">
        <v>0</v>
      </c>
    </row>
    <row r="6" spans="1:34" x14ac:dyDescent="0.2">
      <c r="A6" s="152">
        <v>5104</v>
      </c>
      <c r="B6" s="153" t="s">
        <v>41</v>
      </c>
      <c r="C6" s="157">
        <v>24681</v>
      </c>
      <c r="D6" s="158">
        <v>30488</v>
      </c>
      <c r="E6" s="157">
        <v>809084</v>
      </c>
      <c r="F6" s="158">
        <v>205538</v>
      </c>
      <c r="G6" s="157">
        <v>762320</v>
      </c>
      <c r="H6" s="158">
        <v>149623</v>
      </c>
      <c r="I6" s="157">
        <v>0</v>
      </c>
      <c r="J6" s="158">
        <v>0</v>
      </c>
      <c r="K6" s="157">
        <v>-22083</v>
      </c>
      <c r="L6" s="158">
        <v>-25427</v>
      </c>
      <c r="M6" s="157">
        <v>0</v>
      </c>
      <c r="N6" s="158">
        <v>0</v>
      </c>
      <c r="O6" s="157">
        <v>8776328</v>
      </c>
      <c r="P6" s="158">
        <v>4682534</v>
      </c>
      <c r="Q6" s="157">
        <v>7364295</v>
      </c>
      <c r="R6" s="158">
        <v>6440385</v>
      </c>
      <c r="S6" s="157">
        <v>1613999</v>
      </c>
      <c r="T6" s="158">
        <v>-1914834</v>
      </c>
      <c r="U6" s="157">
        <v>201966</v>
      </c>
      <c r="V6" s="158">
        <v>-156983</v>
      </c>
      <c r="W6" s="157">
        <v>0</v>
      </c>
      <c r="X6" s="158">
        <v>4800</v>
      </c>
      <c r="Y6" s="157">
        <v>0</v>
      </c>
      <c r="Z6" s="158">
        <v>0</v>
      </c>
      <c r="AA6" s="157">
        <v>2836132.32</v>
      </c>
      <c r="AB6" s="158">
        <v>1397034.16</v>
      </c>
      <c r="AC6" s="157">
        <v>0</v>
      </c>
      <c r="AD6" s="158">
        <v>0</v>
      </c>
      <c r="AE6" s="154">
        <v>0</v>
      </c>
      <c r="AF6" s="156">
        <v>7.2161147749514042E-5</v>
      </c>
      <c r="AG6" s="154">
        <v>0</v>
      </c>
      <c r="AH6" s="156">
        <v>0</v>
      </c>
    </row>
    <row r="7" spans="1:34" x14ac:dyDescent="0.2">
      <c r="A7" s="152">
        <v>5105</v>
      </c>
      <c r="B7" s="153" t="s">
        <v>42</v>
      </c>
      <c r="C7" s="157">
        <v>0</v>
      </c>
      <c r="D7" s="158">
        <v>0</v>
      </c>
      <c r="E7" s="157">
        <v>104281</v>
      </c>
      <c r="F7" s="158">
        <v>215847</v>
      </c>
      <c r="G7" s="157">
        <v>493561</v>
      </c>
      <c r="H7" s="158">
        <v>597049</v>
      </c>
      <c r="I7" s="157">
        <v>-324664</v>
      </c>
      <c r="J7" s="158">
        <v>0</v>
      </c>
      <c r="K7" s="157">
        <v>64616</v>
      </c>
      <c r="L7" s="158">
        <v>381202</v>
      </c>
      <c r="M7" s="157">
        <v>0</v>
      </c>
      <c r="N7" s="158">
        <v>0</v>
      </c>
      <c r="O7" s="157">
        <v>1195290</v>
      </c>
      <c r="P7" s="158">
        <v>1454742</v>
      </c>
      <c r="Q7" s="157">
        <v>1259331</v>
      </c>
      <c r="R7" s="158">
        <v>1217814</v>
      </c>
      <c r="S7" s="157">
        <v>-97006</v>
      </c>
      <c r="T7" s="158">
        <v>180134</v>
      </c>
      <c r="U7" s="157">
        <v>-32965</v>
      </c>
      <c r="V7" s="158">
        <v>-56794</v>
      </c>
      <c r="W7" s="157">
        <v>948.75</v>
      </c>
      <c r="X7" s="158">
        <v>1564.859999999986</v>
      </c>
      <c r="Y7" s="157">
        <v>0</v>
      </c>
      <c r="Z7" s="158">
        <v>0</v>
      </c>
      <c r="AA7" s="157">
        <v>471987.36999999994</v>
      </c>
      <c r="AB7" s="158">
        <v>518235.99000000005</v>
      </c>
      <c r="AC7" s="157">
        <v>0</v>
      </c>
      <c r="AD7" s="158">
        <v>0</v>
      </c>
      <c r="AE7" s="154">
        <v>2.9058632617596114E-5</v>
      </c>
      <c r="AF7" s="156">
        <v>4.0971804085518395E-5</v>
      </c>
      <c r="AG7" s="154">
        <v>0</v>
      </c>
      <c r="AH7" s="156">
        <v>0</v>
      </c>
    </row>
    <row r="8" spans="1:34" x14ac:dyDescent="0.2">
      <c r="A8" s="152">
        <v>5106</v>
      </c>
      <c r="B8" s="153" t="s">
        <v>43</v>
      </c>
      <c r="C8" s="157">
        <v>0</v>
      </c>
      <c r="D8" s="158">
        <v>0</v>
      </c>
      <c r="E8" s="157">
        <v>1382150</v>
      </c>
      <c r="F8" s="158">
        <v>501839</v>
      </c>
      <c r="G8" s="157">
        <v>1382150</v>
      </c>
      <c r="H8" s="158">
        <v>1916860</v>
      </c>
      <c r="I8" s="157">
        <v>0</v>
      </c>
      <c r="J8" s="158">
        <v>0</v>
      </c>
      <c r="K8" s="157">
        <v>0</v>
      </c>
      <c r="L8" s="158">
        <v>1415021</v>
      </c>
      <c r="M8" s="157">
        <v>0</v>
      </c>
      <c r="N8" s="158">
        <v>0</v>
      </c>
      <c r="O8" s="157">
        <v>747081</v>
      </c>
      <c r="P8" s="158">
        <v>1094625</v>
      </c>
      <c r="Q8" s="157">
        <v>789045</v>
      </c>
      <c r="R8" s="158">
        <v>1129572</v>
      </c>
      <c r="S8" s="157">
        <v>-41050</v>
      </c>
      <c r="T8" s="158">
        <v>13402</v>
      </c>
      <c r="U8" s="157">
        <v>914</v>
      </c>
      <c r="V8" s="158">
        <v>48349</v>
      </c>
      <c r="W8" s="157">
        <v>13474.959999999992</v>
      </c>
      <c r="X8" s="158">
        <v>57472.749999999942</v>
      </c>
      <c r="Y8" s="157">
        <v>0</v>
      </c>
      <c r="Z8" s="158">
        <v>0</v>
      </c>
      <c r="AA8" s="157">
        <v>268826.78000000003</v>
      </c>
      <c r="AB8" s="158">
        <v>4961425.29</v>
      </c>
      <c r="AC8" s="157">
        <v>0</v>
      </c>
      <c r="AD8" s="158">
        <v>47107</v>
      </c>
      <c r="AE8" s="154">
        <v>6.9137562402928098E-4</v>
      </c>
      <c r="AF8" s="156">
        <v>2.4873613509547379E-3</v>
      </c>
      <c r="AG8" s="154">
        <v>0</v>
      </c>
      <c r="AH8" s="156">
        <v>2.0387423806834536E-3</v>
      </c>
    </row>
    <row r="9" spans="1:34" x14ac:dyDescent="0.2">
      <c r="A9" s="152">
        <v>5107</v>
      </c>
      <c r="B9" s="153" t="s">
        <v>44</v>
      </c>
      <c r="C9" s="157">
        <v>0</v>
      </c>
      <c r="D9" s="158">
        <v>0</v>
      </c>
      <c r="E9" s="157">
        <v>0</v>
      </c>
      <c r="F9" s="158">
        <v>0</v>
      </c>
      <c r="G9" s="157">
        <v>0</v>
      </c>
      <c r="H9" s="158">
        <v>0</v>
      </c>
      <c r="I9" s="157">
        <v>0</v>
      </c>
      <c r="J9" s="158">
        <v>0</v>
      </c>
      <c r="K9" s="157">
        <v>0</v>
      </c>
      <c r="L9" s="158">
        <v>0</v>
      </c>
      <c r="M9" s="157">
        <v>149</v>
      </c>
      <c r="N9" s="158">
        <v>82</v>
      </c>
      <c r="O9" s="157">
        <v>15445753</v>
      </c>
      <c r="P9" s="158">
        <v>11275931</v>
      </c>
      <c r="Q9" s="157">
        <v>7929301</v>
      </c>
      <c r="R9" s="158">
        <v>19472643</v>
      </c>
      <c r="S9" s="157">
        <v>8043574</v>
      </c>
      <c r="T9" s="158">
        <v>-9000767</v>
      </c>
      <c r="U9" s="157">
        <v>527271</v>
      </c>
      <c r="V9" s="158">
        <v>-803973</v>
      </c>
      <c r="W9" s="157">
        <v>0</v>
      </c>
      <c r="X9" s="158">
        <v>0</v>
      </c>
      <c r="Y9" s="157">
        <v>186.28999999999996</v>
      </c>
      <c r="Z9" s="158">
        <v>186.29000000003725</v>
      </c>
      <c r="AA9" s="157">
        <v>2989149.32</v>
      </c>
      <c r="AB9" s="158">
        <v>11699994.4</v>
      </c>
      <c r="AC9" s="157">
        <v>0</v>
      </c>
      <c r="AD9" s="158">
        <v>0</v>
      </c>
      <c r="AE9" s="154">
        <v>0</v>
      </c>
      <c r="AF9" s="156">
        <v>0</v>
      </c>
      <c r="AG9" s="154">
        <v>0</v>
      </c>
      <c r="AH9" s="156">
        <v>0</v>
      </c>
    </row>
    <row r="10" spans="1:34" x14ac:dyDescent="0.2">
      <c r="A10" s="152">
        <v>5108</v>
      </c>
      <c r="B10" s="153" t="s">
        <v>45</v>
      </c>
      <c r="C10" s="157">
        <v>0</v>
      </c>
      <c r="D10" s="158">
        <v>0</v>
      </c>
      <c r="E10" s="157">
        <v>3211</v>
      </c>
      <c r="F10" s="158">
        <v>2047295</v>
      </c>
      <c r="G10" s="157">
        <v>1426694</v>
      </c>
      <c r="H10" s="158">
        <v>974175</v>
      </c>
      <c r="I10" s="157">
        <v>3211</v>
      </c>
      <c r="J10" s="158">
        <v>40891</v>
      </c>
      <c r="K10" s="157">
        <v>1426694</v>
      </c>
      <c r="L10" s="158">
        <v>-1032229</v>
      </c>
      <c r="M10" s="157">
        <v>9653</v>
      </c>
      <c r="N10" s="158">
        <v>0</v>
      </c>
      <c r="O10" s="157">
        <v>1628132</v>
      </c>
      <c r="P10" s="158">
        <v>707715</v>
      </c>
      <c r="Q10" s="157">
        <v>1117652</v>
      </c>
      <c r="R10" s="158">
        <v>1849574</v>
      </c>
      <c r="S10" s="157">
        <v>490983</v>
      </c>
      <c r="T10" s="158">
        <v>-530022</v>
      </c>
      <c r="U10" s="157">
        <v>-9844</v>
      </c>
      <c r="V10" s="158">
        <v>611837</v>
      </c>
      <c r="W10" s="157">
        <v>10475.369999999879</v>
      </c>
      <c r="X10" s="158">
        <v>0</v>
      </c>
      <c r="Y10" s="157">
        <v>0</v>
      </c>
      <c r="Z10" s="158">
        <v>0</v>
      </c>
      <c r="AA10" s="157">
        <v>3330301.39</v>
      </c>
      <c r="AB10" s="158">
        <v>8279042.879999999</v>
      </c>
      <c r="AC10" s="157">
        <v>0</v>
      </c>
      <c r="AD10" s="158">
        <v>0</v>
      </c>
      <c r="AE10" s="154">
        <v>2.1141722481533341E-4</v>
      </c>
      <c r="AF10" s="156">
        <v>0</v>
      </c>
      <c r="AG10" s="154">
        <v>0</v>
      </c>
      <c r="AH10" s="156">
        <v>0</v>
      </c>
    </row>
    <row r="11" spans="1:34" x14ac:dyDescent="0.2">
      <c r="A11" s="152">
        <v>5109</v>
      </c>
      <c r="B11" s="153" t="s">
        <v>46</v>
      </c>
      <c r="C11" s="157">
        <v>937</v>
      </c>
      <c r="D11" s="158">
        <v>1190</v>
      </c>
      <c r="E11" s="157">
        <v>937</v>
      </c>
      <c r="F11" s="158">
        <v>401179</v>
      </c>
      <c r="G11" s="157">
        <v>0</v>
      </c>
      <c r="H11" s="158">
        <v>455028</v>
      </c>
      <c r="I11" s="157">
        <v>0</v>
      </c>
      <c r="J11" s="158">
        <v>-39063</v>
      </c>
      <c r="K11" s="157">
        <v>0</v>
      </c>
      <c r="L11" s="158">
        <v>15976</v>
      </c>
      <c r="M11" s="157">
        <v>0</v>
      </c>
      <c r="N11" s="158">
        <v>0</v>
      </c>
      <c r="O11" s="157">
        <v>1473700</v>
      </c>
      <c r="P11" s="158">
        <v>4667357</v>
      </c>
      <c r="Q11" s="157">
        <v>2194575</v>
      </c>
      <c r="R11" s="158">
        <v>4938853</v>
      </c>
      <c r="S11" s="157">
        <v>-714578</v>
      </c>
      <c r="T11" s="158">
        <v>-210043</v>
      </c>
      <c r="U11" s="157">
        <v>6297</v>
      </c>
      <c r="V11" s="158">
        <v>61453</v>
      </c>
      <c r="W11" s="157">
        <v>0</v>
      </c>
      <c r="X11" s="158">
        <v>1384037.3</v>
      </c>
      <c r="Y11" s="157">
        <v>0</v>
      </c>
      <c r="Z11" s="158">
        <v>0</v>
      </c>
      <c r="AA11" s="157">
        <v>1766309.4800000002</v>
      </c>
      <c r="AB11" s="158">
        <v>16827280.530000001</v>
      </c>
      <c r="AC11" s="157">
        <v>0</v>
      </c>
      <c r="AD11" s="158">
        <v>232122</v>
      </c>
      <c r="AE11" s="154">
        <v>0</v>
      </c>
      <c r="AF11" s="156">
        <v>1.8378418135961017E-2</v>
      </c>
      <c r="AG11" s="154">
        <v>0</v>
      </c>
      <c r="AH11" s="156">
        <v>3.0823122863491777E-3</v>
      </c>
    </row>
    <row r="12" spans="1:34" x14ac:dyDescent="0.2">
      <c r="A12" s="152">
        <v>5110</v>
      </c>
      <c r="B12" s="153" t="s">
        <v>47</v>
      </c>
      <c r="C12" s="157">
        <v>0</v>
      </c>
      <c r="D12" s="158">
        <v>0</v>
      </c>
      <c r="E12" s="157">
        <v>5565313</v>
      </c>
      <c r="F12" s="158">
        <v>0</v>
      </c>
      <c r="G12" s="157">
        <v>5315189</v>
      </c>
      <c r="H12" s="158">
        <v>0</v>
      </c>
      <c r="I12" s="157">
        <v>-950</v>
      </c>
      <c r="J12" s="158">
        <v>0</v>
      </c>
      <c r="K12" s="157">
        <v>-251074</v>
      </c>
      <c r="L12" s="158">
        <v>0</v>
      </c>
      <c r="M12" s="157">
        <v>0</v>
      </c>
      <c r="N12" s="158">
        <v>0</v>
      </c>
      <c r="O12" s="157">
        <v>1435554</v>
      </c>
      <c r="P12" s="158">
        <v>1823493</v>
      </c>
      <c r="Q12" s="157">
        <v>1628443</v>
      </c>
      <c r="R12" s="158">
        <v>1834300</v>
      </c>
      <c r="S12" s="157">
        <v>-32024</v>
      </c>
      <c r="T12" s="158">
        <v>204236</v>
      </c>
      <c r="U12" s="157">
        <v>160865</v>
      </c>
      <c r="V12" s="158">
        <v>215043</v>
      </c>
      <c r="W12" s="157">
        <v>105828.76000000036</v>
      </c>
      <c r="X12" s="158">
        <v>98391.189999999842</v>
      </c>
      <c r="Y12" s="157">
        <v>0</v>
      </c>
      <c r="Z12" s="158">
        <v>0</v>
      </c>
      <c r="AA12" s="157">
        <v>4660245.129999999</v>
      </c>
      <c r="AB12" s="158">
        <v>1416552.4000000001</v>
      </c>
      <c r="AC12" s="157">
        <v>0</v>
      </c>
      <c r="AD12" s="158">
        <v>0</v>
      </c>
      <c r="AE12" s="154">
        <v>4.4102648732018516E-3</v>
      </c>
      <c r="AF12" s="156">
        <v>3.061146970114054E-3</v>
      </c>
      <c r="AG12" s="154">
        <v>0</v>
      </c>
      <c r="AH12" s="156">
        <v>0</v>
      </c>
    </row>
    <row r="13" spans="1:34" x14ac:dyDescent="0.2">
      <c r="A13" s="152">
        <v>5111</v>
      </c>
      <c r="B13" s="153" t="s">
        <v>48</v>
      </c>
      <c r="C13" s="157">
        <v>0</v>
      </c>
      <c r="D13" s="158">
        <v>0</v>
      </c>
      <c r="E13" s="157">
        <v>4820</v>
      </c>
      <c r="F13" s="158">
        <v>2282015</v>
      </c>
      <c r="G13" s="157">
        <v>1962959</v>
      </c>
      <c r="H13" s="158">
        <v>519647</v>
      </c>
      <c r="I13" s="157">
        <v>4820</v>
      </c>
      <c r="J13" s="158">
        <v>30663</v>
      </c>
      <c r="K13" s="157">
        <v>1962959</v>
      </c>
      <c r="L13" s="158">
        <v>-1731705</v>
      </c>
      <c r="M13" s="157">
        <v>0</v>
      </c>
      <c r="N13" s="158">
        <v>0</v>
      </c>
      <c r="O13" s="157">
        <v>1136500</v>
      </c>
      <c r="P13" s="158">
        <v>1612719</v>
      </c>
      <c r="Q13" s="157">
        <v>1070387</v>
      </c>
      <c r="R13" s="158">
        <v>1635543</v>
      </c>
      <c r="S13" s="157">
        <v>-182764</v>
      </c>
      <c r="T13" s="158">
        <v>-41702</v>
      </c>
      <c r="U13" s="157">
        <v>-248877</v>
      </c>
      <c r="V13" s="158">
        <v>-18878</v>
      </c>
      <c r="W13" s="157">
        <v>3752.2999999999884</v>
      </c>
      <c r="X13" s="158">
        <v>253372.85000000033</v>
      </c>
      <c r="Y13" s="157">
        <v>0</v>
      </c>
      <c r="Z13" s="158">
        <v>0</v>
      </c>
      <c r="AA13" s="157">
        <v>4628129.08</v>
      </c>
      <c r="AB13" s="158">
        <v>8122933.2800000012</v>
      </c>
      <c r="AC13" s="157">
        <v>0</v>
      </c>
      <c r="AD13" s="158">
        <v>0</v>
      </c>
      <c r="AE13" s="154">
        <v>1.3971236596113299E-4</v>
      </c>
      <c r="AF13" s="156">
        <v>7.2866296408316171E-3</v>
      </c>
      <c r="AG13" s="154">
        <v>0</v>
      </c>
      <c r="AH13" s="156">
        <v>0</v>
      </c>
    </row>
    <row r="14" spans="1:34" x14ac:dyDescent="0.2">
      <c r="A14" s="152">
        <v>5112</v>
      </c>
      <c r="B14" s="153" t="s">
        <v>49</v>
      </c>
      <c r="C14" s="157">
        <v>0</v>
      </c>
      <c r="D14" s="158">
        <v>0</v>
      </c>
      <c r="E14" s="157">
        <v>0</v>
      </c>
      <c r="F14" s="158">
        <v>101314</v>
      </c>
      <c r="G14" s="157">
        <v>0</v>
      </c>
      <c r="H14" s="158">
        <v>102690</v>
      </c>
      <c r="I14" s="157">
        <v>0</v>
      </c>
      <c r="J14" s="158">
        <v>-1376</v>
      </c>
      <c r="K14" s="157">
        <v>0</v>
      </c>
      <c r="L14" s="158">
        <v>0</v>
      </c>
      <c r="M14" s="157">
        <v>0</v>
      </c>
      <c r="N14" s="158">
        <v>0</v>
      </c>
      <c r="O14" s="157">
        <v>976433</v>
      </c>
      <c r="P14" s="158">
        <v>609126</v>
      </c>
      <c r="Q14" s="157">
        <v>1005646</v>
      </c>
      <c r="R14" s="158">
        <v>181001</v>
      </c>
      <c r="S14" s="157">
        <v>-35710</v>
      </c>
      <c r="T14" s="158">
        <v>441894</v>
      </c>
      <c r="U14" s="157">
        <v>-6497</v>
      </c>
      <c r="V14" s="158">
        <v>13769</v>
      </c>
      <c r="W14" s="157">
        <v>18713.069999999949</v>
      </c>
      <c r="X14" s="158">
        <v>29266.479999999974</v>
      </c>
      <c r="Y14" s="157">
        <v>0</v>
      </c>
      <c r="Z14" s="158">
        <v>0</v>
      </c>
      <c r="AA14" s="157">
        <v>2820.0000000000509</v>
      </c>
      <c r="AB14" s="158">
        <v>887157.80999999994</v>
      </c>
      <c r="AC14" s="157">
        <v>17888</v>
      </c>
      <c r="AD14" s="158">
        <v>17888</v>
      </c>
      <c r="AE14" s="154">
        <v>1.1563481533566598E-3</v>
      </c>
      <c r="AF14" s="156">
        <v>1.6489636704317353E-3</v>
      </c>
      <c r="AG14" s="154">
        <v>1.1053640993831577E-3</v>
      </c>
      <c r="AH14" s="156">
        <v>1.0078650434450233E-3</v>
      </c>
    </row>
    <row r="15" spans="1:34" x14ac:dyDescent="0.2">
      <c r="A15" s="152">
        <v>5113</v>
      </c>
      <c r="B15" s="153" t="s">
        <v>50</v>
      </c>
      <c r="C15" s="157">
        <v>0</v>
      </c>
      <c r="D15" s="158">
        <v>0</v>
      </c>
      <c r="E15" s="157">
        <v>290801</v>
      </c>
      <c r="F15" s="158">
        <v>498113</v>
      </c>
      <c r="G15" s="157">
        <v>0</v>
      </c>
      <c r="H15" s="158">
        <v>794571</v>
      </c>
      <c r="I15" s="157">
        <v>290801</v>
      </c>
      <c r="J15" s="158">
        <v>-50000</v>
      </c>
      <c r="K15" s="157">
        <v>0</v>
      </c>
      <c r="L15" s="158">
        <v>246458</v>
      </c>
      <c r="M15" s="157">
        <v>0</v>
      </c>
      <c r="N15" s="158">
        <v>0</v>
      </c>
      <c r="O15" s="157">
        <v>1149137</v>
      </c>
      <c r="P15" s="158">
        <v>1372460</v>
      </c>
      <c r="Q15" s="157">
        <v>1114140</v>
      </c>
      <c r="R15" s="158">
        <v>1427575</v>
      </c>
      <c r="S15" s="157">
        <v>88140</v>
      </c>
      <c r="T15" s="158">
        <v>11621</v>
      </c>
      <c r="U15" s="157">
        <v>53143</v>
      </c>
      <c r="V15" s="158">
        <v>66736</v>
      </c>
      <c r="W15" s="157">
        <v>1330.2800000000279</v>
      </c>
      <c r="X15" s="158">
        <v>1330.28</v>
      </c>
      <c r="Y15" s="157">
        <v>0</v>
      </c>
      <c r="Z15" s="158">
        <v>0</v>
      </c>
      <c r="AA15" s="157">
        <v>0</v>
      </c>
      <c r="AB15" s="158">
        <v>202373.02000000005</v>
      </c>
      <c r="AC15" s="157">
        <v>0</v>
      </c>
      <c r="AD15" s="158">
        <v>0</v>
      </c>
      <c r="AE15" s="154">
        <v>7.6139010184856252E-5</v>
      </c>
      <c r="AF15" s="156">
        <v>7.6522372589312007E-5</v>
      </c>
      <c r="AG15" s="154">
        <v>0</v>
      </c>
      <c r="AH15" s="156">
        <v>0</v>
      </c>
    </row>
    <row r="16" spans="1:34" x14ac:dyDescent="0.2">
      <c r="A16" s="152">
        <v>5114</v>
      </c>
      <c r="B16" s="153" t="s">
        <v>51</v>
      </c>
      <c r="C16" s="157">
        <v>0</v>
      </c>
      <c r="D16" s="158">
        <v>0</v>
      </c>
      <c r="E16" s="157">
        <v>161140</v>
      </c>
      <c r="F16" s="158">
        <v>1506745</v>
      </c>
      <c r="G16" s="157">
        <v>161140</v>
      </c>
      <c r="H16" s="158">
        <v>1733583</v>
      </c>
      <c r="I16" s="157">
        <v>0</v>
      </c>
      <c r="J16" s="158">
        <v>0</v>
      </c>
      <c r="K16" s="157">
        <v>0</v>
      </c>
      <c r="L16" s="158">
        <v>226838</v>
      </c>
      <c r="M16" s="157">
        <v>0</v>
      </c>
      <c r="N16" s="158">
        <v>0</v>
      </c>
      <c r="O16" s="157">
        <v>1206256</v>
      </c>
      <c r="P16" s="158">
        <v>2016056</v>
      </c>
      <c r="Q16" s="157">
        <v>1501435</v>
      </c>
      <c r="R16" s="158">
        <v>1907412</v>
      </c>
      <c r="S16" s="157">
        <v>-55100</v>
      </c>
      <c r="T16" s="158">
        <v>0</v>
      </c>
      <c r="U16" s="157">
        <v>240079</v>
      </c>
      <c r="V16" s="158">
        <v>-108644</v>
      </c>
      <c r="W16" s="157">
        <v>80732.010000000009</v>
      </c>
      <c r="X16" s="158">
        <v>59166.099999999977</v>
      </c>
      <c r="Y16" s="157">
        <v>0</v>
      </c>
      <c r="Z16" s="158">
        <v>0</v>
      </c>
      <c r="AA16" s="157">
        <v>5755.1</v>
      </c>
      <c r="AB16" s="158">
        <v>2574801.11</v>
      </c>
      <c r="AC16" s="157">
        <v>0</v>
      </c>
      <c r="AD16" s="158">
        <v>0</v>
      </c>
      <c r="AE16" s="154">
        <v>5.3883230278297658E-3</v>
      </c>
      <c r="AF16" s="156">
        <v>2.7989992575090565E-3</v>
      </c>
      <c r="AG16" s="154">
        <v>0</v>
      </c>
      <c r="AH16" s="156">
        <v>0</v>
      </c>
    </row>
    <row r="17" spans="1:34" x14ac:dyDescent="0.2">
      <c r="A17" s="152">
        <v>5201</v>
      </c>
      <c r="B17" s="153" t="s">
        <v>53</v>
      </c>
      <c r="C17" s="157">
        <v>19772</v>
      </c>
      <c r="D17" s="158">
        <v>16844</v>
      </c>
      <c r="E17" s="157">
        <v>621369</v>
      </c>
      <c r="F17" s="158">
        <v>803852</v>
      </c>
      <c r="G17" s="157">
        <v>838960</v>
      </c>
      <c r="H17" s="158">
        <v>468932</v>
      </c>
      <c r="I17" s="157">
        <v>0</v>
      </c>
      <c r="J17" s="158">
        <v>9581</v>
      </c>
      <c r="K17" s="157">
        <v>237363</v>
      </c>
      <c r="L17" s="158">
        <v>-308495</v>
      </c>
      <c r="M17" s="157">
        <v>0</v>
      </c>
      <c r="N17" s="158">
        <v>0</v>
      </c>
      <c r="O17" s="157">
        <v>841982</v>
      </c>
      <c r="P17" s="158">
        <v>1420324</v>
      </c>
      <c r="Q17" s="157">
        <v>960952</v>
      </c>
      <c r="R17" s="158">
        <v>1301297</v>
      </c>
      <c r="S17" s="157">
        <v>75411</v>
      </c>
      <c r="T17" s="158">
        <v>97413</v>
      </c>
      <c r="U17" s="157">
        <v>194381</v>
      </c>
      <c r="V17" s="158">
        <v>-21614</v>
      </c>
      <c r="W17" s="157">
        <v>0</v>
      </c>
      <c r="X17" s="158">
        <v>170657.16999999995</v>
      </c>
      <c r="Y17" s="157">
        <v>0</v>
      </c>
      <c r="Z17" s="158">
        <v>0</v>
      </c>
      <c r="AA17" s="157">
        <v>910507.4800000001</v>
      </c>
      <c r="AB17" s="158">
        <v>2338844.2999999998</v>
      </c>
      <c r="AC17" s="157">
        <v>0</v>
      </c>
      <c r="AD17" s="158">
        <v>0</v>
      </c>
      <c r="AE17" s="154">
        <v>0</v>
      </c>
      <c r="AF17" s="156">
        <v>3.2254488543739927E-3</v>
      </c>
      <c r="AG17" s="154">
        <v>0</v>
      </c>
      <c r="AH17" s="156">
        <v>0</v>
      </c>
    </row>
    <row r="18" spans="1:34" x14ac:dyDescent="0.2">
      <c r="A18" s="152">
        <v>5202</v>
      </c>
      <c r="B18" s="153" t="s">
        <v>52</v>
      </c>
      <c r="C18" s="157">
        <v>18</v>
      </c>
      <c r="D18" s="158">
        <v>-17</v>
      </c>
      <c r="E18" s="157">
        <v>4289511</v>
      </c>
      <c r="F18" s="158">
        <v>0</v>
      </c>
      <c r="G18" s="157">
        <v>1779648</v>
      </c>
      <c r="H18" s="158">
        <v>3008207</v>
      </c>
      <c r="I18" s="157">
        <v>2511033</v>
      </c>
      <c r="J18" s="158">
        <v>-3009376</v>
      </c>
      <c r="K18" s="157">
        <v>1188</v>
      </c>
      <c r="L18" s="158">
        <v>-1186</v>
      </c>
      <c r="M18" s="157">
        <v>1290</v>
      </c>
      <c r="N18" s="158">
        <v>1818</v>
      </c>
      <c r="O18" s="157">
        <v>73014580</v>
      </c>
      <c r="P18" s="158">
        <v>19089907</v>
      </c>
      <c r="Q18" s="157">
        <v>68267411</v>
      </c>
      <c r="R18" s="158">
        <v>34846532</v>
      </c>
      <c r="S18" s="157">
        <v>6261745</v>
      </c>
      <c r="T18" s="158">
        <v>-14470943</v>
      </c>
      <c r="U18" s="157">
        <v>1515866</v>
      </c>
      <c r="V18" s="158">
        <v>1287500</v>
      </c>
      <c r="W18" s="157">
        <v>1458831.1799999913</v>
      </c>
      <c r="X18" s="158">
        <v>133868.69000000041</v>
      </c>
      <c r="Y18" s="157">
        <v>0</v>
      </c>
      <c r="Z18" s="158">
        <v>0</v>
      </c>
      <c r="AA18" s="157">
        <v>17232696.360000003</v>
      </c>
      <c r="AB18" s="158">
        <v>24844378.150000002</v>
      </c>
      <c r="AC18" s="157">
        <v>0</v>
      </c>
      <c r="AD18" s="158">
        <v>0</v>
      </c>
      <c r="AE18" s="154">
        <v>3.8993688602240385E-3</v>
      </c>
      <c r="AF18" s="156">
        <v>2.6022893216529194E-4</v>
      </c>
      <c r="AG18" s="154">
        <v>0</v>
      </c>
      <c r="AH18" s="156">
        <v>0</v>
      </c>
    </row>
    <row r="19" spans="1:34" x14ac:dyDescent="0.2">
      <c r="A19" s="152">
        <v>5203</v>
      </c>
      <c r="B19" s="153" t="s">
        <v>54</v>
      </c>
      <c r="C19" s="157">
        <v>0</v>
      </c>
      <c r="D19" s="158">
        <v>0</v>
      </c>
      <c r="E19" s="157">
        <v>1325176</v>
      </c>
      <c r="F19" s="158">
        <v>2359561</v>
      </c>
      <c r="G19" s="157">
        <v>1111638</v>
      </c>
      <c r="H19" s="158">
        <v>2620287</v>
      </c>
      <c r="I19" s="157">
        <v>254778</v>
      </c>
      <c r="J19" s="158">
        <v>-375892</v>
      </c>
      <c r="K19" s="157">
        <v>41240</v>
      </c>
      <c r="L19" s="158">
        <v>-115166</v>
      </c>
      <c r="M19" s="157">
        <v>0</v>
      </c>
      <c r="N19" s="158">
        <v>0</v>
      </c>
      <c r="O19" s="157">
        <v>510665</v>
      </c>
      <c r="P19" s="158">
        <v>892806</v>
      </c>
      <c r="Q19" s="157">
        <v>678595</v>
      </c>
      <c r="R19" s="158">
        <v>867276</v>
      </c>
      <c r="S19" s="157">
        <v>-3605</v>
      </c>
      <c r="T19" s="158">
        <v>-63000</v>
      </c>
      <c r="U19" s="157">
        <v>164325</v>
      </c>
      <c r="V19" s="158">
        <v>-88530</v>
      </c>
      <c r="W19" s="157">
        <v>7589.4400000000023</v>
      </c>
      <c r="X19" s="158">
        <v>263974.52999999974</v>
      </c>
      <c r="Y19" s="157">
        <v>0</v>
      </c>
      <c r="Z19" s="158">
        <v>0</v>
      </c>
      <c r="AA19" s="157">
        <v>4003530.25</v>
      </c>
      <c r="AB19" s="158">
        <v>2105215.1800000002</v>
      </c>
      <c r="AC19" s="157">
        <v>0</v>
      </c>
      <c r="AD19" s="158">
        <v>0</v>
      </c>
      <c r="AE19" s="154">
        <v>3.6631286952546301E-4</v>
      </c>
      <c r="AF19" s="156">
        <v>9.1637751703550398E-3</v>
      </c>
      <c r="AG19" s="154">
        <v>0</v>
      </c>
      <c r="AH19" s="156">
        <v>0</v>
      </c>
    </row>
    <row r="20" spans="1:34" x14ac:dyDescent="0.2">
      <c r="A20" s="152">
        <v>5204</v>
      </c>
      <c r="B20" s="153" t="s">
        <v>55</v>
      </c>
      <c r="C20" s="157">
        <v>0</v>
      </c>
      <c r="D20" s="158">
        <v>0</v>
      </c>
      <c r="E20" s="157">
        <v>0</v>
      </c>
      <c r="F20" s="158">
        <v>0</v>
      </c>
      <c r="G20" s="157">
        <v>0</v>
      </c>
      <c r="H20" s="158">
        <v>0</v>
      </c>
      <c r="I20" s="157">
        <v>0</v>
      </c>
      <c r="J20" s="158">
        <v>0</v>
      </c>
      <c r="K20" s="157">
        <v>0</v>
      </c>
      <c r="L20" s="158">
        <v>0</v>
      </c>
      <c r="M20" s="157">
        <v>0</v>
      </c>
      <c r="N20" s="158">
        <v>0</v>
      </c>
      <c r="O20" s="157">
        <v>1380915</v>
      </c>
      <c r="P20" s="158">
        <v>2646291</v>
      </c>
      <c r="Q20" s="157">
        <v>1337281</v>
      </c>
      <c r="R20" s="158">
        <v>2847367</v>
      </c>
      <c r="S20" s="157">
        <v>139444</v>
      </c>
      <c r="T20" s="158">
        <v>-166450</v>
      </c>
      <c r="U20" s="157">
        <v>95810</v>
      </c>
      <c r="V20" s="158">
        <v>34626</v>
      </c>
      <c r="W20" s="157">
        <v>2.9103830456733704E-11</v>
      </c>
      <c r="X20" s="158">
        <v>2798970.46</v>
      </c>
      <c r="Y20" s="157">
        <v>0</v>
      </c>
      <c r="Z20" s="158">
        <v>0</v>
      </c>
      <c r="AA20" s="157">
        <v>10627.809999999998</v>
      </c>
      <c r="AB20" s="158">
        <v>2356780.4299999997</v>
      </c>
      <c r="AC20" s="157">
        <v>0</v>
      </c>
      <c r="AD20" s="158">
        <v>0</v>
      </c>
      <c r="AE20" s="154">
        <v>7.3169236060690854E-19</v>
      </c>
      <c r="AF20" s="156">
        <v>5.863404936758352E-2</v>
      </c>
      <c r="AG20" s="154">
        <v>0</v>
      </c>
      <c r="AH20" s="156">
        <v>0</v>
      </c>
    </row>
    <row r="21" spans="1:34" x14ac:dyDescent="0.2">
      <c r="A21" s="152">
        <v>5205</v>
      </c>
      <c r="B21" s="153" t="s">
        <v>56</v>
      </c>
      <c r="C21" s="157">
        <v>0</v>
      </c>
      <c r="D21" s="158">
        <v>0</v>
      </c>
      <c r="E21" s="157">
        <v>35035</v>
      </c>
      <c r="F21" s="158">
        <v>546928</v>
      </c>
      <c r="G21" s="157">
        <v>496689</v>
      </c>
      <c r="H21" s="158">
        <v>1365919</v>
      </c>
      <c r="I21" s="157">
        <v>-461654</v>
      </c>
      <c r="J21" s="158">
        <v>0</v>
      </c>
      <c r="K21" s="157">
        <v>0</v>
      </c>
      <c r="L21" s="158">
        <v>818991</v>
      </c>
      <c r="M21" s="157">
        <v>0</v>
      </c>
      <c r="N21" s="158">
        <v>5004</v>
      </c>
      <c r="O21" s="157">
        <v>206174</v>
      </c>
      <c r="P21" s="158">
        <v>1725289</v>
      </c>
      <c r="Q21" s="157">
        <v>253991</v>
      </c>
      <c r="R21" s="158">
        <v>1764384</v>
      </c>
      <c r="S21" s="157">
        <v>-48159</v>
      </c>
      <c r="T21" s="158">
        <v>-46974</v>
      </c>
      <c r="U21" s="157">
        <v>-342</v>
      </c>
      <c r="V21" s="158">
        <v>-2875</v>
      </c>
      <c r="W21" s="157">
        <v>0.73999999999068677</v>
      </c>
      <c r="X21" s="158">
        <v>0</v>
      </c>
      <c r="Y21" s="157">
        <v>0</v>
      </c>
      <c r="Z21" s="158">
        <v>0</v>
      </c>
      <c r="AA21" s="157">
        <v>1991.8199999999924</v>
      </c>
      <c r="AB21" s="158">
        <v>861539.54999999981</v>
      </c>
      <c r="AC21" s="157">
        <v>0</v>
      </c>
      <c r="AD21" s="158">
        <v>0</v>
      </c>
      <c r="AE21" s="154">
        <v>6.9912192175265588E-8</v>
      </c>
      <c r="AF21" s="156">
        <v>0</v>
      </c>
      <c r="AG21" s="154">
        <v>0</v>
      </c>
      <c r="AH21" s="156">
        <v>0</v>
      </c>
    </row>
    <row r="22" spans="1:34" x14ac:dyDescent="0.2">
      <c r="A22" s="152">
        <v>5206</v>
      </c>
      <c r="B22" s="153" t="s">
        <v>57</v>
      </c>
      <c r="C22" s="157">
        <v>0</v>
      </c>
      <c r="D22" s="158">
        <v>0</v>
      </c>
      <c r="E22" s="157">
        <v>3480565</v>
      </c>
      <c r="F22" s="158">
        <v>412184</v>
      </c>
      <c r="G22" s="157">
        <v>1758754</v>
      </c>
      <c r="H22" s="158">
        <v>984298</v>
      </c>
      <c r="I22" s="157">
        <v>1721811</v>
      </c>
      <c r="J22" s="158">
        <v>-572114</v>
      </c>
      <c r="K22" s="157">
        <v>0</v>
      </c>
      <c r="L22" s="158">
        <v>0</v>
      </c>
      <c r="M22" s="157">
        <v>0</v>
      </c>
      <c r="N22" s="158">
        <v>0</v>
      </c>
      <c r="O22" s="157">
        <v>635149</v>
      </c>
      <c r="P22" s="158">
        <v>1836832</v>
      </c>
      <c r="Q22" s="157">
        <v>599659</v>
      </c>
      <c r="R22" s="158">
        <v>2275761</v>
      </c>
      <c r="S22" s="157">
        <v>128083</v>
      </c>
      <c r="T22" s="158">
        <v>18025</v>
      </c>
      <c r="U22" s="157">
        <v>92593</v>
      </c>
      <c r="V22" s="158">
        <v>456954</v>
      </c>
      <c r="W22" s="157">
        <v>132.13999999999942</v>
      </c>
      <c r="X22" s="158">
        <v>545.70000000006985</v>
      </c>
      <c r="Y22" s="157">
        <v>0</v>
      </c>
      <c r="Z22" s="158">
        <v>0</v>
      </c>
      <c r="AA22" s="157">
        <v>550595.49</v>
      </c>
      <c r="AB22" s="158">
        <v>578416.55000000005</v>
      </c>
      <c r="AC22" s="157">
        <v>0</v>
      </c>
      <c r="AD22" s="158">
        <v>0</v>
      </c>
      <c r="AE22" s="154">
        <v>1.165451350978959E-6</v>
      </c>
      <c r="AF22" s="156">
        <v>4.9887698740251943E-6</v>
      </c>
      <c r="AG22" s="154">
        <v>0</v>
      </c>
      <c r="AH22" s="156">
        <v>0</v>
      </c>
    </row>
    <row r="23" spans="1:34" x14ac:dyDescent="0.2">
      <c r="A23" s="152">
        <v>5207</v>
      </c>
      <c r="B23" s="153" t="s">
        <v>58</v>
      </c>
      <c r="C23" s="157">
        <v>0</v>
      </c>
      <c r="D23" s="158">
        <v>0</v>
      </c>
      <c r="E23" s="157">
        <v>5001176</v>
      </c>
      <c r="F23" s="158">
        <v>2322307</v>
      </c>
      <c r="G23" s="157">
        <v>3950412</v>
      </c>
      <c r="H23" s="158">
        <v>3351015</v>
      </c>
      <c r="I23" s="157">
        <v>1221772</v>
      </c>
      <c r="J23" s="158">
        <v>-1199072</v>
      </c>
      <c r="K23" s="157">
        <v>171008</v>
      </c>
      <c r="L23" s="158">
        <v>-170364</v>
      </c>
      <c r="M23" s="157">
        <v>0</v>
      </c>
      <c r="N23" s="158">
        <v>0</v>
      </c>
      <c r="O23" s="157">
        <v>1334728</v>
      </c>
      <c r="P23" s="158">
        <v>1041821</v>
      </c>
      <c r="Q23" s="157">
        <v>1425737</v>
      </c>
      <c r="R23" s="158">
        <v>1119577</v>
      </c>
      <c r="S23" s="157">
        <v>-570877</v>
      </c>
      <c r="T23" s="158">
        <v>-15652</v>
      </c>
      <c r="U23" s="157">
        <v>-479868</v>
      </c>
      <c r="V23" s="158">
        <v>62104</v>
      </c>
      <c r="W23" s="157">
        <v>47269.020000000019</v>
      </c>
      <c r="X23" s="158">
        <v>84165.330000000016</v>
      </c>
      <c r="Y23" s="157">
        <v>0</v>
      </c>
      <c r="Z23" s="158">
        <v>0</v>
      </c>
      <c r="AA23" s="157">
        <v>594108.86999999953</v>
      </c>
      <c r="AB23" s="158">
        <v>3010935.1399999997</v>
      </c>
      <c r="AC23" s="157">
        <v>0</v>
      </c>
      <c r="AD23" s="158">
        <v>0</v>
      </c>
      <c r="AE23" s="154">
        <v>9.3046002684866905E-4</v>
      </c>
      <c r="AF23" s="156">
        <v>1.2413483345459658E-3</v>
      </c>
      <c r="AG23" s="154">
        <v>0</v>
      </c>
      <c r="AH23" s="156">
        <v>0</v>
      </c>
    </row>
    <row r="24" spans="1:34" x14ac:dyDescent="0.2">
      <c r="A24" s="152">
        <v>5208</v>
      </c>
      <c r="B24" s="153" t="s">
        <v>59</v>
      </c>
      <c r="C24" s="157">
        <v>0</v>
      </c>
      <c r="D24" s="158">
        <v>0</v>
      </c>
      <c r="E24" s="157">
        <v>22800</v>
      </c>
      <c r="F24" s="158">
        <v>0</v>
      </c>
      <c r="G24" s="157">
        <v>63637</v>
      </c>
      <c r="H24" s="158">
        <v>0</v>
      </c>
      <c r="I24" s="157">
        <v>11363</v>
      </c>
      <c r="J24" s="158">
        <v>0</v>
      </c>
      <c r="K24" s="157">
        <v>52200</v>
      </c>
      <c r="L24" s="158">
        <v>0</v>
      </c>
      <c r="M24" s="157">
        <v>0</v>
      </c>
      <c r="N24" s="158">
        <v>0</v>
      </c>
      <c r="O24" s="157">
        <v>39769</v>
      </c>
      <c r="P24" s="158">
        <v>257409</v>
      </c>
      <c r="Q24" s="157">
        <v>46983</v>
      </c>
      <c r="R24" s="158">
        <v>258814</v>
      </c>
      <c r="S24" s="157">
        <v>1494</v>
      </c>
      <c r="T24" s="158">
        <v>2784</v>
      </c>
      <c r="U24" s="157">
        <v>8708</v>
      </c>
      <c r="V24" s="158">
        <v>4189</v>
      </c>
      <c r="W24" s="157">
        <v>47220.2</v>
      </c>
      <c r="X24" s="158">
        <v>0</v>
      </c>
      <c r="Y24" s="157">
        <v>0</v>
      </c>
      <c r="Z24" s="158">
        <v>0</v>
      </c>
      <c r="AA24" s="157">
        <v>22680.000000000015</v>
      </c>
      <c r="AB24" s="158">
        <v>2435033.0699999998</v>
      </c>
      <c r="AC24" s="157">
        <v>0</v>
      </c>
      <c r="AD24" s="158">
        <v>0</v>
      </c>
      <c r="AE24" s="154">
        <v>1.7015970656836027E-3</v>
      </c>
      <c r="AF24" s="156">
        <v>0</v>
      </c>
      <c r="AG24" s="154">
        <v>0</v>
      </c>
      <c r="AH24" s="156">
        <v>0</v>
      </c>
    </row>
    <row r="25" spans="1:34" x14ac:dyDescent="0.2">
      <c r="A25" s="152">
        <v>5209</v>
      </c>
      <c r="B25" s="153" t="s">
        <v>60</v>
      </c>
      <c r="C25" s="157">
        <v>0</v>
      </c>
      <c r="D25" s="158">
        <v>0</v>
      </c>
      <c r="E25" s="157">
        <v>0</v>
      </c>
      <c r="F25" s="158">
        <v>0</v>
      </c>
      <c r="G25" s="157">
        <v>0</v>
      </c>
      <c r="H25" s="158">
        <v>0</v>
      </c>
      <c r="I25" s="157">
        <v>0</v>
      </c>
      <c r="J25" s="158">
        <v>0</v>
      </c>
      <c r="K25" s="157">
        <v>0</v>
      </c>
      <c r="L25" s="158">
        <v>0</v>
      </c>
      <c r="M25" s="157">
        <v>0</v>
      </c>
      <c r="N25" s="158">
        <v>0</v>
      </c>
      <c r="O25" s="157">
        <v>1650321</v>
      </c>
      <c r="P25" s="158">
        <v>3398241</v>
      </c>
      <c r="Q25" s="157">
        <v>2316349</v>
      </c>
      <c r="R25" s="158">
        <v>2810488</v>
      </c>
      <c r="S25" s="157">
        <v>90613</v>
      </c>
      <c r="T25" s="158">
        <v>253023</v>
      </c>
      <c r="U25" s="157">
        <v>756641</v>
      </c>
      <c r="V25" s="158">
        <v>-334730</v>
      </c>
      <c r="W25" s="157">
        <v>125138.12</v>
      </c>
      <c r="X25" s="158">
        <v>316368.3899999999</v>
      </c>
      <c r="Y25" s="157">
        <v>0</v>
      </c>
      <c r="Z25" s="158">
        <v>0</v>
      </c>
      <c r="AA25" s="157">
        <v>4803092.71</v>
      </c>
      <c r="AB25" s="158">
        <v>3138351.5500000003</v>
      </c>
      <c r="AC25" s="157">
        <v>0</v>
      </c>
      <c r="AD25" s="158">
        <v>0</v>
      </c>
      <c r="AE25" s="154">
        <v>3.2038545965814352E-3</v>
      </c>
      <c r="AF25" s="156">
        <v>6.8858495887034995E-3</v>
      </c>
      <c r="AG25" s="154">
        <v>0</v>
      </c>
      <c r="AH25" s="156">
        <v>0</v>
      </c>
    </row>
    <row r="26" spans="1:34" x14ac:dyDescent="0.2">
      <c r="A26" s="152">
        <v>5210</v>
      </c>
      <c r="B26" s="153" t="s">
        <v>61</v>
      </c>
      <c r="C26" s="157">
        <v>0</v>
      </c>
      <c r="D26" s="158">
        <v>0</v>
      </c>
      <c r="E26" s="157">
        <v>1116148</v>
      </c>
      <c r="F26" s="158">
        <v>17937</v>
      </c>
      <c r="G26" s="157">
        <v>353163</v>
      </c>
      <c r="H26" s="158">
        <v>780922</v>
      </c>
      <c r="I26" s="157">
        <v>762985</v>
      </c>
      <c r="J26" s="158">
        <v>-762985</v>
      </c>
      <c r="K26" s="157">
        <v>0</v>
      </c>
      <c r="L26" s="158">
        <v>0</v>
      </c>
      <c r="M26" s="157">
        <v>0</v>
      </c>
      <c r="N26" s="158">
        <v>7255</v>
      </c>
      <c r="O26" s="157">
        <v>404702</v>
      </c>
      <c r="P26" s="158">
        <v>873604</v>
      </c>
      <c r="Q26" s="157">
        <v>457237</v>
      </c>
      <c r="R26" s="158">
        <v>588974</v>
      </c>
      <c r="S26" s="157">
        <v>-20315</v>
      </c>
      <c r="T26" s="158">
        <v>211739</v>
      </c>
      <c r="U26" s="157">
        <v>32220</v>
      </c>
      <c r="V26" s="158">
        <v>-65636</v>
      </c>
      <c r="W26" s="157">
        <v>0</v>
      </c>
      <c r="X26" s="158">
        <v>31487.4</v>
      </c>
      <c r="Y26" s="157">
        <v>0</v>
      </c>
      <c r="Z26" s="158">
        <v>0</v>
      </c>
      <c r="AA26" s="157">
        <v>54273.420000000093</v>
      </c>
      <c r="AB26" s="158">
        <v>3935498.82</v>
      </c>
      <c r="AC26" s="157">
        <v>0</v>
      </c>
      <c r="AD26" s="158">
        <v>0</v>
      </c>
      <c r="AE26" s="154">
        <v>0</v>
      </c>
      <c r="AF26" s="156">
        <v>7.9379106818285472E-4</v>
      </c>
      <c r="AG26" s="154">
        <v>0</v>
      </c>
      <c r="AH26" s="156">
        <v>0</v>
      </c>
    </row>
    <row r="27" spans="1:34" x14ac:dyDescent="0.2">
      <c r="A27" s="152">
        <v>5211</v>
      </c>
      <c r="B27" s="153" t="s">
        <v>62</v>
      </c>
      <c r="C27" s="157">
        <v>0</v>
      </c>
      <c r="D27" s="158">
        <v>0</v>
      </c>
      <c r="E27" s="157">
        <v>92931</v>
      </c>
      <c r="F27" s="158">
        <v>1229760</v>
      </c>
      <c r="G27" s="157">
        <v>132345</v>
      </c>
      <c r="H27" s="158">
        <v>1189602</v>
      </c>
      <c r="I27" s="157">
        <v>2095</v>
      </c>
      <c r="J27" s="158">
        <v>22588</v>
      </c>
      <c r="K27" s="157">
        <v>41509</v>
      </c>
      <c r="L27" s="158">
        <v>-17570</v>
      </c>
      <c r="M27" s="157">
        <v>0</v>
      </c>
      <c r="N27" s="158">
        <v>0</v>
      </c>
      <c r="O27" s="157">
        <v>1110368</v>
      </c>
      <c r="P27" s="158">
        <v>1074908</v>
      </c>
      <c r="Q27" s="157">
        <v>1308646</v>
      </c>
      <c r="R27" s="158">
        <v>1429248</v>
      </c>
      <c r="S27" s="157">
        <v>-150169</v>
      </c>
      <c r="T27" s="158">
        <v>158383</v>
      </c>
      <c r="U27" s="157">
        <v>48109</v>
      </c>
      <c r="V27" s="158">
        <v>512723</v>
      </c>
      <c r="W27" s="157">
        <v>67773.060000000027</v>
      </c>
      <c r="X27" s="158">
        <v>88646.459999999992</v>
      </c>
      <c r="Y27" s="157">
        <v>0</v>
      </c>
      <c r="Z27" s="158">
        <v>0</v>
      </c>
      <c r="AA27" s="157">
        <v>372502.96</v>
      </c>
      <c r="AB27" s="158">
        <v>756167.71000000008</v>
      </c>
      <c r="AC27" s="157">
        <v>0</v>
      </c>
      <c r="AD27" s="158">
        <v>0</v>
      </c>
      <c r="AE27" s="154">
        <v>1.9505819059620218E-3</v>
      </c>
      <c r="AF27" s="156">
        <v>2.2828495271686035E-3</v>
      </c>
      <c r="AG27" s="154">
        <v>0</v>
      </c>
      <c r="AH27" s="156">
        <v>0</v>
      </c>
    </row>
    <row r="28" spans="1:34" x14ac:dyDescent="0.2">
      <c r="A28" s="152">
        <v>5212</v>
      </c>
      <c r="B28" s="153" t="s">
        <v>63</v>
      </c>
      <c r="C28" s="157">
        <v>0</v>
      </c>
      <c r="D28" s="158">
        <v>0</v>
      </c>
      <c r="E28" s="157">
        <v>1366047</v>
      </c>
      <c r="F28" s="158">
        <v>0</v>
      </c>
      <c r="G28" s="157">
        <v>777918</v>
      </c>
      <c r="H28" s="158">
        <v>43734</v>
      </c>
      <c r="I28" s="157">
        <v>58654</v>
      </c>
      <c r="J28" s="158">
        <v>-43755</v>
      </c>
      <c r="K28" s="157">
        <v>-529475</v>
      </c>
      <c r="L28" s="158">
        <v>-21</v>
      </c>
      <c r="M28" s="157">
        <v>0</v>
      </c>
      <c r="N28" s="158">
        <v>0</v>
      </c>
      <c r="O28" s="157">
        <v>906251</v>
      </c>
      <c r="P28" s="158">
        <v>1850774</v>
      </c>
      <c r="Q28" s="157">
        <v>725668</v>
      </c>
      <c r="R28" s="158">
        <v>1454213</v>
      </c>
      <c r="S28" s="157">
        <v>309042</v>
      </c>
      <c r="T28" s="158">
        <v>328308</v>
      </c>
      <c r="U28" s="157">
        <v>128459</v>
      </c>
      <c r="V28" s="158">
        <v>-68253</v>
      </c>
      <c r="W28" s="157">
        <v>107404.97999999998</v>
      </c>
      <c r="X28" s="158">
        <v>4392716.5699999994</v>
      </c>
      <c r="Y28" s="157">
        <v>0</v>
      </c>
      <c r="Z28" s="158">
        <v>0</v>
      </c>
      <c r="AA28" s="157">
        <v>4733861.0900000008</v>
      </c>
      <c r="AB28" s="158">
        <v>1235593.75</v>
      </c>
      <c r="AC28" s="157">
        <v>77563</v>
      </c>
      <c r="AD28" s="158">
        <v>81302</v>
      </c>
      <c r="AE28" s="154">
        <v>3.695458516152275E-3</v>
      </c>
      <c r="AF28" s="156">
        <v>0.11980531675373134</v>
      </c>
      <c r="AG28" s="154">
        <v>2.6686923538212005E-3</v>
      </c>
      <c r="AH28" s="156">
        <v>2.2174004872597248E-3</v>
      </c>
    </row>
    <row r="29" spans="1:34" x14ac:dyDescent="0.2">
      <c r="A29" s="152">
        <v>5213</v>
      </c>
      <c r="B29" s="153" t="s">
        <v>64</v>
      </c>
      <c r="C29" s="157">
        <v>0</v>
      </c>
      <c r="D29" s="158">
        <v>0</v>
      </c>
      <c r="E29" s="157">
        <v>0</v>
      </c>
      <c r="F29" s="158">
        <v>216077</v>
      </c>
      <c r="G29" s="157">
        <v>0</v>
      </c>
      <c r="H29" s="158">
        <v>522388</v>
      </c>
      <c r="I29" s="157">
        <v>0</v>
      </c>
      <c r="J29" s="158">
        <v>-15563</v>
      </c>
      <c r="K29" s="157">
        <v>0</v>
      </c>
      <c r="L29" s="158">
        <v>290748</v>
      </c>
      <c r="M29" s="157">
        <v>0</v>
      </c>
      <c r="N29" s="158">
        <v>0</v>
      </c>
      <c r="O29" s="157">
        <v>245525</v>
      </c>
      <c r="P29" s="158">
        <v>344550</v>
      </c>
      <c r="Q29" s="157">
        <v>306878</v>
      </c>
      <c r="R29" s="158">
        <v>612360</v>
      </c>
      <c r="S29" s="157">
        <v>-1452</v>
      </c>
      <c r="T29" s="158">
        <v>5971</v>
      </c>
      <c r="U29" s="157">
        <v>59901</v>
      </c>
      <c r="V29" s="158">
        <v>273781</v>
      </c>
      <c r="W29" s="157">
        <v>0</v>
      </c>
      <c r="X29" s="158">
        <v>231806.28</v>
      </c>
      <c r="Y29" s="157">
        <v>0</v>
      </c>
      <c r="Z29" s="158">
        <v>0</v>
      </c>
      <c r="AA29" s="157">
        <v>0</v>
      </c>
      <c r="AB29" s="158">
        <v>1662306.4</v>
      </c>
      <c r="AC29" s="157">
        <v>0</v>
      </c>
      <c r="AD29" s="158">
        <v>231806</v>
      </c>
      <c r="AE29" s="154">
        <v>0</v>
      </c>
      <c r="AF29" s="156">
        <v>4.4689069665865911E-3</v>
      </c>
      <c r="AG29" s="154">
        <v>0</v>
      </c>
      <c r="AH29" s="156">
        <v>4.4689015685708397E-3</v>
      </c>
    </row>
    <row r="30" spans="1:34" x14ac:dyDescent="0.2">
      <c r="A30" s="152">
        <v>5301</v>
      </c>
      <c r="B30" s="153" t="s">
        <v>66</v>
      </c>
      <c r="C30" s="157">
        <v>0</v>
      </c>
      <c r="D30" s="158">
        <v>0</v>
      </c>
      <c r="E30" s="157">
        <v>1851385</v>
      </c>
      <c r="F30" s="158">
        <v>1077825</v>
      </c>
      <c r="G30" s="157">
        <v>1913338</v>
      </c>
      <c r="H30" s="158">
        <v>1005470</v>
      </c>
      <c r="I30" s="157">
        <v>16635</v>
      </c>
      <c r="J30" s="158">
        <v>-3452</v>
      </c>
      <c r="K30" s="157">
        <v>78588</v>
      </c>
      <c r="L30" s="158">
        <v>-75807</v>
      </c>
      <c r="M30" s="157">
        <v>0</v>
      </c>
      <c r="N30" s="158">
        <v>0</v>
      </c>
      <c r="O30" s="157">
        <v>645747</v>
      </c>
      <c r="P30" s="158">
        <v>1457035</v>
      </c>
      <c r="Q30" s="157">
        <v>695474</v>
      </c>
      <c r="R30" s="158">
        <v>1508526</v>
      </c>
      <c r="S30" s="157">
        <v>-55807</v>
      </c>
      <c r="T30" s="158">
        <v>-47431</v>
      </c>
      <c r="U30" s="157">
        <v>-6080</v>
      </c>
      <c r="V30" s="158">
        <v>4060</v>
      </c>
      <c r="W30" s="157">
        <v>33115.359999999986</v>
      </c>
      <c r="X30" s="158">
        <v>478275.0399999998</v>
      </c>
      <c r="Y30" s="157">
        <v>0</v>
      </c>
      <c r="Z30" s="158">
        <v>0</v>
      </c>
      <c r="AA30" s="157">
        <v>1774838.9</v>
      </c>
      <c r="AB30" s="158">
        <v>296141.31999999995</v>
      </c>
      <c r="AC30" s="157">
        <v>0</v>
      </c>
      <c r="AD30" s="158">
        <v>0</v>
      </c>
      <c r="AE30" s="154">
        <v>2.2134306826750243E-3</v>
      </c>
      <c r="AF30" s="156">
        <v>2.0611199864992387E-2</v>
      </c>
      <c r="AG30" s="154">
        <v>0</v>
      </c>
      <c r="AH30" s="156">
        <v>0</v>
      </c>
    </row>
    <row r="31" spans="1:34" x14ac:dyDescent="0.2">
      <c r="A31" s="152">
        <v>5302</v>
      </c>
      <c r="B31" s="153" t="s">
        <v>67</v>
      </c>
      <c r="C31" s="157">
        <v>0</v>
      </c>
      <c r="D31" s="158">
        <v>0</v>
      </c>
      <c r="E31" s="157">
        <v>652019</v>
      </c>
      <c r="F31" s="158">
        <v>1914642</v>
      </c>
      <c r="G31" s="157">
        <v>147426</v>
      </c>
      <c r="H31" s="158">
        <v>2519582</v>
      </c>
      <c r="I31" s="157">
        <v>504593</v>
      </c>
      <c r="J31" s="158">
        <v>-527793</v>
      </c>
      <c r="K31" s="157">
        <v>0</v>
      </c>
      <c r="L31" s="158">
        <v>77147</v>
      </c>
      <c r="M31" s="157">
        <v>7904</v>
      </c>
      <c r="N31" s="158">
        <v>0</v>
      </c>
      <c r="O31" s="157">
        <v>1347385</v>
      </c>
      <c r="P31" s="158">
        <v>1138863</v>
      </c>
      <c r="Q31" s="157">
        <v>1394643</v>
      </c>
      <c r="R31" s="158">
        <v>1049405</v>
      </c>
      <c r="S31" s="157">
        <v>28346</v>
      </c>
      <c r="T31" s="158">
        <v>51351</v>
      </c>
      <c r="U31" s="157">
        <v>83508</v>
      </c>
      <c r="V31" s="158">
        <v>-38107</v>
      </c>
      <c r="W31" s="157">
        <v>1130.6499999999942</v>
      </c>
      <c r="X31" s="158">
        <v>86146.280000000028</v>
      </c>
      <c r="Y31" s="157">
        <v>0</v>
      </c>
      <c r="Z31" s="158">
        <v>0</v>
      </c>
      <c r="AA31" s="157">
        <v>144177.79000000012</v>
      </c>
      <c r="AB31" s="158">
        <v>2160953.94</v>
      </c>
      <c r="AC31" s="157">
        <v>0</v>
      </c>
      <c r="AD31" s="158">
        <v>0</v>
      </c>
      <c r="AE31" s="154">
        <v>2.6858250531974472E-5</v>
      </c>
      <c r="AF31" s="156">
        <v>1.6387088767604618E-3</v>
      </c>
      <c r="AG31" s="154">
        <v>0</v>
      </c>
      <c r="AH31" s="156">
        <v>0</v>
      </c>
    </row>
    <row r="32" spans="1:34" x14ac:dyDescent="0.2">
      <c r="A32" s="152">
        <v>5303</v>
      </c>
      <c r="B32" s="153" t="s">
        <v>68</v>
      </c>
      <c r="C32" s="157">
        <v>0</v>
      </c>
      <c r="D32" s="158">
        <v>0</v>
      </c>
      <c r="E32" s="157">
        <v>414794</v>
      </c>
      <c r="F32" s="158">
        <v>3627631</v>
      </c>
      <c r="G32" s="157">
        <v>987420</v>
      </c>
      <c r="H32" s="158">
        <v>3052842</v>
      </c>
      <c r="I32" s="157">
        <v>414793</v>
      </c>
      <c r="J32" s="158">
        <v>-412574</v>
      </c>
      <c r="K32" s="157">
        <v>987419</v>
      </c>
      <c r="L32" s="158">
        <v>-987363</v>
      </c>
      <c r="M32" s="157">
        <v>7903</v>
      </c>
      <c r="N32" s="158">
        <v>0</v>
      </c>
      <c r="O32" s="157">
        <v>632466</v>
      </c>
      <c r="P32" s="158">
        <v>772270</v>
      </c>
      <c r="Q32" s="157">
        <v>465863</v>
      </c>
      <c r="R32" s="158">
        <v>629416</v>
      </c>
      <c r="S32" s="157">
        <v>189522</v>
      </c>
      <c r="T32" s="158">
        <v>156191</v>
      </c>
      <c r="U32" s="157">
        <v>30822</v>
      </c>
      <c r="V32" s="158">
        <v>13337</v>
      </c>
      <c r="W32" s="157">
        <v>0</v>
      </c>
      <c r="X32" s="158">
        <v>287157.68000000017</v>
      </c>
      <c r="Y32" s="157">
        <v>0</v>
      </c>
      <c r="Z32" s="158">
        <v>0</v>
      </c>
      <c r="AA32" s="157">
        <v>2906872.39</v>
      </c>
      <c r="AB32" s="158">
        <v>970609.69000000018</v>
      </c>
      <c r="AC32" s="157">
        <v>0</v>
      </c>
      <c r="AD32" s="158">
        <v>0</v>
      </c>
      <c r="AE32" s="154">
        <v>0</v>
      </c>
      <c r="AF32" s="156">
        <v>1.171668296377025E-2</v>
      </c>
      <c r="AG32" s="154">
        <v>0</v>
      </c>
      <c r="AH32" s="156">
        <v>0</v>
      </c>
    </row>
    <row r="33" spans="1:34" x14ac:dyDescent="0.2">
      <c r="A33" s="152">
        <v>5304</v>
      </c>
      <c r="B33" s="153" t="s">
        <v>69</v>
      </c>
      <c r="C33" s="157">
        <v>0</v>
      </c>
      <c r="D33" s="158">
        <v>0</v>
      </c>
      <c r="E33" s="157">
        <v>1760851</v>
      </c>
      <c r="F33" s="158">
        <v>0</v>
      </c>
      <c r="G33" s="157">
        <v>1883200</v>
      </c>
      <c r="H33" s="158">
        <v>82370</v>
      </c>
      <c r="I33" s="157">
        <v>-122349</v>
      </c>
      <c r="J33" s="158">
        <v>-82370</v>
      </c>
      <c r="K33" s="157">
        <v>0</v>
      </c>
      <c r="L33" s="158">
        <v>0</v>
      </c>
      <c r="M33" s="157">
        <v>13593</v>
      </c>
      <c r="N33" s="158">
        <v>0</v>
      </c>
      <c r="O33" s="157">
        <v>237781</v>
      </c>
      <c r="P33" s="158">
        <v>275820</v>
      </c>
      <c r="Q33" s="157">
        <v>244138</v>
      </c>
      <c r="R33" s="158">
        <v>288851</v>
      </c>
      <c r="S33" s="157">
        <v>991</v>
      </c>
      <c r="T33" s="158">
        <v>17945</v>
      </c>
      <c r="U33" s="157">
        <v>20941</v>
      </c>
      <c r="V33" s="158">
        <v>30976</v>
      </c>
      <c r="W33" s="157">
        <v>7487.390000000014</v>
      </c>
      <c r="X33" s="158">
        <v>9793.1300000000047</v>
      </c>
      <c r="Y33" s="157">
        <v>0</v>
      </c>
      <c r="Z33" s="158">
        <v>0</v>
      </c>
      <c r="AA33" s="157">
        <v>0</v>
      </c>
      <c r="AB33" s="158">
        <v>184929.63999999998</v>
      </c>
      <c r="AC33" s="157">
        <v>0</v>
      </c>
      <c r="AD33" s="158">
        <v>0</v>
      </c>
      <c r="AE33" s="154">
        <v>3.477983979903351E-4</v>
      </c>
      <c r="AF33" s="156">
        <v>5.2020706441696012E-4</v>
      </c>
      <c r="AG33" s="154">
        <v>0</v>
      </c>
      <c r="AH33" s="156">
        <v>0</v>
      </c>
    </row>
    <row r="34" spans="1:34" x14ac:dyDescent="0.2">
      <c r="A34" s="152">
        <v>5305</v>
      </c>
      <c r="B34" s="153" t="s">
        <v>65</v>
      </c>
      <c r="C34" s="157">
        <v>0</v>
      </c>
      <c r="D34" s="158">
        <v>0</v>
      </c>
      <c r="E34" s="157">
        <v>831495</v>
      </c>
      <c r="F34" s="158">
        <v>-744</v>
      </c>
      <c r="G34" s="157">
        <v>381749</v>
      </c>
      <c r="H34" s="158">
        <v>488346</v>
      </c>
      <c r="I34" s="157">
        <v>492750</v>
      </c>
      <c r="J34" s="158">
        <v>-532094</v>
      </c>
      <c r="K34" s="157">
        <v>43004</v>
      </c>
      <c r="L34" s="158">
        <v>-43004</v>
      </c>
      <c r="M34" s="157">
        <v>0</v>
      </c>
      <c r="N34" s="158">
        <v>0</v>
      </c>
      <c r="O34" s="157">
        <v>40672125</v>
      </c>
      <c r="P34" s="158">
        <v>11398374</v>
      </c>
      <c r="Q34" s="157">
        <v>21627922</v>
      </c>
      <c r="R34" s="158">
        <v>16660719</v>
      </c>
      <c r="S34" s="157">
        <v>-3350896</v>
      </c>
      <c r="T34" s="158">
        <v>-7880771</v>
      </c>
      <c r="U34" s="157">
        <v>-22395099</v>
      </c>
      <c r="V34" s="158">
        <v>-2618426</v>
      </c>
      <c r="W34" s="157">
        <v>403.3899999987334</v>
      </c>
      <c r="X34" s="158">
        <v>240371.56000000006</v>
      </c>
      <c r="Y34" s="157">
        <v>71874.25</v>
      </c>
      <c r="Z34" s="158">
        <v>59107.800000000047</v>
      </c>
      <c r="AA34" s="157">
        <v>6989703.1400000006</v>
      </c>
      <c r="AB34" s="158">
        <v>1204402.1899999995</v>
      </c>
      <c r="AC34" s="157">
        <v>0</v>
      </c>
      <c r="AD34" s="158">
        <v>0</v>
      </c>
      <c r="AE34" s="154">
        <v>6.9893029929455984E-7</v>
      </c>
      <c r="AF34" s="156">
        <v>3.5868240662947394E-4</v>
      </c>
      <c r="AG34" s="154">
        <v>0</v>
      </c>
      <c r="AH34" s="156">
        <v>0</v>
      </c>
    </row>
    <row r="35" spans="1:34" x14ac:dyDescent="0.2">
      <c r="A35" s="152">
        <v>5306</v>
      </c>
      <c r="B35" s="153" t="s">
        <v>70</v>
      </c>
      <c r="C35" s="157">
        <v>0</v>
      </c>
      <c r="D35" s="158">
        <v>0</v>
      </c>
      <c r="E35" s="157">
        <v>294025</v>
      </c>
      <c r="F35" s="158">
        <v>3132159</v>
      </c>
      <c r="G35" s="157">
        <v>1739827</v>
      </c>
      <c r="H35" s="158">
        <v>1594107</v>
      </c>
      <c r="I35" s="157">
        <v>13082</v>
      </c>
      <c r="J35" s="158">
        <v>120269</v>
      </c>
      <c r="K35" s="157">
        <v>1458884</v>
      </c>
      <c r="L35" s="158">
        <v>-1417783</v>
      </c>
      <c r="M35" s="157">
        <v>0</v>
      </c>
      <c r="N35" s="158">
        <v>0</v>
      </c>
      <c r="O35" s="157">
        <v>494360</v>
      </c>
      <c r="P35" s="158">
        <v>550904</v>
      </c>
      <c r="Q35" s="157">
        <v>254976</v>
      </c>
      <c r="R35" s="158">
        <v>690957</v>
      </c>
      <c r="S35" s="157">
        <v>226457</v>
      </c>
      <c r="T35" s="158">
        <v>-142973</v>
      </c>
      <c r="U35" s="157">
        <v>-12927</v>
      </c>
      <c r="V35" s="158">
        <v>-2920</v>
      </c>
      <c r="W35" s="157">
        <v>2770.1499999999942</v>
      </c>
      <c r="X35" s="158">
        <v>114519.22999999995</v>
      </c>
      <c r="Y35" s="157">
        <v>0</v>
      </c>
      <c r="Z35" s="158">
        <v>0</v>
      </c>
      <c r="AA35" s="157">
        <v>3864537.0399999996</v>
      </c>
      <c r="AB35" s="158">
        <v>145183.7399999999</v>
      </c>
      <c r="AC35" s="157">
        <v>0</v>
      </c>
      <c r="AD35" s="158">
        <v>0</v>
      </c>
      <c r="AE35" s="154">
        <v>2.231463004064824E-4</v>
      </c>
      <c r="AF35" s="156">
        <v>5.6991960804874007E-3</v>
      </c>
      <c r="AG35" s="154">
        <v>0</v>
      </c>
      <c r="AH35" s="156">
        <v>0</v>
      </c>
    </row>
    <row r="36" spans="1:34" x14ac:dyDescent="0.2">
      <c r="A36" s="152">
        <v>5307</v>
      </c>
      <c r="B36" s="153" t="s">
        <v>71</v>
      </c>
      <c r="C36" s="157">
        <v>0</v>
      </c>
      <c r="D36" s="158">
        <v>0</v>
      </c>
      <c r="E36" s="157">
        <v>497680</v>
      </c>
      <c r="F36" s="158">
        <v>223364</v>
      </c>
      <c r="G36" s="157">
        <v>324455</v>
      </c>
      <c r="H36" s="158">
        <v>138864</v>
      </c>
      <c r="I36" s="157">
        <v>202390</v>
      </c>
      <c r="J36" s="158">
        <v>34380</v>
      </c>
      <c r="K36" s="157">
        <v>29165</v>
      </c>
      <c r="L36" s="158">
        <v>-50120</v>
      </c>
      <c r="M36" s="157">
        <v>231706</v>
      </c>
      <c r="N36" s="158">
        <v>0</v>
      </c>
      <c r="O36" s="157">
        <v>1407102</v>
      </c>
      <c r="P36" s="158">
        <v>992876</v>
      </c>
      <c r="Q36" s="157">
        <v>1110501</v>
      </c>
      <c r="R36" s="158">
        <v>1022965</v>
      </c>
      <c r="S36" s="157">
        <v>114701</v>
      </c>
      <c r="T36" s="158">
        <v>-121084</v>
      </c>
      <c r="U36" s="157">
        <v>49806</v>
      </c>
      <c r="V36" s="158">
        <v>-90995</v>
      </c>
      <c r="W36" s="157">
        <v>102948.06000000003</v>
      </c>
      <c r="X36" s="158">
        <v>323999.25000000012</v>
      </c>
      <c r="Y36" s="157">
        <v>99161.21</v>
      </c>
      <c r="Z36" s="158">
        <v>-1.8190310369092799E-14</v>
      </c>
      <c r="AA36" s="157">
        <v>91219.609999999913</v>
      </c>
      <c r="AB36" s="158">
        <v>239196.11999999988</v>
      </c>
      <c r="AC36" s="157">
        <v>0</v>
      </c>
      <c r="AD36" s="158">
        <v>59496</v>
      </c>
      <c r="AE36" s="154">
        <v>5.8738683532603593E-3</v>
      </c>
      <c r="AF36" s="156">
        <v>1.5242139589248796E-2</v>
      </c>
      <c r="AG36" s="154">
        <v>0</v>
      </c>
      <c r="AH36" s="156">
        <v>2.798914926506608E-3</v>
      </c>
    </row>
    <row r="37" spans="1:34" x14ac:dyDescent="0.2">
      <c r="A37" s="152">
        <v>5308</v>
      </c>
      <c r="B37" s="153" t="s">
        <v>72</v>
      </c>
      <c r="C37" s="157">
        <v>0</v>
      </c>
      <c r="D37" s="158">
        <v>0</v>
      </c>
      <c r="E37" s="157">
        <v>656302</v>
      </c>
      <c r="F37" s="158">
        <v>616897</v>
      </c>
      <c r="G37" s="157">
        <v>649104</v>
      </c>
      <c r="H37" s="158">
        <v>595293</v>
      </c>
      <c r="I37" s="157">
        <v>16156</v>
      </c>
      <c r="J37" s="158">
        <v>17393</v>
      </c>
      <c r="K37" s="157">
        <v>8958</v>
      </c>
      <c r="L37" s="158">
        <v>-4211</v>
      </c>
      <c r="M37" s="157">
        <v>49497</v>
      </c>
      <c r="N37" s="158">
        <v>0</v>
      </c>
      <c r="O37" s="157">
        <v>705736</v>
      </c>
      <c r="P37" s="158">
        <v>744783</v>
      </c>
      <c r="Q37" s="157">
        <v>639444</v>
      </c>
      <c r="R37" s="158">
        <v>521562</v>
      </c>
      <c r="S37" s="157">
        <v>-24267</v>
      </c>
      <c r="T37" s="158">
        <v>270448</v>
      </c>
      <c r="U37" s="157">
        <v>-41062</v>
      </c>
      <c r="V37" s="158">
        <v>47227</v>
      </c>
      <c r="W37" s="157">
        <v>104285.87999999995</v>
      </c>
      <c r="X37" s="158">
        <v>1495061.12</v>
      </c>
      <c r="Y37" s="157">
        <v>0</v>
      </c>
      <c r="Z37" s="158">
        <v>0</v>
      </c>
      <c r="AA37" s="157">
        <v>493587.68999999994</v>
      </c>
      <c r="AB37" s="158">
        <v>1666675.1700000002</v>
      </c>
      <c r="AC37" s="157">
        <v>0</v>
      </c>
      <c r="AD37" s="158">
        <v>0</v>
      </c>
      <c r="AE37" s="154">
        <v>5.6467650538881507E-3</v>
      </c>
      <c r="AF37" s="156">
        <v>6.4746904304219893E-2</v>
      </c>
      <c r="AG37" s="154">
        <v>0</v>
      </c>
      <c r="AH37" s="156">
        <v>0</v>
      </c>
    </row>
    <row r="38" spans="1:34" x14ac:dyDescent="0.2">
      <c r="A38" s="152">
        <v>5309</v>
      </c>
      <c r="B38" s="153" t="s">
        <v>73</v>
      </c>
      <c r="C38" s="157">
        <v>14276</v>
      </c>
      <c r="D38" s="158">
        <v>39306</v>
      </c>
      <c r="E38" s="157">
        <v>589867</v>
      </c>
      <c r="F38" s="158">
        <v>532104</v>
      </c>
      <c r="G38" s="157">
        <v>215617</v>
      </c>
      <c r="H38" s="158">
        <v>2124965</v>
      </c>
      <c r="I38" s="157">
        <v>356675</v>
      </c>
      <c r="J38" s="158">
        <v>-370947</v>
      </c>
      <c r="K38" s="157">
        <v>-3299</v>
      </c>
      <c r="L38" s="158">
        <v>1261220</v>
      </c>
      <c r="M38" s="157">
        <v>15545</v>
      </c>
      <c r="N38" s="158">
        <v>0</v>
      </c>
      <c r="O38" s="157">
        <v>1300868</v>
      </c>
      <c r="P38" s="158">
        <v>1343390</v>
      </c>
      <c r="Q38" s="157">
        <v>1489334</v>
      </c>
      <c r="R38" s="158">
        <v>1202933</v>
      </c>
      <c r="S38" s="157">
        <v>-119509</v>
      </c>
      <c r="T38" s="158">
        <v>171982</v>
      </c>
      <c r="U38" s="157">
        <v>84502</v>
      </c>
      <c r="V38" s="158">
        <v>31525</v>
      </c>
      <c r="W38" s="157">
        <v>6563.0599999999977</v>
      </c>
      <c r="X38" s="158">
        <v>67759.399999999965</v>
      </c>
      <c r="Y38" s="157">
        <v>0</v>
      </c>
      <c r="Z38" s="158">
        <v>0</v>
      </c>
      <c r="AA38" s="157">
        <v>852216.6</v>
      </c>
      <c r="AB38" s="158">
        <v>3765155.11</v>
      </c>
      <c r="AC38" s="157">
        <v>0</v>
      </c>
      <c r="AD38" s="158">
        <v>0</v>
      </c>
      <c r="AE38" s="154">
        <v>2.1864196364873215E-4</v>
      </c>
      <c r="AF38" s="156">
        <v>1.8093352807535908E-3</v>
      </c>
      <c r="AG38" s="154">
        <v>0</v>
      </c>
      <c r="AH38" s="156">
        <v>0</v>
      </c>
    </row>
    <row r="39" spans="1:34" x14ac:dyDescent="0.2">
      <c r="A39" s="152">
        <v>5310</v>
      </c>
      <c r="B39" s="153" t="s">
        <v>74</v>
      </c>
      <c r="C39" s="157">
        <v>0</v>
      </c>
      <c r="D39" s="158">
        <v>0</v>
      </c>
      <c r="E39" s="157">
        <v>1042810</v>
      </c>
      <c r="F39" s="158">
        <v>-8</v>
      </c>
      <c r="G39" s="157">
        <v>725812</v>
      </c>
      <c r="H39" s="158">
        <v>0</v>
      </c>
      <c r="I39" s="157">
        <v>0</v>
      </c>
      <c r="J39" s="158">
        <v>0</v>
      </c>
      <c r="K39" s="157">
        <v>-316998</v>
      </c>
      <c r="L39" s="158">
        <v>8</v>
      </c>
      <c r="M39" s="157">
        <v>0</v>
      </c>
      <c r="N39" s="158">
        <v>0</v>
      </c>
      <c r="O39" s="157">
        <v>562641</v>
      </c>
      <c r="P39" s="158">
        <v>1701075</v>
      </c>
      <c r="Q39" s="157">
        <v>624570</v>
      </c>
      <c r="R39" s="158">
        <v>2002230</v>
      </c>
      <c r="S39" s="157">
        <v>-74722</v>
      </c>
      <c r="T39" s="158">
        <v>44482</v>
      </c>
      <c r="U39" s="157">
        <v>-12793</v>
      </c>
      <c r="V39" s="158">
        <v>345637</v>
      </c>
      <c r="W39" s="157">
        <v>10453.850000000006</v>
      </c>
      <c r="X39" s="158">
        <v>437730.64999999991</v>
      </c>
      <c r="Y39" s="157">
        <v>0</v>
      </c>
      <c r="Z39" s="158">
        <v>0</v>
      </c>
      <c r="AA39" s="157">
        <v>120945.06000000003</v>
      </c>
      <c r="AB39" s="158">
        <v>1382759.82</v>
      </c>
      <c r="AC39" s="157">
        <v>0</v>
      </c>
      <c r="AD39" s="158">
        <v>0</v>
      </c>
      <c r="AE39" s="154">
        <v>4.4003265228877744E-4</v>
      </c>
      <c r="AF39" s="156">
        <v>1.6720447580044154E-2</v>
      </c>
      <c r="AG39" s="154">
        <v>0</v>
      </c>
      <c r="AH39" s="156">
        <v>0</v>
      </c>
    </row>
    <row r="40" spans="1:34" x14ac:dyDescent="0.2">
      <c r="A40" s="152">
        <v>5311</v>
      </c>
      <c r="B40" s="153" t="s">
        <v>75</v>
      </c>
      <c r="C40" s="157">
        <v>34520</v>
      </c>
      <c r="D40" s="158">
        <v>30882</v>
      </c>
      <c r="E40" s="157">
        <v>270284</v>
      </c>
      <c r="F40" s="158">
        <v>65225</v>
      </c>
      <c r="G40" s="157">
        <v>0</v>
      </c>
      <c r="H40" s="158">
        <v>407923</v>
      </c>
      <c r="I40" s="157">
        <v>219434</v>
      </c>
      <c r="J40" s="158">
        <v>-365553</v>
      </c>
      <c r="K40" s="157">
        <v>-16330</v>
      </c>
      <c r="L40" s="158">
        <v>8027</v>
      </c>
      <c r="M40" s="157">
        <v>0</v>
      </c>
      <c r="N40" s="158">
        <v>0</v>
      </c>
      <c r="O40" s="157">
        <v>1093111</v>
      </c>
      <c r="P40" s="158">
        <v>1196380</v>
      </c>
      <c r="Q40" s="157">
        <v>1107230</v>
      </c>
      <c r="R40" s="158">
        <v>1233954</v>
      </c>
      <c r="S40" s="157">
        <v>-119898</v>
      </c>
      <c r="T40" s="158">
        <v>243983</v>
      </c>
      <c r="U40" s="157">
        <v>-105779</v>
      </c>
      <c r="V40" s="158">
        <v>281557</v>
      </c>
      <c r="W40" s="157">
        <v>-2.9103830456733704E-11</v>
      </c>
      <c r="X40" s="158">
        <v>11662.79999999993</v>
      </c>
      <c r="Y40" s="157">
        <v>0</v>
      </c>
      <c r="Z40" s="158">
        <v>0</v>
      </c>
      <c r="AA40" s="157">
        <v>428824.63000000006</v>
      </c>
      <c r="AB40" s="158">
        <v>698715.27</v>
      </c>
      <c r="AC40" s="157">
        <v>0</v>
      </c>
      <c r="AD40" s="158">
        <v>0</v>
      </c>
      <c r="AE40" s="154">
        <v>-8.5403262229755022E-19</v>
      </c>
      <c r="AF40" s="156">
        <v>2.8989051927656945E-4</v>
      </c>
      <c r="AG40" s="154">
        <v>0</v>
      </c>
      <c r="AH40" s="156">
        <v>0</v>
      </c>
    </row>
    <row r="41" spans="1:34" x14ac:dyDescent="0.2">
      <c r="A41" s="152">
        <v>5312</v>
      </c>
      <c r="B41" s="153" t="s">
        <v>76</v>
      </c>
      <c r="C41" s="157">
        <v>0</v>
      </c>
      <c r="D41" s="158">
        <v>0</v>
      </c>
      <c r="E41" s="157">
        <v>0</v>
      </c>
      <c r="F41" s="158">
        <v>25917</v>
      </c>
      <c r="G41" s="157">
        <v>0</v>
      </c>
      <c r="H41" s="158">
        <v>0</v>
      </c>
      <c r="I41" s="157">
        <v>0</v>
      </c>
      <c r="J41" s="158">
        <v>26000</v>
      </c>
      <c r="K41" s="157">
        <v>0</v>
      </c>
      <c r="L41" s="158">
        <v>83</v>
      </c>
      <c r="M41" s="157">
        <v>0</v>
      </c>
      <c r="N41" s="158">
        <v>0</v>
      </c>
      <c r="O41" s="157">
        <v>400221</v>
      </c>
      <c r="P41" s="158">
        <v>603213</v>
      </c>
      <c r="Q41" s="157">
        <v>498316</v>
      </c>
      <c r="R41" s="158">
        <v>476623</v>
      </c>
      <c r="S41" s="157">
        <v>-64700</v>
      </c>
      <c r="T41" s="158">
        <v>116700</v>
      </c>
      <c r="U41" s="157">
        <v>33395</v>
      </c>
      <c r="V41" s="158">
        <v>-9890</v>
      </c>
      <c r="W41" s="157">
        <v>0</v>
      </c>
      <c r="X41" s="158">
        <v>1672</v>
      </c>
      <c r="Y41" s="157">
        <v>0</v>
      </c>
      <c r="Z41" s="158">
        <v>0</v>
      </c>
      <c r="AA41" s="157">
        <v>62570.080000000002</v>
      </c>
      <c r="AB41" s="158">
        <v>16412.319999999992</v>
      </c>
      <c r="AC41" s="157">
        <v>0</v>
      </c>
      <c r="AD41" s="158">
        <v>0</v>
      </c>
      <c r="AE41" s="154">
        <v>0</v>
      </c>
      <c r="AF41" s="156">
        <v>8.0988093490872614E-5</v>
      </c>
      <c r="AG41" s="154">
        <v>0</v>
      </c>
      <c r="AH41" s="156">
        <v>0</v>
      </c>
    </row>
    <row r="42" spans="1:34" x14ac:dyDescent="0.2">
      <c r="A42" s="152">
        <v>5401</v>
      </c>
      <c r="B42" s="153" t="s">
        <v>77</v>
      </c>
      <c r="C42" s="157">
        <v>0</v>
      </c>
      <c r="D42" s="158">
        <v>0</v>
      </c>
      <c r="E42" s="157">
        <v>0</v>
      </c>
      <c r="F42" s="158">
        <v>0</v>
      </c>
      <c r="G42" s="157">
        <v>0</v>
      </c>
      <c r="H42" s="158">
        <v>0</v>
      </c>
      <c r="I42" s="157">
        <v>0</v>
      </c>
      <c r="J42" s="158">
        <v>0</v>
      </c>
      <c r="K42" s="157">
        <v>0</v>
      </c>
      <c r="L42" s="158">
        <v>0</v>
      </c>
      <c r="M42" s="157">
        <v>48</v>
      </c>
      <c r="N42" s="158">
        <v>96</v>
      </c>
      <c r="O42" s="157">
        <v>12582262</v>
      </c>
      <c r="P42" s="158">
        <v>4066560</v>
      </c>
      <c r="Q42" s="157">
        <v>8646987</v>
      </c>
      <c r="R42" s="158">
        <v>11609377</v>
      </c>
      <c r="S42" s="157">
        <v>3422408</v>
      </c>
      <c r="T42" s="158">
        <v>-4622333</v>
      </c>
      <c r="U42" s="157">
        <v>-512819</v>
      </c>
      <c r="V42" s="158">
        <v>2920580</v>
      </c>
      <c r="W42" s="157">
        <v>187848.43999999948</v>
      </c>
      <c r="X42" s="158">
        <v>62948.510000000242</v>
      </c>
      <c r="Y42" s="157">
        <v>305748.73000000004</v>
      </c>
      <c r="Z42" s="158">
        <v>9.9999999620195013E-3</v>
      </c>
      <c r="AA42" s="157">
        <v>6368165.379999999</v>
      </c>
      <c r="AB42" s="158">
        <v>9315747.4299999997</v>
      </c>
      <c r="AC42" s="157">
        <v>0</v>
      </c>
      <c r="AD42" s="158">
        <v>0</v>
      </c>
      <c r="AE42" s="154">
        <v>1.3137121503605765E-3</v>
      </c>
      <c r="AF42" s="156">
        <v>3.5936223755745586E-4</v>
      </c>
      <c r="AG42" s="154">
        <v>0</v>
      </c>
      <c r="AH42" s="156">
        <v>0</v>
      </c>
    </row>
    <row r="43" spans="1:34" x14ac:dyDescent="0.2">
      <c r="A43" s="152">
        <v>5402</v>
      </c>
      <c r="B43" s="153" t="s">
        <v>78</v>
      </c>
      <c r="C43" s="157">
        <v>0</v>
      </c>
      <c r="D43" s="158">
        <v>0</v>
      </c>
      <c r="E43" s="157">
        <v>0</v>
      </c>
      <c r="F43" s="158">
        <v>0</v>
      </c>
      <c r="G43" s="157">
        <v>0</v>
      </c>
      <c r="H43" s="158">
        <v>0</v>
      </c>
      <c r="I43" s="157">
        <v>0</v>
      </c>
      <c r="J43" s="158">
        <v>0</v>
      </c>
      <c r="K43" s="157">
        <v>0</v>
      </c>
      <c r="L43" s="158">
        <v>0</v>
      </c>
      <c r="M43" s="157">
        <v>0</v>
      </c>
      <c r="N43" s="158">
        <v>0</v>
      </c>
      <c r="O43" s="157">
        <v>11718675</v>
      </c>
      <c r="P43" s="158">
        <v>5361412</v>
      </c>
      <c r="Q43" s="157">
        <v>9150539</v>
      </c>
      <c r="R43" s="158">
        <v>9430276</v>
      </c>
      <c r="S43" s="157">
        <v>3404547</v>
      </c>
      <c r="T43" s="158">
        <v>-4700326</v>
      </c>
      <c r="U43" s="157">
        <v>836411</v>
      </c>
      <c r="V43" s="158">
        <v>-631462</v>
      </c>
      <c r="W43" s="157">
        <v>80956.470000000685</v>
      </c>
      <c r="X43" s="158">
        <v>40704.400000000387</v>
      </c>
      <c r="Y43" s="157">
        <v>0</v>
      </c>
      <c r="Z43" s="158">
        <v>0</v>
      </c>
      <c r="AA43" s="157">
        <v>928556.12000000023</v>
      </c>
      <c r="AB43" s="158">
        <v>5471241.6599999992</v>
      </c>
      <c r="AC43" s="157">
        <v>0</v>
      </c>
      <c r="AD43" s="158">
        <v>0</v>
      </c>
      <c r="AE43" s="154">
        <v>1.358507619678953E-3</v>
      </c>
      <c r="AF43" s="156">
        <v>6.138472467960847E-4</v>
      </c>
      <c r="AG43" s="154">
        <v>0</v>
      </c>
      <c r="AH43" s="156">
        <v>0</v>
      </c>
    </row>
    <row r="44" spans="1:34" x14ac:dyDescent="0.2">
      <c r="A44" s="152">
        <v>5403</v>
      </c>
      <c r="B44" s="153" t="s">
        <v>79</v>
      </c>
      <c r="C44" s="157">
        <v>0</v>
      </c>
      <c r="D44" s="158">
        <v>0</v>
      </c>
      <c r="E44" s="157">
        <v>89612</v>
      </c>
      <c r="F44" s="158">
        <v>1711466</v>
      </c>
      <c r="G44" s="157">
        <v>63606</v>
      </c>
      <c r="H44" s="158">
        <v>1716802</v>
      </c>
      <c r="I44" s="157">
        <v>41228</v>
      </c>
      <c r="J44" s="158">
        <v>-3699</v>
      </c>
      <c r="K44" s="157">
        <v>15222</v>
      </c>
      <c r="L44" s="158">
        <v>1637</v>
      </c>
      <c r="M44" s="157">
        <v>0</v>
      </c>
      <c r="N44" s="158">
        <v>0</v>
      </c>
      <c r="O44" s="157">
        <v>1020069</v>
      </c>
      <c r="P44" s="158">
        <v>600394</v>
      </c>
      <c r="Q44" s="157">
        <v>1054535</v>
      </c>
      <c r="R44" s="158">
        <v>588984</v>
      </c>
      <c r="S44" s="157">
        <v>-50298</v>
      </c>
      <c r="T44" s="158">
        <v>27175</v>
      </c>
      <c r="U44" s="157">
        <v>-15832</v>
      </c>
      <c r="V44" s="158">
        <v>15765</v>
      </c>
      <c r="W44" s="157">
        <v>0</v>
      </c>
      <c r="X44" s="158">
        <v>210861.74000000002</v>
      </c>
      <c r="Y44" s="157">
        <v>0</v>
      </c>
      <c r="Z44" s="158">
        <v>0</v>
      </c>
      <c r="AA44" s="157">
        <v>3757181.64</v>
      </c>
      <c r="AB44" s="158">
        <v>4075957.3</v>
      </c>
      <c r="AC44" s="157">
        <v>0</v>
      </c>
      <c r="AD44" s="158">
        <v>0</v>
      </c>
      <c r="AE44" s="154">
        <v>0</v>
      </c>
      <c r="AF44" s="156">
        <v>8.3843449674205726E-3</v>
      </c>
      <c r="AG44" s="154">
        <v>0</v>
      </c>
      <c r="AH44" s="156">
        <v>0</v>
      </c>
    </row>
    <row r="45" spans="1:34" x14ac:dyDescent="0.2">
      <c r="A45" s="152">
        <v>5404</v>
      </c>
      <c r="B45" s="153" t="s">
        <v>80</v>
      </c>
      <c r="C45" s="157">
        <v>0</v>
      </c>
      <c r="D45" s="158">
        <v>0</v>
      </c>
      <c r="E45" s="157">
        <v>61800</v>
      </c>
      <c r="F45" s="158">
        <v>62256</v>
      </c>
      <c r="G45" s="157">
        <v>126702</v>
      </c>
      <c r="H45" s="158">
        <v>62256</v>
      </c>
      <c r="I45" s="157">
        <v>-64902</v>
      </c>
      <c r="J45" s="158">
        <v>0</v>
      </c>
      <c r="K45" s="157">
        <v>0</v>
      </c>
      <c r="L45" s="158">
        <v>0</v>
      </c>
      <c r="M45" s="157">
        <v>0</v>
      </c>
      <c r="N45" s="158">
        <v>0</v>
      </c>
      <c r="O45" s="157">
        <v>361594</v>
      </c>
      <c r="P45" s="158">
        <v>461741</v>
      </c>
      <c r="Q45" s="157">
        <v>345541</v>
      </c>
      <c r="R45" s="158">
        <v>906365</v>
      </c>
      <c r="S45" s="157">
        <v>11541</v>
      </c>
      <c r="T45" s="158">
        <v>12513</v>
      </c>
      <c r="U45" s="157">
        <v>-4512</v>
      </c>
      <c r="V45" s="158">
        <v>457137</v>
      </c>
      <c r="W45" s="157">
        <v>173.80999999999767</v>
      </c>
      <c r="X45" s="158">
        <v>347.61999999999534</v>
      </c>
      <c r="Y45" s="157">
        <v>0</v>
      </c>
      <c r="Z45" s="158">
        <v>0</v>
      </c>
      <c r="AA45" s="157">
        <v>220738</v>
      </c>
      <c r="AB45" s="158">
        <v>2412845.0500000003</v>
      </c>
      <c r="AC45" s="157">
        <v>0</v>
      </c>
      <c r="AD45" s="158">
        <v>0</v>
      </c>
      <c r="AE45" s="154">
        <v>1.2927612140396923E-5</v>
      </c>
      <c r="AF45" s="156">
        <v>2.2436194289103377E-5</v>
      </c>
      <c r="AG45" s="154">
        <v>0</v>
      </c>
      <c r="AH45" s="156">
        <v>0</v>
      </c>
    </row>
    <row r="46" spans="1:34" x14ac:dyDescent="0.2">
      <c r="A46" s="152">
        <v>5405</v>
      </c>
      <c r="B46" s="153" t="s">
        <v>81</v>
      </c>
      <c r="C46" s="157">
        <v>0</v>
      </c>
      <c r="D46" s="158">
        <v>0</v>
      </c>
      <c r="E46" s="157">
        <v>107930</v>
      </c>
      <c r="F46" s="158">
        <v>90389</v>
      </c>
      <c r="G46" s="157">
        <v>104475</v>
      </c>
      <c r="H46" s="158">
        <v>457155</v>
      </c>
      <c r="I46" s="157">
        <v>-14522</v>
      </c>
      <c r="J46" s="158">
        <v>0</v>
      </c>
      <c r="K46" s="157">
        <v>-17977</v>
      </c>
      <c r="L46" s="158">
        <v>366766</v>
      </c>
      <c r="M46" s="157">
        <v>202</v>
      </c>
      <c r="N46" s="158">
        <v>0</v>
      </c>
      <c r="O46" s="157">
        <v>529207</v>
      </c>
      <c r="P46" s="158">
        <v>631666</v>
      </c>
      <c r="Q46" s="157">
        <v>597892</v>
      </c>
      <c r="R46" s="158">
        <v>541551</v>
      </c>
      <c r="S46" s="157">
        <v>-31963</v>
      </c>
      <c r="T46" s="158">
        <v>72104</v>
      </c>
      <c r="U46" s="157">
        <v>36924</v>
      </c>
      <c r="V46" s="158">
        <v>-18011</v>
      </c>
      <c r="W46" s="157">
        <v>4441.5700000000033</v>
      </c>
      <c r="X46" s="158">
        <v>46243.400000000023</v>
      </c>
      <c r="Y46" s="157">
        <v>0</v>
      </c>
      <c r="Z46" s="158">
        <v>0</v>
      </c>
      <c r="AA46" s="157">
        <v>9822</v>
      </c>
      <c r="AB46" s="158">
        <v>3800399.8000000003</v>
      </c>
      <c r="AC46" s="157">
        <v>0</v>
      </c>
      <c r="AD46" s="158">
        <v>0</v>
      </c>
      <c r="AE46" s="154">
        <v>2.5348492765791739E-4</v>
      </c>
      <c r="AF46" s="156">
        <v>2.3751415336975405E-3</v>
      </c>
      <c r="AG46" s="154">
        <v>0</v>
      </c>
      <c r="AH46" s="156">
        <v>0</v>
      </c>
    </row>
    <row r="47" spans="1:34" x14ac:dyDescent="0.2">
      <c r="A47" s="152">
        <v>5406</v>
      </c>
      <c r="B47" s="153" t="s">
        <v>82</v>
      </c>
      <c r="C47" s="157">
        <v>39485</v>
      </c>
      <c r="D47" s="158">
        <v>29988</v>
      </c>
      <c r="E47" s="157">
        <v>422824</v>
      </c>
      <c r="F47" s="158">
        <v>4192218</v>
      </c>
      <c r="G47" s="157">
        <v>450122</v>
      </c>
      <c r="H47" s="158">
        <v>4185176</v>
      </c>
      <c r="I47" s="157">
        <v>0</v>
      </c>
      <c r="J47" s="158">
        <v>13652</v>
      </c>
      <c r="K47" s="157">
        <v>66783</v>
      </c>
      <c r="L47" s="158">
        <v>36598</v>
      </c>
      <c r="M47" s="157">
        <v>0</v>
      </c>
      <c r="N47" s="158">
        <v>0</v>
      </c>
      <c r="O47" s="157">
        <v>2313178</v>
      </c>
      <c r="P47" s="158">
        <v>2060996</v>
      </c>
      <c r="Q47" s="157">
        <v>2480748</v>
      </c>
      <c r="R47" s="158">
        <v>2233417</v>
      </c>
      <c r="S47" s="157">
        <v>-41824</v>
      </c>
      <c r="T47" s="158">
        <v>429593</v>
      </c>
      <c r="U47" s="157">
        <v>125746</v>
      </c>
      <c r="V47" s="158">
        <v>602014</v>
      </c>
      <c r="W47" s="157">
        <v>35259.919999999984</v>
      </c>
      <c r="X47" s="158">
        <v>288508.69000000029</v>
      </c>
      <c r="Y47" s="157">
        <v>0</v>
      </c>
      <c r="Z47" s="158">
        <v>0</v>
      </c>
      <c r="AA47" s="157">
        <v>4341335.5299999993</v>
      </c>
      <c r="AB47" s="158">
        <v>8624492.6199999992</v>
      </c>
      <c r="AC47" s="157">
        <v>0</v>
      </c>
      <c r="AD47" s="158">
        <v>0</v>
      </c>
      <c r="AE47" s="154">
        <v>8.7428642655341309E-4</v>
      </c>
      <c r="AF47" s="156">
        <v>6.5140450434566354E-3</v>
      </c>
      <c r="AG47" s="154">
        <v>0</v>
      </c>
      <c r="AH47" s="156">
        <v>0</v>
      </c>
    </row>
    <row r="48" spans="1:34" x14ac:dyDescent="0.2">
      <c r="A48" s="152">
        <v>5407</v>
      </c>
      <c r="B48" s="153" t="s">
        <v>83</v>
      </c>
      <c r="C48" s="157">
        <v>0</v>
      </c>
      <c r="D48" s="158">
        <v>0</v>
      </c>
      <c r="E48" s="157">
        <v>1408677</v>
      </c>
      <c r="F48" s="158">
        <v>383046</v>
      </c>
      <c r="G48" s="157">
        <v>1595454</v>
      </c>
      <c r="H48" s="158">
        <v>348489</v>
      </c>
      <c r="I48" s="157">
        <v>25576</v>
      </c>
      <c r="J48" s="158">
        <v>-79834</v>
      </c>
      <c r="K48" s="157">
        <v>212353</v>
      </c>
      <c r="L48" s="158">
        <v>-114391</v>
      </c>
      <c r="M48" s="157">
        <v>0</v>
      </c>
      <c r="N48" s="158">
        <v>0</v>
      </c>
      <c r="O48" s="157">
        <v>1068617</v>
      </c>
      <c r="P48" s="158">
        <v>810528</v>
      </c>
      <c r="Q48" s="157">
        <v>1243621</v>
      </c>
      <c r="R48" s="158">
        <v>1044620</v>
      </c>
      <c r="S48" s="157">
        <v>-238854</v>
      </c>
      <c r="T48" s="158">
        <v>-223235</v>
      </c>
      <c r="U48" s="157">
        <v>-63850</v>
      </c>
      <c r="V48" s="158">
        <v>10857</v>
      </c>
      <c r="W48" s="157">
        <v>0</v>
      </c>
      <c r="X48" s="158">
        <v>450687.94</v>
      </c>
      <c r="Y48" s="157">
        <v>0</v>
      </c>
      <c r="Z48" s="158">
        <v>0</v>
      </c>
      <c r="AA48" s="157">
        <v>723224.47</v>
      </c>
      <c r="AB48" s="158">
        <v>1288210.45</v>
      </c>
      <c r="AC48" s="157">
        <v>0</v>
      </c>
      <c r="AD48" s="158">
        <v>0</v>
      </c>
      <c r="AE48" s="154">
        <v>0</v>
      </c>
      <c r="AF48" s="156">
        <v>1.701839550110245E-2</v>
      </c>
      <c r="AG48" s="154">
        <v>0</v>
      </c>
      <c r="AH48" s="156">
        <v>0</v>
      </c>
    </row>
    <row r="49" spans="1:34" x14ac:dyDescent="0.2">
      <c r="A49" s="152">
        <v>5408</v>
      </c>
      <c r="B49" s="153" t="s">
        <v>84</v>
      </c>
      <c r="C49" s="157">
        <v>0</v>
      </c>
      <c r="D49" s="158">
        <v>0</v>
      </c>
      <c r="E49" s="157">
        <v>0</v>
      </c>
      <c r="F49" s="158">
        <v>23268</v>
      </c>
      <c r="G49" s="157">
        <v>0</v>
      </c>
      <c r="H49" s="158">
        <v>0</v>
      </c>
      <c r="I49" s="157">
        <v>0</v>
      </c>
      <c r="J49" s="158">
        <v>23268</v>
      </c>
      <c r="K49" s="157">
        <v>0</v>
      </c>
      <c r="L49" s="158">
        <v>0</v>
      </c>
      <c r="M49" s="157">
        <v>0</v>
      </c>
      <c r="N49" s="158">
        <v>0</v>
      </c>
      <c r="O49" s="157">
        <v>2157855</v>
      </c>
      <c r="P49" s="158">
        <v>5509100</v>
      </c>
      <c r="Q49" s="157">
        <v>2390309</v>
      </c>
      <c r="R49" s="158">
        <v>4521081</v>
      </c>
      <c r="S49" s="157">
        <v>-314827</v>
      </c>
      <c r="T49" s="158">
        <v>880703</v>
      </c>
      <c r="U49" s="157">
        <v>-82373</v>
      </c>
      <c r="V49" s="158">
        <v>-107316</v>
      </c>
      <c r="W49" s="157">
        <v>-5.8207660913467407E-11</v>
      </c>
      <c r="X49" s="158">
        <v>0</v>
      </c>
      <c r="Y49" s="157">
        <v>0</v>
      </c>
      <c r="Z49" s="158">
        <v>0</v>
      </c>
      <c r="AA49" s="157">
        <v>13974</v>
      </c>
      <c r="AB49" s="158">
        <v>22828004.919999998</v>
      </c>
      <c r="AC49" s="157">
        <v>0</v>
      </c>
      <c r="AD49" s="158">
        <v>0</v>
      </c>
      <c r="AE49" s="154">
        <v>-1.224818374366238E-18</v>
      </c>
      <c r="AF49" s="156">
        <v>0</v>
      </c>
      <c r="AG49" s="154">
        <v>0</v>
      </c>
      <c r="AH49" s="156">
        <v>0</v>
      </c>
    </row>
    <row r="50" spans="1:34" x14ac:dyDescent="0.2">
      <c r="A50" s="152">
        <v>5409</v>
      </c>
      <c r="B50" s="153" t="s">
        <v>85</v>
      </c>
      <c r="C50" s="157">
        <v>12562</v>
      </c>
      <c r="D50" s="158">
        <v>8437</v>
      </c>
      <c r="E50" s="157">
        <v>1575916</v>
      </c>
      <c r="F50" s="158">
        <v>171877</v>
      </c>
      <c r="G50" s="157">
        <v>1761636</v>
      </c>
      <c r="H50" s="158">
        <v>170494</v>
      </c>
      <c r="I50" s="157">
        <v>-37369</v>
      </c>
      <c r="J50" s="158">
        <v>1383</v>
      </c>
      <c r="K50" s="157">
        <v>160913</v>
      </c>
      <c r="L50" s="158">
        <v>8437</v>
      </c>
      <c r="M50" s="157">
        <v>2125</v>
      </c>
      <c r="N50" s="158">
        <v>0</v>
      </c>
      <c r="O50" s="157">
        <v>1066687</v>
      </c>
      <c r="P50" s="158">
        <v>1354627</v>
      </c>
      <c r="Q50" s="157">
        <v>1137122</v>
      </c>
      <c r="R50" s="158">
        <v>1226940</v>
      </c>
      <c r="S50" s="157">
        <v>58126</v>
      </c>
      <c r="T50" s="158">
        <v>29105</v>
      </c>
      <c r="U50" s="157">
        <v>130686</v>
      </c>
      <c r="V50" s="158">
        <v>-98582</v>
      </c>
      <c r="W50" s="157">
        <v>0</v>
      </c>
      <c r="X50" s="158">
        <v>386381.59</v>
      </c>
      <c r="Y50" s="157">
        <v>0</v>
      </c>
      <c r="Z50" s="158">
        <v>0</v>
      </c>
      <c r="AA50" s="157">
        <v>2461304.77</v>
      </c>
      <c r="AB50" s="158">
        <v>5619149.7599999998</v>
      </c>
      <c r="AC50" s="157">
        <v>0</v>
      </c>
      <c r="AD50" s="158">
        <v>0</v>
      </c>
      <c r="AE50" s="154">
        <v>0</v>
      </c>
      <c r="AF50" s="156">
        <v>1.4246621280805732E-2</v>
      </c>
      <c r="AG50" s="154">
        <v>0</v>
      </c>
      <c r="AH50" s="156">
        <v>0</v>
      </c>
    </row>
    <row r="51" spans="1:34" x14ac:dyDescent="0.2">
      <c r="A51" s="152">
        <v>5410</v>
      </c>
      <c r="B51" s="153" t="s">
        <v>86</v>
      </c>
      <c r="C51" s="157">
        <v>0</v>
      </c>
      <c r="D51" s="158">
        <v>0</v>
      </c>
      <c r="E51" s="157">
        <v>583874</v>
      </c>
      <c r="F51" s="158">
        <v>1042551</v>
      </c>
      <c r="G51" s="157">
        <v>550409</v>
      </c>
      <c r="H51" s="158">
        <v>1063929</v>
      </c>
      <c r="I51" s="157">
        <v>0</v>
      </c>
      <c r="J51" s="158">
        <v>0</v>
      </c>
      <c r="K51" s="157">
        <v>-33465</v>
      </c>
      <c r="L51" s="158">
        <v>21378</v>
      </c>
      <c r="M51" s="157">
        <v>0</v>
      </c>
      <c r="N51" s="158">
        <v>0</v>
      </c>
      <c r="O51" s="157">
        <v>172293</v>
      </c>
      <c r="P51" s="158">
        <v>264873</v>
      </c>
      <c r="Q51" s="157">
        <v>226153</v>
      </c>
      <c r="R51" s="158">
        <v>218151</v>
      </c>
      <c r="S51" s="157">
        <v>-9099</v>
      </c>
      <c r="T51" s="158">
        <v>26620</v>
      </c>
      <c r="U51" s="157">
        <v>44761</v>
      </c>
      <c r="V51" s="158">
        <v>-20102</v>
      </c>
      <c r="W51" s="157">
        <v>8708.9799999999959</v>
      </c>
      <c r="X51" s="158">
        <v>6813.5299999999988</v>
      </c>
      <c r="Y51" s="157">
        <v>0</v>
      </c>
      <c r="Z51" s="158">
        <v>0</v>
      </c>
      <c r="AA51" s="157">
        <v>95832</v>
      </c>
      <c r="AB51" s="158">
        <v>1122368.3299999998</v>
      </c>
      <c r="AC51" s="157">
        <v>0</v>
      </c>
      <c r="AD51" s="158">
        <v>0</v>
      </c>
      <c r="AE51" s="154">
        <v>6.9162032823650275E-4</v>
      </c>
      <c r="AF51" s="156">
        <v>7.6342577502753225E-4</v>
      </c>
      <c r="AG51" s="154">
        <v>0</v>
      </c>
      <c r="AH51" s="156">
        <v>0</v>
      </c>
    </row>
    <row r="52" spans="1:34" x14ac:dyDescent="0.2">
      <c r="A52" s="152">
        <v>5501</v>
      </c>
      <c r="B52" s="153" t="s">
        <v>88</v>
      </c>
      <c r="C52" s="157">
        <v>0</v>
      </c>
      <c r="D52" s="158">
        <v>0</v>
      </c>
      <c r="E52" s="157">
        <v>0</v>
      </c>
      <c r="F52" s="158">
        <v>0</v>
      </c>
      <c r="G52" s="157">
        <v>0</v>
      </c>
      <c r="H52" s="158">
        <v>0</v>
      </c>
      <c r="I52" s="157">
        <v>0</v>
      </c>
      <c r="J52" s="158">
        <v>0</v>
      </c>
      <c r="K52" s="157">
        <v>0</v>
      </c>
      <c r="L52" s="158">
        <v>0</v>
      </c>
      <c r="M52" s="157">
        <v>0</v>
      </c>
      <c r="N52" s="158">
        <v>7233</v>
      </c>
      <c r="O52" s="157">
        <v>2579910</v>
      </c>
      <c r="P52" s="158">
        <v>2499342</v>
      </c>
      <c r="Q52" s="157">
        <v>1224835</v>
      </c>
      <c r="R52" s="158">
        <v>3337526</v>
      </c>
      <c r="S52" s="157">
        <v>1148319</v>
      </c>
      <c r="T52" s="158">
        <v>-695532</v>
      </c>
      <c r="U52" s="157">
        <v>-206756</v>
      </c>
      <c r="V52" s="158">
        <v>149885</v>
      </c>
      <c r="W52" s="157">
        <v>101242.7799999998</v>
      </c>
      <c r="X52" s="158">
        <v>206680.39000000013</v>
      </c>
      <c r="Y52" s="157">
        <v>0</v>
      </c>
      <c r="Z52" s="158">
        <v>0</v>
      </c>
      <c r="AA52" s="157">
        <v>137003.46000000017</v>
      </c>
      <c r="AB52" s="158">
        <v>291078.5</v>
      </c>
      <c r="AC52" s="157">
        <v>0</v>
      </c>
      <c r="AD52" s="158">
        <v>0</v>
      </c>
      <c r="AE52" s="154">
        <v>7.3355318071054304E-3</v>
      </c>
      <c r="AF52" s="156">
        <v>1.1804806285710507E-2</v>
      </c>
      <c r="AG52" s="154">
        <v>0</v>
      </c>
      <c r="AH52" s="156">
        <v>0</v>
      </c>
    </row>
    <row r="53" spans="1:34" x14ac:dyDescent="0.2">
      <c r="A53" s="152">
        <v>5502</v>
      </c>
      <c r="B53" s="153" t="s">
        <v>89</v>
      </c>
      <c r="C53" s="157">
        <v>0</v>
      </c>
      <c r="D53" s="158">
        <v>0</v>
      </c>
      <c r="E53" s="157">
        <v>0</v>
      </c>
      <c r="F53" s="158">
        <v>0</v>
      </c>
      <c r="G53" s="157">
        <v>0</v>
      </c>
      <c r="H53" s="158">
        <v>0</v>
      </c>
      <c r="I53" s="157">
        <v>0</v>
      </c>
      <c r="J53" s="158">
        <v>0</v>
      </c>
      <c r="K53" s="157">
        <v>0</v>
      </c>
      <c r="L53" s="158">
        <v>0</v>
      </c>
      <c r="M53" s="157">
        <v>0</v>
      </c>
      <c r="N53" s="158">
        <v>0</v>
      </c>
      <c r="O53" s="157">
        <v>167723</v>
      </c>
      <c r="P53" s="158">
        <v>202638</v>
      </c>
      <c r="Q53" s="157">
        <v>194226</v>
      </c>
      <c r="R53" s="158">
        <v>171180</v>
      </c>
      <c r="S53" s="157">
        <v>-18600</v>
      </c>
      <c r="T53" s="158">
        <v>16895</v>
      </c>
      <c r="U53" s="157">
        <v>7903</v>
      </c>
      <c r="V53" s="158">
        <v>-14563</v>
      </c>
      <c r="W53" s="157">
        <v>1494</v>
      </c>
      <c r="X53" s="158">
        <v>2395</v>
      </c>
      <c r="Y53" s="157">
        <v>0</v>
      </c>
      <c r="Z53" s="158">
        <v>0</v>
      </c>
      <c r="AA53" s="157">
        <v>0</v>
      </c>
      <c r="AB53" s="158">
        <v>0</v>
      </c>
      <c r="AC53" s="157">
        <v>0</v>
      </c>
      <c r="AD53" s="158">
        <v>0</v>
      </c>
      <c r="AE53" s="154">
        <v>3.1384807358413871E-4</v>
      </c>
      <c r="AF53" s="156">
        <v>3.7927994454753009E-4</v>
      </c>
      <c r="AG53" s="154">
        <v>0</v>
      </c>
      <c r="AH53" s="156">
        <v>0</v>
      </c>
    </row>
    <row r="54" spans="1:34" x14ac:dyDescent="0.2">
      <c r="A54" s="152">
        <v>5503</v>
      </c>
      <c r="B54" s="153" t="s">
        <v>90</v>
      </c>
      <c r="C54" s="157">
        <v>0</v>
      </c>
      <c r="D54" s="158">
        <v>0</v>
      </c>
      <c r="E54" s="157">
        <v>0</v>
      </c>
      <c r="F54" s="158">
        <v>26820</v>
      </c>
      <c r="G54" s="157">
        <v>0</v>
      </c>
      <c r="H54" s="158">
        <v>1151587</v>
      </c>
      <c r="I54" s="157">
        <v>0</v>
      </c>
      <c r="J54" s="158">
        <v>0</v>
      </c>
      <c r="K54" s="157">
        <v>0</v>
      </c>
      <c r="L54" s="158">
        <v>1124767</v>
      </c>
      <c r="M54" s="157">
        <v>0</v>
      </c>
      <c r="N54" s="158">
        <v>0</v>
      </c>
      <c r="O54" s="157">
        <v>738775</v>
      </c>
      <c r="P54" s="158">
        <v>667375</v>
      </c>
      <c r="Q54" s="157">
        <v>855314</v>
      </c>
      <c r="R54" s="158">
        <v>620169</v>
      </c>
      <c r="S54" s="157">
        <v>0</v>
      </c>
      <c r="T54" s="158">
        <v>0</v>
      </c>
      <c r="U54" s="157">
        <v>116539</v>
      </c>
      <c r="V54" s="158">
        <v>-47206</v>
      </c>
      <c r="W54" s="157">
        <v>16631.849999999977</v>
      </c>
      <c r="X54" s="158">
        <v>37020.780000000006</v>
      </c>
      <c r="Y54" s="157">
        <v>0</v>
      </c>
      <c r="Z54" s="158">
        <v>0</v>
      </c>
      <c r="AA54" s="157">
        <v>12652</v>
      </c>
      <c r="AB54" s="158">
        <v>2413752.3600000003</v>
      </c>
      <c r="AC54" s="157">
        <v>0</v>
      </c>
      <c r="AD54" s="158">
        <v>0</v>
      </c>
      <c r="AE54" s="154">
        <v>1.4123637460483882E-3</v>
      </c>
      <c r="AF54" s="156">
        <v>2.5896600174011419E-3</v>
      </c>
      <c r="AG54" s="154">
        <v>0</v>
      </c>
      <c r="AH54" s="156">
        <v>0</v>
      </c>
    </row>
    <row r="55" spans="1:34" x14ac:dyDescent="0.2">
      <c r="A55" s="152">
        <v>5504</v>
      </c>
      <c r="B55" s="153" t="s">
        <v>87</v>
      </c>
      <c r="C55" s="157">
        <v>0</v>
      </c>
      <c r="D55" s="158">
        <v>0</v>
      </c>
      <c r="E55" s="157">
        <v>0</v>
      </c>
      <c r="F55" s="158">
        <v>0</v>
      </c>
      <c r="G55" s="157">
        <v>0</v>
      </c>
      <c r="H55" s="158">
        <v>0</v>
      </c>
      <c r="I55" s="157">
        <v>0</v>
      </c>
      <c r="J55" s="158">
        <v>0</v>
      </c>
      <c r="K55" s="157">
        <v>0</v>
      </c>
      <c r="L55" s="158">
        <v>0</v>
      </c>
      <c r="M55" s="157">
        <v>24225</v>
      </c>
      <c r="N55" s="158">
        <v>81468</v>
      </c>
      <c r="O55" s="157">
        <v>29543914</v>
      </c>
      <c r="P55" s="158">
        <v>3706119</v>
      </c>
      <c r="Q55" s="157">
        <v>18113187</v>
      </c>
      <c r="R55" s="158">
        <v>17012753</v>
      </c>
      <c r="S55" s="157">
        <v>13819057</v>
      </c>
      <c r="T55" s="158">
        <v>-15675197</v>
      </c>
      <c r="U55" s="157">
        <v>2412555</v>
      </c>
      <c r="V55" s="158">
        <v>-2287095</v>
      </c>
      <c r="W55" s="157">
        <v>2148641.2699999996</v>
      </c>
      <c r="X55" s="158">
        <v>2141147.2999999998</v>
      </c>
      <c r="Y55" s="157">
        <v>1466441.64</v>
      </c>
      <c r="Z55" s="158">
        <v>1466441.64</v>
      </c>
      <c r="AA55" s="157">
        <v>2477701.6899999981</v>
      </c>
      <c r="AB55" s="158">
        <v>4247894.8499999996</v>
      </c>
      <c r="AC55" s="157">
        <v>0</v>
      </c>
      <c r="AD55" s="158">
        <v>0</v>
      </c>
      <c r="AE55" s="154">
        <v>2.537815206545618E-2</v>
      </c>
      <c r="AF55" s="156">
        <v>2.0463939595141398E-2</v>
      </c>
      <c r="AG55" s="154">
        <v>0</v>
      </c>
      <c r="AH55" s="156">
        <v>0</v>
      </c>
    </row>
    <row r="56" spans="1:34" x14ac:dyDescent="0.2">
      <c r="A56" s="152">
        <v>5505</v>
      </c>
      <c r="B56" s="153" t="s">
        <v>91</v>
      </c>
      <c r="C56" s="157">
        <v>0</v>
      </c>
      <c r="D56" s="158">
        <v>0</v>
      </c>
      <c r="E56" s="157">
        <v>0</v>
      </c>
      <c r="F56" s="158">
        <v>0</v>
      </c>
      <c r="G56" s="157">
        <v>0</v>
      </c>
      <c r="H56" s="158">
        <v>794476</v>
      </c>
      <c r="I56" s="157">
        <v>0</v>
      </c>
      <c r="J56" s="158">
        <v>0</v>
      </c>
      <c r="K56" s="157">
        <v>0</v>
      </c>
      <c r="L56" s="158">
        <v>794476</v>
      </c>
      <c r="M56" s="157">
        <v>0</v>
      </c>
      <c r="N56" s="158">
        <v>0</v>
      </c>
      <c r="O56" s="157">
        <v>234426</v>
      </c>
      <c r="P56" s="158">
        <v>385567</v>
      </c>
      <c r="Q56" s="157">
        <v>251236</v>
      </c>
      <c r="R56" s="158">
        <v>356718</v>
      </c>
      <c r="S56" s="157">
        <v>13068</v>
      </c>
      <c r="T56" s="158">
        <v>17757</v>
      </c>
      <c r="U56" s="157">
        <v>29878</v>
      </c>
      <c r="V56" s="158">
        <v>-11092</v>
      </c>
      <c r="W56" s="157">
        <v>5249.8399999999965</v>
      </c>
      <c r="X56" s="158">
        <v>6083.3899999999994</v>
      </c>
      <c r="Y56" s="157">
        <v>0</v>
      </c>
      <c r="Z56" s="158">
        <v>0</v>
      </c>
      <c r="AA56" s="157">
        <v>2000</v>
      </c>
      <c r="AB56" s="158">
        <v>1835874.52</v>
      </c>
      <c r="AC56" s="157">
        <v>0</v>
      </c>
      <c r="AD56" s="158">
        <v>0</v>
      </c>
      <c r="AE56" s="154">
        <v>1.031031052655869E-3</v>
      </c>
      <c r="AF56" s="156">
        <v>1.1912194951926418E-3</v>
      </c>
      <c r="AG56" s="154">
        <v>0</v>
      </c>
      <c r="AH56" s="156">
        <v>0</v>
      </c>
    </row>
    <row r="57" spans="1:34" x14ac:dyDescent="0.2">
      <c r="A57" s="152">
        <v>5506</v>
      </c>
      <c r="B57" s="153" t="s">
        <v>92</v>
      </c>
      <c r="C57" s="157">
        <v>0</v>
      </c>
      <c r="D57" s="158">
        <v>0</v>
      </c>
      <c r="E57" s="157">
        <v>528205</v>
      </c>
      <c r="F57" s="158">
        <v>3200812</v>
      </c>
      <c r="G57" s="157">
        <v>2434212</v>
      </c>
      <c r="H57" s="158">
        <v>1454656</v>
      </c>
      <c r="I57" s="157">
        <v>-159852</v>
      </c>
      <c r="J57" s="158">
        <v>0</v>
      </c>
      <c r="K57" s="157">
        <v>1746155</v>
      </c>
      <c r="L57" s="158">
        <v>-1746156</v>
      </c>
      <c r="M57" s="157">
        <v>0</v>
      </c>
      <c r="N57" s="158">
        <v>0</v>
      </c>
      <c r="O57" s="157">
        <v>400740</v>
      </c>
      <c r="P57" s="158">
        <v>1078065</v>
      </c>
      <c r="Q57" s="157">
        <v>468183</v>
      </c>
      <c r="R57" s="158">
        <v>1274119</v>
      </c>
      <c r="S57" s="157">
        <v>11919</v>
      </c>
      <c r="T57" s="158">
        <v>277205</v>
      </c>
      <c r="U57" s="157">
        <v>79362</v>
      </c>
      <c r="V57" s="158">
        <v>473259</v>
      </c>
      <c r="W57" s="157">
        <v>13100</v>
      </c>
      <c r="X57" s="158">
        <v>380140.59999999986</v>
      </c>
      <c r="Y57" s="157">
        <v>0</v>
      </c>
      <c r="Z57" s="158">
        <v>0</v>
      </c>
      <c r="AA57" s="157">
        <v>9502028.9299999997</v>
      </c>
      <c r="AB57" s="158">
        <v>3441758.55</v>
      </c>
      <c r="AC57" s="157">
        <v>0</v>
      </c>
      <c r="AD57" s="158">
        <v>0</v>
      </c>
      <c r="AE57" s="154">
        <v>1.0475965496168115E-3</v>
      </c>
      <c r="AF57" s="156">
        <v>2.1462204216948919E-2</v>
      </c>
      <c r="AG57" s="154">
        <v>0</v>
      </c>
      <c r="AH57" s="156">
        <v>0</v>
      </c>
    </row>
    <row r="58" spans="1:34" x14ac:dyDescent="0.2">
      <c r="A58" s="152">
        <v>5507</v>
      </c>
      <c r="B58" s="153" t="s">
        <v>93</v>
      </c>
      <c r="C58" s="157">
        <v>0</v>
      </c>
      <c r="D58" s="158">
        <v>0</v>
      </c>
      <c r="E58" s="157">
        <v>0</v>
      </c>
      <c r="F58" s="158">
        <v>0</v>
      </c>
      <c r="G58" s="157">
        <v>0</v>
      </c>
      <c r="H58" s="158">
        <v>0</v>
      </c>
      <c r="I58" s="157">
        <v>0</v>
      </c>
      <c r="J58" s="158">
        <v>0</v>
      </c>
      <c r="K58" s="157">
        <v>0</v>
      </c>
      <c r="L58" s="158">
        <v>0</v>
      </c>
      <c r="M58" s="157">
        <v>0</v>
      </c>
      <c r="N58" s="158">
        <v>0</v>
      </c>
      <c r="O58" s="157">
        <v>521931</v>
      </c>
      <c r="P58" s="158">
        <v>169458</v>
      </c>
      <c r="Q58" s="157">
        <v>496096</v>
      </c>
      <c r="R58" s="158">
        <v>906216</v>
      </c>
      <c r="S58" s="157">
        <v>30119</v>
      </c>
      <c r="T58" s="158">
        <v>30056</v>
      </c>
      <c r="U58" s="157">
        <v>4284</v>
      </c>
      <c r="V58" s="158">
        <v>766814</v>
      </c>
      <c r="W58" s="157">
        <v>0.01</v>
      </c>
      <c r="X58" s="158">
        <v>4761.0500000000011</v>
      </c>
      <c r="Y58" s="157">
        <v>0</v>
      </c>
      <c r="Z58" s="158">
        <v>0</v>
      </c>
      <c r="AA58" s="157">
        <v>32702.850000000002</v>
      </c>
      <c r="AB58" s="158">
        <v>3162107.4699999997</v>
      </c>
      <c r="AC58" s="157">
        <v>0</v>
      </c>
      <c r="AD58" s="158">
        <v>0</v>
      </c>
      <c r="AE58" s="154">
        <v>1.1038965339856626E-9</v>
      </c>
      <c r="AF58" s="156">
        <v>4.5728660446699306E-4</v>
      </c>
      <c r="AG58" s="154">
        <v>0</v>
      </c>
      <c r="AH58" s="156">
        <v>0</v>
      </c>
    </row>
    <row r="59" spans="1:34" x14ac:dyDescent="0.2">
      <c r="A59" s="152">
        <v>5508</v>
      </c>
      <c r="B59" s="153" t="s">
        <v>94</v>
      </c>
      <c r="C59" s="157">
        <v>0</v>
      </c>
      <c r="D59" s="158">
        <v>0</v>
      </c>
      <c r="E59" s="157">
        <v>0</v>
      </c>
      <c r="F59" s="158">
        <v>711213</v>
      </c>
      <c r="G59" s="157">
        <v>0</v>
      </c>
      <c r="H59" s="158">
        <v>690063</v>
      </c>
      <c r="I59" s="157">
        <v>0</v>
      </c>
      <c r="J59" s="158">
        <v>-483</v>
      </c>
      <c r="K59" s="157">
        <v>0</v>
      </c>
      <c r="L59" s="158">
        <v>-21633</v>
      </c>
      <c r="M59" s="157">
        <v>0</v>
      </c>
      <c r="N59" s="158">
        <v>0</v>
      </c>
      <c r="O59" s="157">
        <v>293576</v>
      </c>
      <c r="P59" s="158">
        <v>402830</v>
      </c>
      <c r="Q59" s="157">
        <v>393352</v>
      </c>
      <c r="R59" s="158">
        <v>339993</v>
      </c>
      <c r="S59" s="157">
        <v>30000</v>
      </c>
      <c r="T59" s="158">
        <v>-75629</v>
      </c>
      <c r="U59" s="157">
        <v>129776</v>
      </c>
      <c r="V59" s="158">
        <v>-138466</v>
      </c>
      <c r="W59" s="157">
        <v>697571.2</v>
      </c>
      <c r="X59" s="158">
        <v>14920.040000000008</v>
      </c>
      <c r="Y59" s="157">
        <v>0</v>
      </c>
      <c r="Z59" s="158">
        <v>0</v>
      </c>
      <c r="AA59" s="157">
        <v>164543</v>
      </c>
      <c r="AB59" s="158">
        <v>250527.30000000002</v>
      </c>
      <c r="AC59" s="157">
        <v>0</v>
      </c>
      <c r="AD59" s="158">
        <v>0</v>
      </c>
      <c r="AE59" s="154">
        <v>0.16302323363951307</v>
      </c>
      <c r="AF59" s="156">
        <v>3.3162984518351193E-3</v>
      </c>
      <c r="AG59" s="154">
        <v>0</v>
      </c>
      <c r="AH59" s="156">
        <v>0</v>
      </c>
    </row>
    <row r="60" spans="1:34" x14ac:dyDescent="0.2">
      <c r="A60" s="152">
        <v>5509</v>
      </c>
      <c r="B60" s="153" t="s">
        <v>95</v>
      </c>
      <c r="C60" s="157">
        <v>0</v>
      </c>
      <c r="D60" s="158">
        <v>0</v>
      </c>
      <c r="E60" s="157">
        <v>0</v>
      </c>
      <c r="F60" s="158">
        <v>13106</v>
      </c>
      <c r="G60" s="157">
        <v>0</v>
      </c>
      <c r="H60" s="158">
        <v>13244</v>
      </c>
      <c r="I60" s="157">
        <v>0</v>
      </c>
      <c r="J60" s="158">
        <v>0</v>
      </c>
      <c r="K60" s="157">
        <v>0</v>
      </c>
      <c r="L60" s="158">
        <v>138</v>
      </c>
      <c r="M60" s="157">
        <v>0</v>
      </c>
      <c r="N60" s="158">
        <v>0</v>
      </c>
      <c r="O60" s="157">
        <v>239386</v>
      </c>
      <c r="P60" s="158">
        <v>109781</v>
      </c>
      <c r="Q60" s="157">
        <v>256795</v>
      </c>
      <c r="R60" s="158">
        <v>90114</v>
      </c>
      <c r="S60" s="157">
        <v>26287</v>
      </c>
      <c r="T60" s="158">
        <v>17870</v>
      </c>
      <c r="U60" s="157">
        <v>43696</v>
      </c>
      <c r="V60" s="158">
        <v>-1797</v>
      </c>
      <c r="W60" s="157">
        <v>5693.4999999999945</v>
      </c>
      <c r="X60" s="158">
        <v>6931.7199999999957</v>
      </c>
      <c r="Y60" s="157">
        <v>0</v>
      </c>
      <c r="Z60" s="158">
        <v>0</v>
      </c>
      <c r="AA60" s="157">
        <v>1157106.52</v>
      </c>
      <c r="AB60" s="158">
        <v>590382.05000000005</v>
      </c>
      <c r="AC60" s="157">
        <v>0</v>
      </c>
      <c r="AD60" s="158">
        <v>0</v>
      </c>
      <c r="AE60" s="154">
        <v>8.1847436149008691E-4</v>
      </c>
      <c r="AF60" s="156">
        <v>8.5457244933044845E-4</v>
      </c>
      <c r="AG60" s="154">
        <v>0</v>
      </c>
      <c r="AH60" s="156">
        <v>0</v>
      </c>
    </row>
    <row r="61" spans="1:34" x14ac:dyDescent="0.2">
      <c r="A61" s="152">
        <v>5510</v>
      </c>
      <c r="B61" s="153" t="s">
        <v>96</v>
      </c>
      <c r="C61" s="157">
        <v>0</v>
      </c>
      <c r="D61" s="158">
        <v>0</v>
      </c>
      <c r="E61" s="157">
        <v>0</v>
      </c>
      <c r="F61" s="158">
        <v>746139</v>
      </c>
      <c r="G61" s="157">
        <v>-1501</v>
      </c>
      <c r="H61" s="158">
        <v>1162344</v>
      </c>
      <c r="I61" s="157">
        <v>0</v>
      </c>
      <c r="J61" s="158">
        <v>0</v>
      </c>
      <c r="K61" s="157">
        <v>-1501</v>
      </c>
      <c r="L61" s="158">
        <v>416205</v>
      </c>
      <c r="M61" s="157">
        <v>0</v>
      </c>
      <c r="N61" s="158">
        <v>0</v>
      </c>
      <c r="O61" s="157">
        <v>1235408</v>
      </c>
      <c r="P61" s="158">
        <v>1374701</v>
      </c>
      <c r="Q61" s="157">
        <v>1296105</v>
      </c>
      <c r="R61" s="158">
        <v>1417307</v>
      </c>
      <c r="S61" s="157">
        <v>-21616</v>
      </c>
      <c r="T61" s="158">
        <v>-3246</v>
      </c>
      <c r="U61" s="157">
        <v>39081</v>
      </c>
      <c r="V61" s="158">
        <v>39360</v>
      </c>
      <c r="W61" s="157">
        <v>0</v>
      </c>
      <c r="X61" s="158">
        <v>0</v>
      </c>
      <c r="Y61" s="157">
        <v>0</v>
      </c>
      <c r="Z61" s="158">
        <v>0</v>
      </c>
      <c r="AA61" s="157">
        <v>881404.82000000007</v>
      </c>
      <c r="AB61" s="158">
        <v>3581463.71</v>
      </c>
      <c r="AC61" s="157">
        <v>0</v>
      </c>
      <c r="AD61" s="158">
        <v>0</v>
      </c>
      <c r="AE61" s="154">
        <v>0</v>
      </c>
      <c r="AF61" s="156">
        <v>0</v>
      </c>
      <c r="AG61" s="154">
        <v>0</v>
      </c>
      <c r="AH61" s="156">
        <v>0</v>
      </c>
    </row>
    <row r="62" spans="1:34" x14ac:dyDescent="0.2">
      <c r="A62" s="152">
        <v>5511</v>
      </c>
      <c r="B62" s="153" t="s">
        <v>97</v>
      </c>
      <c r="C62" s="157">
        <v>0</v>
      </c>
      <c r="D62" s="158">
        <v>0</v>
      </c>
      <c r="E62" s="157">
        <v>14000</v>
      </c>
      <c r="F62" s="158">
        <v>1469339</v>
      </c>
      <c r="G62" s="157">
        <v>0</v>
      </c>
      <c r="H62" s="158">
        <v>1469339</v>
      </c>
      <c r="I62" s="157">
        <v>14000</v>
      </c>
      <c r="J62" s="158">
        <v>0</v>
      </c>
      <c r="K62" s="157">
        <v>0</v>
      </c>
      <c r="L62" s="158">
        <v>0</v>
      </c>
      <c r="M62" s="157">
        <v>0</v>
      </c>
      <c r="N62" s="158">
        <v>0</v>
      </c>
      <c r="O62" s="157">
        <v>324237</v>
      </c>
      <c r="P62" s="158">
        <v>334436</v>
      </c>
      <c r="Q62" s="157">
        <v>323766</v>
      </c>
      <c r="R62" s="158">
        <v>171482</v>
      </c>
      <c r="S62" s="157">
        <v>46193</v>
      </c>
      <c r="T62" s="158">
        <v>114046</v>
      </c>
      <c r="U62" s="157">
        <v>45722</v>
      </c>
      <c r="V62" s="158">
        <v>-48908</v>
      </c>
      <c r="W62" s="157">
        <v>392873.5</v>
      </c>
      <c r="X62" s="158">
        <v>18447.660000000003</v>
      </c>
      <c r="Y62" s="157">
        <v>0</v>
      </c>
      <c r="Z62" s="158">
        <v>0</v>
      </c>
      <c r="AA62" s="157">
        <v>153077.18</v>
      </c>
      <c r="AB62" s="158">
        <v>153077.18</v>
      </c>
      <c r="AC62" s="157">
        <v>134536</v>
      </c>
      <c r="AD62" s="158">
        <v>0</v>
      </c>
      <c r="AE62" s="154">
        <v>7.1842786627526259E-2</v>
      </c>
      <c r="AF62" s="156">
        <v>2.5783952548155023E-3</v>
      </c>
      <c r="AG62" s="154">
        <v>2.460191675366466E-2</v>
      </c>
      <c r="AH62" s="156">
        <v>0</v>
      </c>
    </row>
    <row r="63" spans="1:34" x14ac:dyDescent="0.2">
      <c r="A63" s="152">
        <v>5601</v>
      </c>
      <c r="B63" s="153" t="s">
        <v>99</v>
      </c>
      <c r="C63" s="157">
        <v>0</v>
      </c>
      <c r="D63" s="158">
        <v>0</v>
      </c>
      <c r="E63" s="157">
        <v>863598</v>
      </c>
      <c r="F63" s="158">
        <v>1078470</v>
      </c>
      <c r="G63" s="157">
        <v>783595</v>
      </c>
      <c r="H63" s="158">
        <v>1198293</v>
      </c>
      <c r="I63" s="157">
        <v>52568</v>
      </c>
      <c r="J63" s="158">
        <v>-52568</v>
      </c>
      <c r="K63" s="157">
        <v>-27435</v>
      </c>
      <c r="L63" s="158">
        <v>67255</v>
      </c>
      <c r="M63" s="157">
        <v>202</v>
      </c>
      <c r="N63" s="158">
        <v>0</v>
      </c>
      <c r="O63" s="157">
        <v>1239165</v>
      </c>
      <c r="P63" s="158">
        <v>1051878</v>
      </c>
      <c r="Q63" s="157">
        <v>1599000</v>
      </c>
      <c r="R63" s="158">
        <v>895440</v>
      </c>
      <c r="S63" s="157">
        <v>-59321</v>
      </c>
      <c r="T63" s="158">
        <v>46047</v>
      </c>
      <c r="U63" s="157">
        <v>300716</v>
      </c>
      <c r="V63" s="158">
        <v>-110391</v>
      </c>
      <c r="W63" s="157">
        <v>34837.169999999925</v>
      </c>
      <c r="X63" s="158">
        <v>45036.319999999861</v>
      </c>
      <c r="Y63" s="157">
        <v>0</v>
      </c>
      <c r="Z63" s="158">
        <v>0</v>
      </c>
      <c r="AA63" s="157">
        <v>2542357.14</v>
      </c>
      <c r="AB63" s="158">
        <v>1122189.8499999999</v>
      </c>
      <c r="AC63" s="157">
        <v>0</v>
      </c>
      <c r="AD63" s="158">
        <v>0</v>
      </c>
      <c r="AE63" s="154">
        <v>2.5563216093278337E-3</v>
      </c>
      <c r="AF63" s="156">
        <v>3.5159142861849158E-3</v>
      </c>
      <c r="AG63" s="154">
        <v>0</v>
      </c>
      <c r="AH63" s="156">
        <v>0</v>
      </c>
    </row>
    <row r="64" spans="1:34" x14ac:dyDescent="0.2">
      <c r="A64" s="152">
        <v>5602</v>
      </c>
      <c r="B64" s="153" t="s">
        <v>100</v>
      </c>
      <c r="C64" s="157">
        <v>3286</v>
      </c>
      <c r="D64" s="158">
        <v>3170</v>
      </c>
      <c r="E64" s="157">
        <v>320226</v>
      </c>
      <c r="F64" s="158">
        <v>1578419</v>
      </c>
      <c r="G64" s="157">
        <v>415302</v>
      </c>
      <c r="H64" s="158">
        <v>1951873</v>
      </c>
      <c r="I64" s="157">
        <v>0</v>
      </c>
      <c r="J64" s="158">
        <v>0</v>
      </c>
      <c r="K64" s="157">
        <v>98362</v>
      </c>
      <c r="L64" s="158">
        <v>376624</v>
      </c>
      <c r="M64" s="157">
        <v>84300</v>
      </c>
      <c r="N64" s="158">
        <v>18165</v>
      </c>
      <c r="O64" s="157">
        <v>2926423</v>
      </c>
      <c r="P64" s="158">
        <v>3490946</v>
      </c>
      <c r="Q64" s="157">
        <v>3042845</v>
      </c>
      <c r="R64" s="158">
        <v>3775466</v>
      </c>
      <c r="S64" s="157">
        <v>-32642</v>
      </c>
      <c r="T64" s="158">
        <v>-84263</v>
      </c>
      <c r="U64" s="157">
        <v>168080</v>
      </c>
      <c r="V64" s="158">
        <v>218422</v>
      </c>
      <c r="W64" s="157">
        <v>384286.72000000015</v>
      </c>
      <c r="X64" s="158">
        <v>1193908.4900000005</v>
      </c>
      <c r="Y64" s="157">
        <v>0</v>
      </c>
      <c r="Z64" s="158">
        <v>0</v>
      </c>
      <c r="AA64" s="157">
        <v>1657019.3800000004</v>
      </c>
      <c r="AB64" s="158">
        <v>9930167.6099999994</v>
      </c>
      <c r="AC64" s="157">
        <v>0</v>
      </c>
      <c r="AD64" s="158">
        <v>0</v>
      </c>
      <c r="AE64" s="154">
        <v>7.2225027207016021E-3</v>
      </c>
      <c r="AF64" s="156">
        <v>2.0823326571396083E-2</v>
      </c>
      <c r="AG64" s="154">
        <v>0</v>
      </c>
      <c r="AH64" s="156">
        <v>0</v>
      </c>
    </row>
    <row r="65" spans="1:34" x14ac:dyDescent="0.2">
      <c r="A65" s="152">
        <v>5603</v>
      </c>
      <c r="B65" s="153" t="s">
        <v>98</v>
      </c>
      <c r="C65" s="157">
        <v>0</v>
      </c>
      <c r="D65" s="158">
        <v>0</v>
      </c>
      <c r="E65" s="157">
        <v>0</v>
      </c>
      <c r="F65" s="158">
        <v>0</v>
      </c>
      <c r="G65" s="157">
        <v>0</v>
      </c>
      <c r="H65" s="158">
        <v>0</v>
      </c>
      <c r="I65" s="157">
        <v>0</v>
      </c>
      <c r="J65" s="158">
        <v>0</v>
      </c>
      <c r="K65" s="157">
        <v>0</v>
      </c>
      <c r="L65" s="158">
        <v>0</v>
      </c>
      <c r="M65" s="157">
        <v>-31618</v>
      </c>
      <c r="N65" s="158">
        <v>-90688</v>
      </c>
      <c r="O65" s="157">
        <v>8957107</v>
      </c>
      <c r="P65" s="158">
        <v>7480423</v>
      </c>
      <c r="Q65" s="157">
        <v>11940143</v>
      </c>
      <c r="R65" s="158">
        <v>12581273</v>
      </c>
      <c r="S65" s="157">
        <v>-5075132</v>
      </c>
      <c r="T65" s="158">
        <v>-3764298</v>
      </c>
      <c r="U65" s="157">
        <v>-2123714</v>
      </c>
      <c r="V65" s="158">
        <v>1245864</v>
      </c>
      <c r="W65" s="157">
        <v>41450.419999999925</v>
      </c>
      <c r="X65" s="158">
        <v>136271.45999999996</v>
      </c>
      <c r="Y65" s="157">
        <v>3361704.59</v>
      </c>
      <c r="Z65" s="158">
        <v>3139179.69</v>
      </c>
      <c r="AA65" s="157">
        <v>2500419.2699999996</v>
      </c>
      <c r="AB65" s="158">
        <v>17576708.200000003</v>
      </c>
      <c r="AC65" s="157">
        <v>25283</v>
      </c>
      <c r="AD65" s="158">
        <v>28798</v>
      </c>
      <c r="AE65" s="154">
        <v>3.3576962985965356E-4</v>
      </c>
      <c r="AF65" s="156">
        <v>8.9864797694099384E-4</v>
      </c>
      <c r="AG65" s="154">
        <v>2.0480524809499243E-4</v>
      </c>
      <c r="AH65" s="156">
        <v>1.8990964388248828E-4</v>
      </c>
    </row>
    <row r="66" spans="1:34" x14ac:dyDescent="0.2">
      <c r="A66" s="152">
        <v>5605</v>
      </c>
      <c r="B66" s="153" t="s">
        <v>101</v>
      </c>
      <c r="C66" s="157">
        <v>-7</v>
      </c>
      <c r="D66" s="158">
        <v>0</v>
      </c>
      <c r="E66" s="157">
        <v>60084</v>
      </c>
      <c r="F66" s="158">
        <v>0</v>
      </c>
      <c r="G66" s="157">
        <v>109530</v>
      </c>
      <c r="H66" s="158">
        <v>8205</v>
      </c>
      <c r="I66" s="157">
        <v>-49449</v>
      </c>
      <c r="J66" s="158">
        <v>-8205</v>
      </c>
      <c r="K66" s="157">
        <v>-10</v>
      </c>
      <c r="L66" s="158">
        <v>0</v>
      </c>
      <c r="M66" s="157">
        <v>-25</v>
      </c>
      <c r="N66" s="158">
        <v>0</v>
      </c>
      <c r="O66" s="157">
        <v>1411556</v>
      </c>
      <c r="P66" s="158">
        <v>417449</v>
      </c>
      <c r="Q66" s="157">
        <v>634750</v>
      </c>
      <c r="R66" s="158">
        <v>430880</v>
      </c>
      <c r="S66" s="157">
        <v>459089</v>
      </c>
      <c r="T66" s="158">
        <v>-42477</v>
      </c>
      <c r="U66" s="157">
        <v>-317742</v>
      </c>
      <c r="V66" s="158">
        <v>-29046</v>
      </c>
      <c r="W66" s="157">
        <v>3.637978807091713E-12</v>
      </c>
      <c r="X66" s="158">
        <v>0</v>
      </c>
      <c r="Y66" s="157">
        <v>0</v>
      </c>
      <c r="Z66" s="158">
        <v>0</v>
      </c>
      <c r="AA66" s="157">
        <v>398843.48</v>
      </c>
      <c r="AB66" s="158">
        <v>198512.12000000008</v>
      </c>
      <c r="AC66" s="157">
        <v>0</v>
      </c>
      <c r="AD66" s="158">
        <v>0</v>
      </c>
      <c r="AE66" s="154">
        <v>8.105800625580088E-20</v>
      </c>
      <c r="AF66" s="156">
        <v>0</v>
      </c>
      <c r="AG66" s="154">
        <v>0</v>
      </c>
      <c r="AH66" s="156">
        <v>0</v>
      </c>
    </row>
    <row r="67" spans="1:34" x14ac:dyDescent="0.2">
      <c r="A67" s="152">
        <v>5606</v>
      </c>
      <c r="B67" s="153" t="s">
        <v>102</v>
      </c>
      <c r="C67" s="157">
        <v>119019</v>
      </c>
      <c r="D67" s="158">
        <v>26</v>
      </c>
      <c r="E67" s="157">
        <v>723370</v>
      </c>
      <c r="F67" s="158">
        <v>1375708</v>
      </c>
      <c r="G67" s="157">
        <v>952418</v>
      </c>
      <c r="H67" s="158">
        <v>1143883</v>
      </c>
      <c r="I67" s="157">
        <v>0</v>
      </c>
      <c r="J67" s="158">
        <v>0</v>
      </c>
      <c r="K67" s="157">
        <v>348067</v>
      </c>
      <c r="L67" s="158">
        <v>-231799</v>
      </c>
      <c r="M67" s="157">
        <v>34</v>
      </c>
      <c r="N67" s="158">
        <v>31</v>
      </c>
      <c r="O67" s="157">
        <v>1653328</v>
      </c>
      <c r="P67" s="158">
        <v>1590864</v>
      </c>
      <c r="Q67" s="157">
        <v>1791115</v>
      </c>
      <c r="R67" s="158">
        <v>1571585</v>
      </c>
      <c r="S67" s="157">
        <v>0</v>
      </c>
      <c r="T67" s="158">
        <v>0</v>
      </c>
      <c r="U67" s="157">
        <v>137821</v>
      </c>
      <c r="V67" s="158">
        <v>-19248</v>
      </c>
      <c r="W67" s="157">
        <v>393079.49000000011</v>
      </c>
      <c r="X67" s="158">
        <v>1332769.7800000003</v>
      </c>
      <c r="Y67" s="157">
        <v>0</v>
      </c>
      <c r="Z67" s="158">
        <v>0</v>
      </c>
      <c r="AA67" s="157">
        <v>1618336.0799999998</v>
      </c>
      <c r="AB67" s="158">
        <v>915053.86999999965</v>
      </c>
      <c r="AC67" s="157">
        <v>0</v>
      </c>
      <c r="AD67" s="158">
        <v>0</v>
      </c>
      <c r="AE67" s="154">
        <v>1.9043724075129696E-2</v>
      </c>
      <c r="AF67" s="156">
        <v>7.6088827956564464E-2</v>
      </c>
      <c r="AG67" s="154">
        <v>0</v>
      </c>
      <c r="AH67" s="156">
        <v>0</v>
      </c>
    </row>
    <row r="68" spans="1:34" x14ac:dyDescent="0.2">
      <c r="A68" s="152">
        <v>5607</v>
      </c>
      <c r="B68" s="153" t="s">
        <v>103</v>
      </c>
      <c r="C68" s="157">
        <v>0</v>
      </c>
      <c r="D68" s="158">
        <v>0</v>
      </c>
      <c r="E68" s="157">
        <v>39713</v>
      </c>
      <c r="F68" s="158">
        <v>3217619</v>
      </c>
      <c r="G68" s="157">
        <v>33794</v>
      </c>
      <c r="H68" s="158">
        <v>3221248</v>
      </c>
      <c r="I68" s="157">
        <v>5919</v>
      </c>
      <c r="J68" s="158">
        <v>-3629</v>
      </c>
      <c r="K68" s="157">
        <v>0</v>
      </c>
      <c r="L68" s="158">
        <v>0</v>
      </c>
      <c r="M68" s="157">
        <v>0</v>
      </c>
      <c r="N68" s="158">
        <v>0</v>
      </c>
      <c r="O68" s="157">
        <v>2815691</v>
      </c>
      <c r="P68" s="158">
        <v>2003214</v>
      </c>
      <c r="Q68" s="157">
        <v>2687975</v>
      </c>
      <c r="R68" s="158">
        <v>2125152</v>
      </c>
      <c r="S68" s="157">
        <v>110369</v>
      </c>
      <c r="T68" s="158">
        <v>143647</v>
      </c>
      <c r="U68" s="157">
        <v>-17347</v>
      </c>
      <c r="V68" s="158">
        <v>265585</v>
      </c>
      <c r="W68" s="157">
        <v>9019.0400000000373</v>
      </c>
      <c r="X68" s="158">
        <v>290673.46999999986</v>
      </c>
      <c r="Y68" s="157">
        <v>0</v>
      </c>
      <c r="Z68" s="158">
        <v>0</v>
      </c>
      <c r="AA68" s="157">
        <v>3476303.6900000004</v>
      </c>
      <c r="AB68" s="158">
        <v>3844165.17</v>
      </c>
      <c r="AC68" s="157">
        <v>0</v>
      </c>
      <c r="AD68" s="158">
        <v>0</v>
      </c>
      <c r="AE68" s="154">
        <v>2.5800119105110966E-4</v>
      </c>
      <c r="AF68" s="156">
        <v>6.5839363836298634E-3</v>
      </c>
      <c r="AG68" s="154">
        <v>0</v>
      </c>
      <c r="AH68" s="156">
        <v>0</v>
      </c>
    </row>
    <row r="69" spans="1:34" x14ac:dyDescent="0.2">
      <c r="A69" s="152">
        <v>5608</v>
      </c>
      <c r="B69" s="153" t="s">
        <v>104</v>
      </c>
      <c r="C69" s="157">
        <v>0</v>
      </c>
      <c r="D69" s="158">
        <v>0</v>
      </c>
      <c r="E69" s="157">
        <v>0</v>
      </c>
      <c r="F69" s="158">
        <v>877571</v>
      </c>
      <c r="G69" s="157">
        <v>549500</v>
      </c>
      <c r="H69" s="158">
        <v>332720</v>
      </c>
      <c r="I69" s="157">
        <v>0</v>
      </c>
      <c r="J69" s="158">
        <v>11247</v>
      </c>
      <c r="K69" s="157">
        <v>549500</v>
      </c>
      <c r="L69" s="158">
        <v>-533604</v>
      </c>
      <c r="M69" s="157">
        <v>0</v>
      </c>
      <c r="N69" s="158">
        <v>0</v>
      </c>
      <c r="O69" s="157">
        <v>611704</v>
      </c>
      <c r="P69" s="158">
        <v>1471507</v>
      </c>
      <c r="Q69" s="157">
        <v>747053</v>
      </c>
      <c r="R69" s="158">
        <v>1424676</v>
      </c>
      <c r="S69" s="157">
        <v>-8606</v>
      </c>
      <c r="T69" s="158">
        <v>309184</v>
      </c>
      <c r="U69" s="157">
        <v>126743</v>
      </c>
      <c r="V69" s="158">
        <v>262353</v>
      </c>
      <c r="W69" s="157">
        <v>44166.279999999992</v>
      </c>
      <c r="X69" s="158">
        <v>115450.72000000006</v>
      </c>
      <c r="Y69" s="157">
        <v>0</v>
      </c>
      <c r="Z69" s="158">
        <v>0</v>
      </c>
      <c r="AA69" s="157">
        <v>1089281.24</v>
      </c>
      <c r="AB69" s="158">
        <v>956427.72</v>
      </c>
      <c r="AC69" s="157">
        <v>0</v>
      </c>
      <c r="AD69" s="158">
        <v>0</v>
      </c>
      <c r="AE69" s="154">
        <v>3.6106754191295087E-3</v>
      </c>
      <c r="AF69" s="156">
        <v>7.3971308665705627E-3</v>
      </c>
      <c r="AG69" s="154">
        <v>0</v>
      </c>
      <c r="AH69" s="156">
        <v>0</v>
      </c>
    </row>
    <row r="70" spans="1:34" x14ac:dyDescent="0.2">
      <c r="A70" s="152">
        <v>5609</v>
      </c>
      <c r="B70" s="153" t="s">
        <v>105</v>
      </c>
      <c r="C70" s="157">
        <v>0</v>
      </c>
      <c r="D70" s="158">
        <v>0</v>
      </c>
      <c r="E70" s="157">
        <v>1050418</v>
      </c>
      <c r="F70" s="158">
        <v>2249315</v>
      </c>
      <c r="G70" s="157">
        <v>521657</v>
      </c>
      <c r="H70" s="158">
        <v>2617511</v>
      </c>
      <c r="I70" s="157">
        <v>528761</v>
      </c>
      <c r="J70" s="158">
        <v>177878</v>
      </c>
      <c r="K70" s="157">
        <v>0</v>
      </c>
      <c r="L70" s="158">
        <v>546074</v>
      </c>
      <c r="M70" s="157">
        <v>0</v>
      </c>
      <c r="N70" s="158">
        <v>0</v>
      </c>
      <c r="O70" s="157">
        <v>824638</v>
      </c>
      <c r="P70" s="158">
        <v>720107</v>
      </c>
      <c r="Q70" s="157">
        <v>2122217</v>
      </c>
      <c r="R70" s="158">
        <v>28159</v>
      </c>
      <c r="S70" s="157">
        <v>-573327</v>
      </c>
      <c r="T70" s="158">
        <v>32099</v>
      </c>
      <c r="U70" s="157">
        <v>724252</v>
      </c>
      <c r="V70" s="158">
        <v>-659849</v>
      </c>
      <c r="W70" s="157">
        <v>0</v>
      </c>
      <c r="X70" s="158">
        <v>0</v>
      </c>
      <c r="Y70" s="157">
        <v>0</v>
      </c>
      <c r="Z70" s="158">
        <v>0</v>
      </c>
      <c r="AA70" s="157">
        <v>63200</v>
      </c>
      <c r="AB70" s="158">
        <v>9996987.9399999995</v>
      </c>
      <c r="AC70" s="157">
        <v>0</v>
      </c>
      <c r="AD70" s="158">
        <v>0</v>
      </c>
      <c r="AE70" s="154">
        <v>0</v>
      </c>
      <c r="AF70" s="156">
        <v>0</v>
      </c>
      <c r="AG70" s="154">
        <v>0</v>
      </c>
      <c r="AH70" s="156">
        <v>0</v>
      </c>
    </row>
    <row r="71" spans="1:34" x14ac:dyDescent="0.2">
      <c r="A71" s="152">
        <v>5610</v>
      </c>
      <c r="B71" s="153" t="s">
        <v>106</v>
      </c>
      <c r="C71" s="157">
        <v>0</v>
      </c>
      <c r="D71" s="158">
        <v>0</v>
      </c>
      <c r="E71" s="157">
        <v>576093</v>
      </c>
      <c r="F71" s="158">
        <v>1359455</v>
      </c>
      <c r="G71" s="157">
        <v>576986</v>
      </c>
      <c r="H71" s="158">
        <v>1474284</v>
      </c>
      <c r="I71" s="157">
        <v>0</v>
      </c>
      <c r="J71" s="158">
        <v>0</v>
      </c>
      <c r="K71" s="157">
        <v>893</v>
      </c>
      <c r="L71" s="158">
        <v>114829</v>
      </c>
      <c r="M71" s="157">
        <v>0</v>
      </c>
      <c r="N71" s="158">
        <v>0</v>
      </c>
      <c r="O71" s="157">
        <v>389806</v>
      </c>
      <c r="P71" s="158">
        <v>239818</v>
      </c>
      <c r="Q71" s="157">
        <v>371604</v>
      </c>
      <c r="R71" s="158">
        <v>229406</v>
      </c>
      <c r="S71" s="157">
        <v>21792</v>
      </c>
      <c r="T71" s="158">
        <v>27212</v>
      </c>
      <c r="U71" s="157">
        <v>3590</v>
      </c>
      <c r="V71" s="158">
        <v>16800</v>
      </c>
      <c r="W71" s="157">
        <v>7.2759576141834259E-11</v>
      </c>
      <c r="X71" s="158">
        <v>61492.140000000189</v>
      </c>
      <c r="Y71" s="157">
        <v>0</v>
      </c>
      <c r="Z71" s="158">
        <v>0</v>
      </c>
      <c r="AA71" s="157">
        <v>2685734.48</v>
      </c>
      <c r="AB71" s="158">
        <v>1600258.65</v>
      </c>
      <c r="AC71" s="157">
        <v>0</v>
      </c>
      <c r="AD71" s="158">
        <v>0</v>
      </c>
      <c r="AE71" s="154">
        <v>3.8675806319956059E-18</v>
      </c>
      <c r="AF71" s="156">
        <v>3.2533258530781767E-3</v>
      </c>
      <c r="AG71" s="154">
        <v>0</v>
      </c>
      <c r="AH71" s="156">
        <v>0</v>
      </c>
    </row>
    <row r="72" spans="1:34" x14ac:dyDescent="0.2">
      <c r="A72" s="152">
        <v>5611</v>
      </c>
      <c r="B72" s="153" t="s">
        <v>107</v>
      </c>
      <c r="C72" s="157">
        <v>0</v>
      </c>
      <c r="D72" s="158">
        <v>0</v>
      </c>
      <c r="E72" s="157">
        <v>0</v>
      </c>
      <c r="F72" s="158">
        <v>0</v>
      </c>
      <c r="G72" s="157">
        <v>0</v>
      </c>
      <c r="H72" s="158">
        <v>-125</v>
      </c>
      <c r="I72" s="157">
        <v>-27000</v>
      </c>
      <c r="J72" s="158">
        <v>0</v>
      </c>
      <c r="K72" s="157">
        <v>-27000</v>
      </c>
      <c r="L72" s="158">
        <v>-125</v>
      </c>
      <c r="M72" s="157">
        <v>0</v>
      </c>
      <c r="N72" s="158">
        <v>0</v>
      </c>
      <c r="O72" s="157">
        <v>740278</v>
      </c>
      <c r="P72" s="158">
        <v>1428478</v>
      </c>
      <c r="Q72" s="157">
        <v>864874</v>
      </c>
      <c r="R72" s="158">
        <v>1335606</v>
      </c>
      <c r="S72" s="157">
        <v>7464</v>
      </c>
      <c r="T72" s="158">
        <v>20250</v>
      </c>
      <c r="U72" s="157">
        <v>132060</v>
      </c>
      <c r="V72" s="158">
        <v>-72622</v>
      </c>
      <c r="W72" s="157">
        <v>1377</v>
      </c>
      <c r="X72" s="158">
        <v>50968.459999999963</v>
      </c>
      <c r="Y72" s="157">
        <v>0</v>
      </c>
      <c r="Z72" s="158">
        <v>0</v>
      </c>
      <c r="AA72" s="157">
        <v>11084</v>
      </c>
      <c r="AB72" s="158">
        <v>266105</v>
      </c>
      <c r="AC72" s="157">
        <v>0</v>
      </c>
      <c r="AD72" s="158">
        <v>0</v>
      </c>
      <c r="AE72" s="154">
        <v>1.2547501908095061E-4</v>
      </c>
      <c r="AF72" s="156">
        <v>4.2294774524781371E-3</v>
      </c>
      <c r="AG72" s="154">
        <v>0</v>
      </c>
      <c r="AH72" s="156">
        <v>0</v>
      </c>
    </row>
    <row r="73" spans="1:34" x14ac:dyDescent="0.2">
      <c r="A73" s="152">
        <v>5701</v>
      </c>
      <c r="B73" s="153" t="s">
        <v>108</v>
      </c>
      <c r="C73" s="157">
        <v>0</v>
      </c>
      <c r="D73" s="158">
        <v>0</v>
      </c>
      <c r="E73" s="157">
        <v>0</v>
      </c>
      <c r="F73" s="158">
        <v>0</v>
      </c>
      <c r="G73" s="157">
        <v>0</v>
      </c>
      <c r="H73" s="158">
        <v>0</v>
      </c>
      <c r="I73" s="157">
        <v>0</v>
      </c>
      <c r="J73" s="158">
        <v>0</v>
      </c>
      <c r="K73" s="157">
        <v>0</v>
      </c>
      <c r="L73" s="158">
        <v>0</v>
      </c>
      <c r="M73" s="157">
        <v>-19</v>
      </c>
      <c r="N73" s="158">
        <v>-651</v>
      </c>
      <c r="O73" s="157">
        <v>20145271</v>
      </c>
      <c r="P73" s="158">
        <v>8846942</v>
      </c>
      <c r="Q73" s="157">
        <v>17223240</v>
      </c>
      <c r="R73" s="158">
        <v>9352194</v>
      </c>
      <c r="S73" s="157">
        <v>2989139</v>
      </c>
      <c r="T73" s="158">
        <v>-1586669</v>
      </c>
      <c r="U73" s="157">
        <v>67089</v>
      </c>
      <c r="V73" s="158">
        <v>-1082068</v>
      </c>
      <c r="W73" s="157">
        <v>170756.71999999892</v>
      </c>
      <c r="X73" s="158">
        <v>19654.830000000075</v>
      </c>
      <c r="Y73" s="157">
        <v>0</v>
      </c>
      <c r="Z73" s="158">
        <v>0</v>
      </c>
      <c r="AA73" s="157">
        <v>5751776.9599999981</v>
      </c>
      <c r="AB73" s="158">
        <v>4152697.3699999996</v>
      </c>
      <c r="AC73" s="157">
        <v>0</v>
      </c>
      <c r="AD73" s="158">
        <v>0</v>
      </c>
      <c r="AE73" s="154">
        <v>1.9674769898650629E-3</v>
      </c>
      <c r="AF73" s="156">
        <v>1.9261378778755379E-4</v>
      </c>
      <c r="AG73" s="154">
        <v>0</v>
      </c>
      <c r="AH73" s="156">
        <v>0</v>
      </c>
    </row>
    <row r="74" spans="1:34" x14ac:dyDescent="0.2">
      <c r="A74" s="152">
        <v>5702</v>
      </c>
      <c r="B74" s="153" t="s">
        <v>109</v>
      </c>
      <c r="C74" s="157">
        <v>0</v>
      </c>
      <c r="D74" s="158">
        <v>0</v>
      </c>
      <c r="E74" s="157">
        <v>575774</v>
      </c>
      <c r="F74" s="158">
        <v>4644610</v>
      </c>
      <c r="G74" s="157">
        <v>2215915</v>
      </c>
      <c r="H74" s="158">
        <v>2899241</v>
      </c>
      <c r="I74" s="157">
        <v>114564</v>
      </c>
      <c r="J74" s="158">
        <v>-9336</v>
      </c>
      <c r="K74" s="157">
        <v>1754705</v>
      </c>
      <c r="L74" s="158">
        <v>-1754705</v>
      </c>
      <c r="M74" s="157">
        <v>0</v>
      </c>
      <c r="N74" s="158">
        <v>0</v>
      </c>
      <c r="O74" s="157">
        <v>1940774</v>
      </c>
      <c r="P74" s="158">
        <v>1431925</v>
      </c>
      <c r="Q74" s="157">
        <v>3145759</v>
      </c>
      <c r="R74" s="158">
        <v>707528</v>
      </c>
      <c r="S74" s="157">
        <v>-1163600</v>
      </c>
      <c r="T74" s="158">
        <v>716362</v>
      </c>
      <c r="U74" s="157">
        <v>41385</v>
      </c>
      <c r="V74" s="158">
        <v>-8035</v>
      </c>
      <c r="W74" s="157">
        <v>10055.280000000028</v>
      </c>
      <c r="X74" s="158">
        <v>94418.690000000526</v>
      </c>
      <c r="Y74" s="157">
        <v>0</v>
      </c>
      <c r="Z74" s="158">
        <v>0</v>
      </c>
      <c r="AA74" s="157">
        <v>3825148.22</v>
      </c>
      <c r="AB74" s="158">
        <v>342275.22000000009</v>
      </c>
      <c r="AC74" s="157">
        <v>0</v>
      </c>
      <c r="AD74" s="158">
        <v>0</v>
      </c>
      <c r="AE74" s="154">
        <v>4.1560321566668602E-4</v>
      </c>
      <c r="AF74" s="156">
        <v>3.1669980007922142E-3</v>
      </c>
      <c r="AG74" s="154">
        <v>0</v>
      </c>
      <c r="AH74" s="156">
        <v>0</v>
      </c>
    </row>
    <row r="75" spans="1:34" x14ac:dyDescent="0.2">
      <c r="A75" s="152">
        <v>5703</v>
      </c>
      <c r="B75" s="153" t="s">
        <v>110</v>
      </c>
      <c r="C75" s="157">
        <v>0</v>
      </c>
      <c r="D75" s="158">
        <v>0</v>
      </c>
      <c r="E75" s="157">
        <v>0</v>
      </c>
      <c r="F75" s="158">
        <v>0</v>
      </c>
      <c r="G75" s="157">
        <v>0</v>
      </c>
      <c r="H75" s="158">
        <v>0</v>
      </c>
      <c r="I75" s="157">
        <v>0</v>
      </c>
      <c r="J75" s="158">
        <v>0</v>
      </c>
      <c r="K75" s="157">
        <v>0</v>
      </c>
      <c r="L75" s="158">
        <v>0</v>
      </c>
      <c r="M75" s="157">
        <v>-349</v>
      </c>
      <c r="N75" s="158">
        <v>-565</v>
      </c>
      <c r="O75" s="157">
        <v>2770787</v>
      </c>
      <c r="P75" s="158">
        <v>921275</v>
      </c>
      <c r="Q75" s="157">
        <v>3006547</v>
      </c>
      <c r="R75" s="158">
        <v>2476657</v>
      </c>
      <c r="S75" s="157">
        <v>-455652</v>
      </c>
      <c r="T75" s="158">
        <v>87309</v>
      </c>
      <c r="U75" s="157">
        <v>-220241</v>
      </c>
      <c r="V75" s="158">
        <v>1642126</v>
      </c>
      <c r="W75" s="157">
        <v>15289.85999999987</v>
      </c>
      <c r="X75" s="158">
        <v>8127.4099999999162</v>
      </c>
      <c r="Y75" s="157">
        <v>0</v>
      </c>
      <c r="Z75" s="158">
        <v>0</v>
      </c>
      <c r="AA75" s="157">
        <v>170992.38000000012</v>
      </c>
      <c r="AB75" s="158">
        <v>3880388.7900000005</v>
      </c>
      <c r="AC75" s="157">
        <v>0</v>
      </c>
      <c r="AD75" s="158">
        <v>0</v>
      </c>
      <c r="AE75" s="154">
        <v>2.6230791216429975E-4</v>
      </c>
      <c r="AF75" s="156">
        <v>1.2016499283467051E-4</v>
      </c>
      <c r="AG75" s="154">
        <v>0</v>
      </c>
      <c r="AH75" s="156">
        <v>0</v>
      </c>
    </row>
    <row r="76" spans="1:34" x14ac:dyDescent="0.2">
      <c r="A76" s="152">
        <v>5704</v>
      </c>
      <c r="B76" s="153" t="s">
        <v>111</v>
      </c>
      <c r="C76" s="157">
        <v>0</v>
      </c>
      <c r="D76" s="158">
        <v>0</v>
      </c>
      <c r="E76" s="157">
        <v>2474268</v>
      </c>
      <c r="F76" s="158">
        <v>2468734</v>
      </c>
      <c r="G76" s="157">
        <v>2556488</v>
      </c>
      <c r="H76" s="158">
        <v>2878646</v>
      </c>
      <c r="I76" s="157">
        <v>-14391</v>
      </c>
      <c r="J76" s="158">
        <v>1368</v>
      </c>
      <c r="K76" s="157">
        <v>67829</v>
      </c>
      <c r="L76" s="158">
        <v>411280</v>
      </c>
      <c r="M76" s="157">
        <v>0</v>
      </c>
      <c r="N76" s="158">
        <v>0</v>
      </c>
      <c r="O76" s="157">
        <v>1092062</v>
      </c>
      <c r="P76" s="158">
        <v>1492224</v>
      </c>
      <c r="Q76" s="157">
        <v>1085267</v>
      </c>
      <c r="R76" s="158">
        <v>1625921</v>
      </c>
      <c r="S76" s="157">
        <v>-92457</v>
      </c>
      <c r="T76" s="158">
        <v>-81507</v>
      </c>
      <c r="U76" s="157">
        <v>-99252</v>
      </c>
      <c r="V76" s="158">
        <v>52190</v>
      </c>
      <c r="W76" s="157">
        <v>2517.6100000001024</v>
      </c>
      <c r="X76" s="158">
        <v>53645.460000000079</v>
      </c>
      <c r="Y76" s="157">
        <v>0</v>
      </c>
      <c r="Z76" s="158">
        <v>0</v>
      </c>
      <c r="AA76" s="157">
        <v>2488703.23</v>
      </c>
      <c r="AB76" s="158">
        <v>3926175.42</v>
      </c>
      <c r="AC76" s="157">
        <v>0</v>
      </c>
      <c r="AD76" s="158">
        <v>0</v>
      </c>
      <c r="AE76" s="154">
        <v>1.0484990522482888E-4</v>
      </c>
      <c r="AF76" s="156">
        <v>2.1386852857401798E-3</v>
      </c>
      <c r="AG76" s="154">
        <v>0</v>
      </c>
      <c r="AH76" s="156">
        <v>0</v>
      </c>
    </row>
    <row r="77" spans="1:34" x14ac:dyDescent="0.2">
      <c r="A77" s="152">
        <v>5801</v>
      </c>
      <c r="B77" s="153" t="s">
        <v>113</v>
      </c>
      <c r="C77" s="157">
        <v>0</v>
      </c>
      <c r="D77" s="158">
        <v>0</v>
      </c>
      <c r="E77" s="157">
        <v>956423</v>
      </c>
      <c r="F77" s="158">
        <v>1459135</v>
      </c>
      <c r="G77" s="157">
        <v>2391634</v>
      </c>
      <c r="H77" s="158">
        <v>32171</v>
      </c>
      <c r="I77" s="157">
        <v>-1435211</v>
      </c>
      <c r="J77" s="158">
        <v>1426964</v>
      </c>
      <c r="K77" s="157">
        <v>0</v>
      </c>
      <c r="L77" s="158">
        <v>0</v>
      </c>
      <c r="M77" s="157">
        <v>0</v>
      </c>
      <c r="N77" s="158">
        <v>0</v>
      </c>
      <c r="O77" s="157">
        <v>663595</v>
      </c>
      <c r="P77" s="158">
        <v>1449957</v>
      </c>
      <c r="Q77" s="157">
        <v>553125</v>
      </c>
      <c r="R77" s="158">
        <v>724887</v>
      </c>
      <c r="S77" s="157">
        <v>0</v>
      </c>
      <c r="T77" s="158">
        <v>746095</v>
      </c>
      <c r="U77" s="157">
        <v>-110470</v>
      </c>
      <c r="V77" s="158">
        <v>21025</v>
      </c>
      <c r="W77" s="157">
        <v>0</v>
      </c>
      <c r="X77" s="158">
        <v>12229.440000000061</v>
      </c>
      <c r="Y77" s="157">
        <v>0</v>
      </c>
      <c r="Z77" s="158">
        <v>0</v>
      </c>
      <c r="AA77" s="157">
        <v>39563.410000000033</v>
      </c>
      <c r="AB77" s="158">
        <v>2131625.9499999997</v>
      </c>
      <c r="AC77" s="157">
        <v>0</v>
      </c>
      <c r="AD77" s="158">
        <v>0</v>
      </c>
      <c r="AE77" s="154">
        <v>0</v>
      </c>
      <c r="AF77" s="156">
        <v>2.8459704902398316E-4</v>
      </c>
      <c r="AG77" s="154">
        <v>0</v>
      </c>
      <c r="AH77" s="156">
        <v>0</v>
      </c>
    </row>
    <row r="78" spans="1:34" x14ac:dyDescent="0.2">
      <c r="A78" s="152">
        <v>5802</v>
      </c>
      <c r="B78" s="153" t="s">
        <v>114</v>
      </c>
      <c r="C78" s="157">
        <v>0</v>
      </c>
      <c r="D78" s="158">
        <v>0</v>
      </c>
      <c r="E78" s="157">
        <v>133639</v>
      </c>
      <c r="F78" s="158">
        <v>2879616</v>
      </c>
      <c r="G78" s="157">
        <v>156960</v>
      </c>
      <c r="H78" s="158">
        <v>1951574</v>
      </c>
      <c r="I78" s="157">
        <v>2185</v>
      </c>
      <c r="J78" s="158">
        <v>929616</v>
      </c>
      <c r="K78" s="157">
        <v>25506</v>
      </c>
      <c r="L78" s="158">
        <v>1574</v>
      </c>
      <c r="M78" s="157">
        <v>0</v>
      </c>
      <c r="N78" s="158">
        <v>0</v>
      </c>
      <c r="O78" s="157">
        <v>965189</v>
      </c>
      <c r="P78" s="158">
        <v>1037838</v>
      </c>
      <c r="Q78" s="157">
        <v>1067674</v>
      </c>
      <c r="R78" s="158">
        <v>961787</v>
      </c>
      <c r="S78" s="157">
        <v>-94461</v>
      </c>
      <c r="T78" s="158">
        <v>47841</v>
      </c>
      <c r="U78" s="157">
        <v>8024</v>
      </c>
      <c r="V78" s="158">
        <v>-28210</v>
      </c>
      <c r="W78" s="157">
        <v>244391.14</v>
      </c>
      <c r="X78" s="158">
        <v>4.6566128730773926E-10</v>
      </c>
      <c r="Y78" s="157">
        <v>0</v>
      </c>
      <c r="Z78" s="158">
        <v>0</v>
      </c>
      <c r="AA78" s="157">
        <v>369505.61</v>
      </c>
      <c r="AB78" s="158">
        <v>907312.65999999968</v>
      </c>
      <c r="AC78" s="157">
        <v>0</v>
      </c>
      <c r="AD78" s="158">
        <v>0</v>
      </c>
      <c r="AE78" s="154">
        <v>9.2209995276896217E-3</v>
      </c>
      <c r="AF78" s="156">
        <v>1.6383123498199863E-17</v>
      </c>
      <c r="AG78" s="154">
        <v>0</v>
      </c>
      <c r="AH78" s="156">
        <v>0</v>
      </c>
    </row>
    <row r="79" spans="1:34" x14ac:dyDescent="0.2">
      <c r="A79" s="152">
        <v>5803</v>
      </c>
      <c r="B79" s="153" t="s">
        <v>112</v>
      </c>
      <c r="C79" s="157">
        <v>108027</v>
      </c>
      <c r="D79" s="158">
        <v>109194</v>
      </c>
      <c r="E79" s="157">
        <v>207229</v>
      </c>
      <c r="F79" s="158">
        <v>229295</v>
      </c>
      <c r="G79" s="157">
        <v>76660</v>
      </c>
      <c r="H79" s="158">
        <v>134040</v>
      </c>
      <c r="I79" s="157">
        <v>0</v>
      </c>
      <c r="J79" s="158">
        <v>0</v>
      </c>
      <c r="K79" s="157">
        <v>-22542</v>
      </c>
      <c r="L79" s="158">
        <v>13939</v>
      </c>
      <c r="M79" s="157">
        <v>84</v>
      </c>
      <c r="N79" s="158">
        <v>0</v>
      </c>
      <c r="O79" s="157">
        <v>9207254</v>
      </c>
      <c r="P79" s="158">
        <v>6987486</v>
      </c>
      <c r="Q79" s="157">
        <v>6208788</v>
      </c>
      <c r="R79" s="158">
        <v>8626872</v>
      </c>
      <c r="S79" s="157">
        <v>742970</v>
      </c>
      <c r="T79" s="158">
        <v>-531034</v>
      </c>
      <c r="U79" s="157">
        <v>-2255412</v>
      </c>
      <c r="V79" s="158">
        <v>1108352</v>
      </c>
      <c r="W79" s="157">
        <v>6247.7800000002608</v>
      </c>
      <c r="X79" s="158">
        <v>1136464.74</v>
      </c>
      <c r="Y79" s="157">
        <v>513744.73</v>
      </c>
      <c r="Z79" s="158">
        <v>513744.73</v>
      </c>
      <c r="AA79" s="157">
        <v>2967646.04</v>
      </c>
      <c r="AB79" s="158">
        <v>12999570.390000001</v>
      </c>
      <c r="AC79" s="157">
        <v>208098</v>
      </c>
      <c r="AD79" s="158">
        <v>208098</v>
      </c>
      <c r="AE79" s="154">
        <v>4.9911501825986165E-5</v>
      </c>
      <c r="AF79" s="156">
        <v>7.8605848240756917E-3</v>
      </c>
      <c r="AG79" s="154">
        <v>0</v>
      </c>
      <c r="AH79" s="156">
        <v>0</v>
      </c>
    </row>
    <row r="80" spans="1:34" x14ac:dyDescent="0.2">
      <c r="A80" s="152">
        <v>5804</v>
      </c>
      <c r="B80" s="153" t="s">
        <v>115</v>
      </c>
      <c r="C80" s="157">
        <v>30</v>
      </c>
      <c r="D80" s="158">
        <v>16</v>
      </c>
      <c r="E80" s="157">
        <v>316166</v>
      </c>
      <c r="F80" s="158">
        <v>68268</v>
      </c>
      <c r="G80" s="157">
        <v>176776</v>
      </c>
      <c r="H80" s="158">
        <v>230590</v>
      </c>
      <c r="I80" s="157">
        <v>148725</v>
      </c>
      <c r="J80" s="158">
        <v>-263050</v>
      </c>
      <c r="K80" s="157">
        <v>9365</v>
      </c>
      <c r="L80" s="158">
        <v>-100712</v>
      </c>
      <c r="M80" s="157">
        <v>47</v>
      </c>
      <c r="N80" s="158">
        <v>40</v>
      </c>
      <c r="O80" s="157">
        <v>1543267</v>
      </c>
      <c r="P80" s="158">
        <v>1448843</v>
      </c>
      <c r="Q80" s="157">
        <v>1886593</v>
      </c>
      <c r="R80" s="158">
        <v>1231943</v>
      </c>
      <c r="S80" s="157">
        <v>-205766</v>
      </c>
      <c r="T80" s="158">
        <v>401612</v>
      </c>
      <c r="U80" s="157">
        <v>137607</v>
      </c>
      <c r="V80" s="158">
        <v>184752</v>
      </c>
      <c r="W80" s="157">
        <v>440.24000000001979</v>
      </c>
      <c r="X80" s="158">
        <v>63427.969999999972</v>
      </c>
      <c r="Y80" s="157">
        <v>0</v>
      </c>
      <c r="Z80" s="158">
        <v>0</v>
      </c>
      <c r="AA80" s="157">
        <v>95461.360000000015</v>
      </c>
      <c r="AB80" s="158">
        <v>3954954.5</v>
      </c>
      <c r="AC80" s="157">
        <v>0</v>
      </c>
      <c r="AD80" s="158">
        <v>0</v>
      </c>
      <c r="AE80" s="154">
        <v>1.1955218657701913E-5</v>
      </c>
      <c r="AF80" s="156">
        <v>1.5180921181356154E-3</v>
      </c>
      <c r="AG80" s="154">
        <v>0</v>
      </c>
      <c r="AH80" s="156">
        <v>0</v>
      </c>
    </row>
    <row r="81" spans="1:34" x14ac:dyDescent="0.2">
      <c r="A81" s="152">
        <v>5805</v>
      </c>
      <c r="B81" s="153" t="s">
        <v>116</v>
      </c>
      <c r="C81" s="157">
        <v>28360</v>
      </c>
      <c r="D81" s="158">
        <v>21164</v>
      </c>
      <c r="E81" s="157">
        <v>1424790</v>
      </c>
      <c r="F81" s="158">
        <v>34875</v>
      </c>
      <c r="G81" s="157">
        <v>958324</v>
      </c>
      <c r="H81" s="158">
        <v>449708</v>
      </c>
      <c r="I81" s="157">
        <v>443048</v>
      </c>
      <c r="J81" s="158">
        <v>-449708</v>
      </c>
      <c r="K81" s="157">
        <v>4942</v>
      </c>
      <c r="L81" s="158">
        <v>-13711</v>
      </c>
      <c r="M81" s="157">
        <v>0</v>
      </c>
      <c r="N81" s="158">
        <v>0</v>
      </c>
      <c r="O81" s="157">
        <v>232158</v>
      </c>
      <c r="P81" s="158">
        <v>3204606</v>
      </c>
      <c r="Q81" s="157">
        <v>191718</v>
      </c>
      <c r="R81" s="158">
        <v>3182880</v>
      </c>
      <c r="S81" s="157">
        <v>1000</v>
      </c>
      <c r="T81" s="158">
        <v>56141</v>
      </c>
      <c r="U81" s="157">
        <v>-39440</v>
      </c>
      <c r="V81" s="158">
        <v>34415</v>
      </c>
      <c r="W81" s="157">
        <v>6572.9700000000012</v>
      </c>
      <c r="X81" s="158">
        <v>425727.21000000014</v>
      </c>
      <c r="Y81" s="157">
        <v>0</v>
      </c>
      <c r="Z81" s="158">
        <v>0</v>
      </c>
      <c r="AA81" s="157">
        <v>3814571.0999999996</v>
      </c>
      <c r="AB81" s="158">
        <v>63033.1700000001</v>
      </c>
      <c r="AC81" s="157">
        <v>0</v>
      </c>
      <c r="AD81" s="158">
        <v>0</v>
      </c>
      <c r="AE81" s="154">
        <v>1.6915532611381045E-4</v>
      </c>
      <c r="AF81" s="156">
        <v>1.1644019852810619E-2</v>
      </c>
      <c r="AG81" s="154">
        <v>0</v>
      </c>
      <c r="AH81" s="156">
        <v>0</v>
      </c>
    </row>
    <row r="82" spans="1:34" x14ac:dyDescent="0.2">
      <c r="A82" s="152">
        <v>5806</v>
      </c>
      <c r="B82" s="153" t="s">
        <v>117</v>
      </c>
      <c r="C82" s="157">
        <v>0</v>
      </c>
      <c r="D82" s="158">
        <v>0</v>
      </c>
      <c r="E82" s="157">
        <v>1268492</v>
      </c>
      <c r="F82" s="158">
        <v>163320</v>
      </c>
      <c r="G82" s="157">
        <v>925808</v>
      </c>
      <c r="H82" s="158">
        <v>177965</v>
      </c>
      <c r="I82" s="157">
        <v>0</v>
      </c>
      <c r="J82" s="158">
        <v>3211</v>
      </c>
      <c r="K82" s="157">
        <v>-342684</v>
      </c>
      <c r="L82" s="158">
        <v>17856</v>
      </c>
      <c r="M82" s="157">
        <v>0</v>
      </c>
      <c r="N82" s="158">
        <v>0</v>
      </c>
      <c r="O82" s="157">
        <v>399053</v>
      </c>
      <c r="P82" s="158">
        <v>372777</v>
      </c>
      <c r="Q82" s="157">
        <v>472705</v>
      </c>
      <c r="R82" s="158">
        <v>686381</v>
      </c>
      <c r="S82" s="157">
        <v>-69681</v>
      </c>
      <c r="T82" s="158">
        <v>95882</v>
      </c>
      <c r="U82" s="157">
        <v>3971</v>
      </c>
      <c r="V82" s="158">
        <v>409486</v>
      </c>
      <c r="W82" s="157">
        <v>0</v>
      </c>
      <c r="X82" s="158">
        <v>0</v>
      </c>
      <c r="Y82" s="157">
        <v>0</v>
      </c>
      <c r="Z82" s="158">
        <v>0</v>
      </c>
      <c r="AA82" s="157">
        <v>174224.35000000015</v>
      </c>
      <c r="AB82" s="158">
        <v>72475.990000000005</v>
      </c>
      <c r="AC82" s="157">
        <v>0</v>
      </c>
      <c r="AD82" s="158">
        <v>0</v>
      </c>
      <c r="AE82" s="154">
        <v>0</v>
      </c>
      <c r="AF82" s="156">
        <v>0</v>
      </c>
      <c r="AG82" s="154">
        <v>0</v>
      </c>
      <c r="AH82" s="156">
        <v>0</v>
      </c>
    </row>
    <row r="83" spans="1:34" x14ac:dyDescent="0.2">
      <c r="A83" s="152">
        <v>5807</v>
      </c>
      <c r="B83" s="153" t="s">
        <v>118</v>
      </c>
      <c r="C83" s="157">
        <v>0</v>
      </c>
      <c r="D83" s="158">
        <v>0</v>
      </c>
      <c r="E83" s="157">
        <v>262636</v>
      </c>
      <c r="F83" s="158">
        <v>517845</v>
      </c>
      <c r="G83" s="157">
        <v>250905</v>
      </c>
      <c r="H83" s="158">
        <v>1384468</v>
      </c>
      <c r="I83" s="157">
        <v>11731</v>
      </c>
      <c r="J83" s="158">
        <v>39770</v>
      </c>
      <c r="K83" s="157">
        <v>0</v>
      </c>
      <c r="L83" s="158">
        <v>906393</v>
      </c>
      <c r="M83" s="157">
        <v>7387</v>
      </c>
      <c r="N83" s="158">
        <v>15776</v>
      </c>
      <c r="O83" s="157">
        <v>546362</v>
      </c>
      <c r="P83" s="158">
        <v>1977591</v>
      </c>
      <c r="Q83" s="157">
        <v>617614</v>
      </c>
      <c r="R83" s="158">
        <v>1275473</v>
      </c>
      <c r="S83" s="157">
        <v>-27624</v>
      </c>
      <c r="T83" s="158">
        <v>830359</v>
      </c>
      <c r="U83" s="157">
        <v>51015</v>
      </c>
      <c r="V83" s="158">
        <v>144017</v>
      </c>
      <c r="W83" s="157">
        <v>145631.51</v>
      </c>
      <c r="X83" s="158">
        <v>110778.35000000009</v>
      </c>
      <c r="Y83" s="157">
        <v>0</v>
      </c>
      <c r="Z83" s="158">
        <v>0</v>
      </c>
      <c r="AA83" s="157">
        <v>16667</v>
      </c>
      <c r="AB83" s="158">
        <v>1758982.85</v>
      </c>
      <c r="AC83" s="157">
        <v>0</v>
      </c>
      <c r="AD83" s="158">
        <v>0</v>
      </c>
      <c r="AE83" s="154">
        <v>6.1024592408515498E-3</v>
      </c>
      <c r="AF83" s="156">
        <v>4.1343236301798064E-3</v>
      </c>
      <c r="AG83" s="154">
        <v>0</v>
      </c>
      <c r="AH83" s="156">
        <v>0</v>
      </c>
    </row>
    <row r="84" spans="1:34" x14ac:dyDescent="0.2">
      <c r="A84" s="152">
        <v>5808</v>
      </c>
      <c r="B84" s="153" t="s">
        <v>119</v>
      </c>
      <c r="C84" s="157">
        <v>0</v>
      </c>
      <c r="D84" s="158">
        <v>0</v>
      </c>
      <c r="E84" s="157">
        <v>179214</v>
      </c>
      <c r="F84" s="158">
        <v>0</v>
      </c>
      <c r="G84" s="157">
        <v>179214</v>
      </c>
      <c r="H84" s="158">
        <v>0</v>
      </c>
      <c r="I84" s="157">
        <v>0</v>
      </c>
      <c r="J84" s="158">
        <v>0</v>
      </c>
      <c r="K84" s="157">
        <v>0</v>
      </c>
      <c r="L84" s="158">
        <v>0</v>
      </c>
      <c r="M84" s="157">
        <v>0</v>
      </c>
      <c r="N84" s="158">
        <v>0</v>
      </c>
      <c r="O84" s="157">
        <v>461328</v>
      </c>
      <c r="P84" s="158">
        <v>408347</v>
      </c>
      <c r="Q84" s="157">
        <v>264991</v>
      </c>
      <c r="R84" s="158">
        <v>552882</v>
      </c>
      <c r="S84" s="157">
        <v>132523</v>
      </c>
      <c r="T84" s="158">
        <v>-115254</v>
      </c>
      <c r="U84" s="157">
        <v>-63814</v>
      </c>
      <c r="V84" s="158">
        <v>29281</v>
      </c>
      <c r="W84" s="157">
        <v>6789.2700000000186</v>
      </c>
      <c r="X84" s="158">
        <v>2895.3100000000122</v>
      </c>
      <c r="Y84" s="157">
        <v>0</v>
      </c>
      <c r="Z84" s="158">
        <v>0</v>
      </c>
      <c r="AA84" s="157">
        <v>57350.439999999755</v>
      </c>
      <c r="AB84" s="158">
        <v>169672.59999999998</v>
      </c>
      <c r="AC84" s="157">
        <v>0</v>
      </c>
      <c r="AD84" s="158">
        <v>0</v>
      </c>
      <c r="AE84" s="154">
        <v>5.5019902490035936E-4</v>
      </c>
      <c r="AF84" s="156">
        <v>1.5220303045579913E-4</v>
      </c>
      <c r="AG84" s="154">
        <v>0</v>
      </c>
      <c r="AH84" s="156">
        <v>0</v>
      </c>
    </row>
    <row r="85" spans="1:34" x14ac:dyDescent="0.2">
      <c r="A85" s="152">
        <v>5901</v>
      </c>
      <c r="B85" s="153" t="s">
        <v>121</v>
      </c>
      <c r="C85" s="157">
        <v>3790</v>
      </c>
      <c r="D85" s="158">
        <v>0</v>
      </c>
      <c r="E85" s="157">
        <v>652218</v>
      </c>
      <c r="F85" s="158">
        <v>3957322</v>
      </c>
      <c r="G85" s="157">
        <v>642466</v>
      </c>
      <c r="H85" s="158">
        <v>3877417</v>
      </c>
      <c r="I85" s="157">
        <v>3547</v>
      </c>
      <c r="J85" s="158">
        <v>68451</v>
      </c>
      <c r="K85" s="157">
        <v>-2415</v>
      </c>
      <c r="L85" s="158">
        <v>-11454</v>
      </c>
      <c r="M85" s="157">
        <v>38855</v>
      </c>
      <c r="N85" s="158">
        <v>0</v>
      </c>
      <c r="O85" s="157">
        <v>2120327</v>
      </c>
      <c r="P85" s="158">
        <v>2292788</v>
      </c>
      <c r="Q85" s="157">
        <v>2886896</v>
      </c>
      <c r="R85" s="158">
        <v>2296298</v>
      </c>
      <c r="S85" s="157">
        <v>31060</v>
      </c>
      <c r="T85" s="158">
        <v>-247081</v>
      </c>
      <c r="U85" s="157">
        <v>836484</v>
      </c>
      <c r="V85" s="158">
        <v>-243571</v>
      </c>
      <c r="W85" s="157">
        <v>80121.600000000093</v>
      </c>
      <c r="X85" s="158">
        <v>721330.8</v>
      </c>
      <c r="Y85" s="157">
        <v>0</v>
      </c>
      <c r="Z85" s="158">
        <v>0</v>
      </c>
      <c r="AA85" s="157">
        <v>2455195.35</v>
      </c>
      <c r="AB85" s="158">
        <v>1433261.0199999998</v>
      </c>
      <c r="AC85" s="157">
        <v>0</v>
      </c>
      <c r="AD85" s="158">
        <v>0</v>
      </c>
      <c r="AE85" s="154">
        <v>3.8179946998028232E-3</v>
      </c>
      <c r="AF85" s="156">
        <v>2.7517326344111352E-2</v>
      </c>
      <c r="AG85" s="154">
        <v>0</v>
      </c>
      <c r="AH85" s="156">
        <v>0</v>
      </c>
    </row>
    <row r="86" spans="1:34" x14ac:dyDescent="0.2">
      <c r="A86" s="152">
        <v>5902</v>
      </c>
      <c r="B86" s="153" t="s">
        <v>122</v>
      </c>
      <c r="C86" s="157">
        <v>0</v>
      </c>
      <c r="D86" s="158">
        <v>0</v>
      </c>
      <c r="E86" s="157">
        <v>1105721</v>
      </c>
      <c r="F86" s="158">
        <v>819728</v>
      </c>
      <c r="G86" s="157">
        <v>1235821</v>
      </c>
      <c r="H86" s="158">
        <v>721213</v>
      </c>
      <c r="I86" s="157">
        <v>0</v>
      </c>
      <c r="J86" s="158">
        <v>0</v>
      </c>
      <c r="K86" s="157">
        <v>130100</v>
      </c>
      <c r="L86" s="158">
        <v>-98515</v>
      </c>
      <c r="M86" s="157">
        <v>0</v>
      </c>
      <c r="N86" s="158">
        <v>0</v>
      </c>
      <c r="O86" s="157">
        <v>1131662</v>
      </c>
      <c r="P86" s="158">
        <v>1491716</v>
      </c>
      <c r="Q86" s="157">
        <v>1583166</v>
      </c>
      <c r="R86" s="158">
        <v>1116403</v>
      </c>
      <c r="S86" s="157">
        <v>-256991</v>
      </c>
      <c r="T86" s="158">
        <v>163989</v>
      </c>
      <c r="U86" s="157">
        <v>194513</v>
      </c>
      <c r="V86" s="158">
        <v>-211324</v>
      </c>
      <c r="W86" s="157">
        <v>55440</v>
      </c>
      <c r="X86" s="158">
        <v>16688.310000000056</v>
      </c>
      <c r="Y86" s="157">
        <v>0</v>
      </c>
      <c r="Z86" s="158">
        <v>0</v>
      </c>
      <c r="AA86" s="157">
        <v>1571997.3599999999</v>
      </c>
      <c r="AB86" s="158">
        <v>1667167.15</v>
      </c>
      <c r="AC86" s="157">
        <v>0</v>
      </c>
      <c r="AD86" s="158">
        <v>0</v>
      </c>
      <c r="AE86" s="154">
        <v>3.5486253525342298E-3</v>
      </c>
      <c r="AF86" s="156">
        <v>6.9649226998924716E-4</v>
      </c>
      <c r="AG86" s="154">
        <v>0</v>
      </c>
      <c r="AH86" s="156">
        <v>0</v>
      </c>
    </row>
    <row r="87" spans="1:34" x14ac:dyDescent="0.2">
      <c r="A87" s="152">
        <v>5903</v>
      </c>
      <c r="B87" s="153" t="s">
        <v>123</v>
      </c>
      <c r="C87" s="157">
        <v>1</v>
      </c>
      <c r="D87" s="158">
        <v>0</v>
      </c>
      <c r="E87" s="157">
        <v>879519</v>
      </c>
      <c r="F87" s="158">
        <v>306080</v>
      </c>
      <c r="G87" s="157">
        <v>1020612</v>
      </c>
      <c r="H87" s="158">
        <v>135694</v>
      </c>
      <c r="I87" s="157">
        <v>-5400</v>
      </c>
      <c r="J87" s="158">
        <v>34694</v>
      </c>
      <c r="K87" s="157">
        <v>135694</v>
      </c>
      <c r="L87" s="158">
        <v>-135692</v>
      </c>
      <c r="M87" s="157">
        <v>55</v>
      </c>
      <c r="N87" s="158">
        <v>43</v>
      </c>
      <c r="O87" s="157">
        <v>2715478</v>
      </c>
      <c r="P87" s="158">
        <v>3315766</v>
      </c>
      <c r="Q87" s="157">
        <v>2062896</v>
      </c>
      <c r="R87" s="158">
        <v>3407539</v>
      </c>
      <c r="S87" s="157">
        <v>354666</v>
      </c>
      <c r="T87" s="158">
        <v>-393175</v>
      </c>
      <c r="U87" s="157">
        <v>-297861</v>
      </c>
      <c r="V87" s="158">
        <v>-301359</v>
      </c>
      <c r="W87" s="157">
        <v>109291.30000000016</v>
      </c>
      <c r="X87" s="158">
        <v>241364.52999999988</v>
      </c>
      <c r="Y87" s="157">
        <v>0</v>
      </c>
      <c r="Z87" s="158">
        <v>0</v>
      </c>
      <c r="AA87" s="157">
        <v>3747493.5999999996</v>
      </c>
      <c r="AB87" s="158">
        <v>2274823.1</v>
      </c>
      <c r="AC87" s="157">
        <v>0</v>
      </c>
      <c r="AD87" s="158">
        <v>0</v>
      </c>
      <c r="AE87" s="154">
        <v>2.9072819777262704E-3</v>
      </c>
      <c r="AF87" s="156">
        <v>5.4141847632590279E-3</v>
      </c>
      <c r="AG87" s="154">
        <v>0</v>
      </c>
      <c r="AH87" s="156">
        <v>0</v>
      </c>
    </row>
    <row r="88" spans="1:34" x14ac:dyDescent="0.2">
      <c r="A88" s="152">
        <v>5904</v>
      </c>
      <c r="B88" s="153" t="s">
        <v>124</v>
      </c>
      <c r="C88" s="157">
        <v>0</v>
      </c>
      <c r="D88" s="158">
        <v>0</v>
      </c>
      <c r="E88" s="157">
        <v>107371</v>
      </c>
      <c r="F88" s="158">
        <v>416524</v>
      </c>
      <c r="G88" s="157">
        <v>181058</v>
      </c>
      <c r="H88" s="158">
        <v>272296</v>
      </c>
      <c r="I88" s="157">
        <v>-73687</v>
      </c>
      <c r="J88" s="158">
        <v>144228</v>
      </c>
      <c r="K88" s="157">
        <v>0</v>
      </c>
      <c r="L88" s="158">
        <v>0</v>
      </c>
      <c r="M88" s="157">
        <v>0</v>
      </c>
      <c r="N88" s="158">
        <v>0</v>
      </c>
      <c r="O88" s="157">
        <v>2131307</v>
      </c>
      <c r="P88" s="158">
        <v>4420956</v>
      </c>
      <c r="Q88" s="157">
        <v>2417453</v>
      </c>
      <c r="R88" s="158">
        <v>4579998</v>
      </c>
      <c r="S88" s="157">
        <v>-192368</v>
      </c>
      <c r="T88" s="158">
        <v>-105109</v>
      </c>
      <c r="U88" s="157">
        <v>93778</v>
      </c>
      <c r="V88" s="158">
        <v>53933</v>
      </c>
      <c r="W88" s="157">
        <v>0</v>
      </c>
      <c r="X88" s="158">
        <v>81257.329999999842</v>
      </c>
      <c r="Y88" s="157">
        <v>0</v>
      </c>
      <c r="Z88" s="158">
        <v>0</v>
      </c>
      <c r="AA88" s="157">
        <v>182134.92999999993</v>
      </c>
      <c r="AB88" s="158">
        <v>3792267.7699999996</v>
      </c>
      <c r="AC88" s="157">
        <v>0</v>
      </c>
      <c r="AD88" s="158">
        <v>0</v>
      </c>
      <c r="AE88" s="154">
        <v>0</v>
      </c>
      <c r="AF88" s="156">
        <v>1.6991935466163816E-3</v>
      </c>
      <c r="AG88" s="154">
        <v>0</v>
      </c>
      <c r="AH88" s="156">
        <v>0</v>
      </c>
    </row>
    <row r="89" spans="1:34" x14ac:dyDescent="0.2">
      <c r="A89" s="152">
        <v>5905</v>
      </c>
      <c r="B89" s="153" t="s">
        <v>120</v>
      </c>
      <c r="C89" s="157">
        <v>0</v>
      </c>
      <c r="D89" s="158">
        <v>0</v>
      </c>
      <c r="E89" s="157">
        <v>0</v>
      </c>
      <c r="F89" s="158">
        <v>889084</v>
      </c>
      <c r="G89" s="157">
        <v>0</v>
      </c>
      <c r="H89" s="158">
        <v>240000</v>
      </c>
      <c r="I89" s="157">
        <v>0</v>
      </c>
      <c r="J89" s="158">
        <v>649506</v>
      </c>
      <c r="K89" s="157">
        <v>0</v>
      </c>
      <c r="L89" s="158">
        <v>422</v>
      </c>
      <c r="M89" s="157">
        <v>85</v>
      </c>
      <c r="N89" s="158">
        <v>0</v>
      </c>
      <c r="O89" s="157">
        <v>15348465</v>
      </c>
      <c r="P89" s="158">
        <v>6408995</v>
      </c>
      <c r="Q89" s="157">
        <v>12855924</v>
      </c>
      <c r="R89" s="158">
        <v>11474795</v>
      </c>
      <c r="S89" s="157">
        <v>2629437</v>
      </c>
      <c r="T89" s="158">
        <v>-3071631</v>
      </c>
      <c r="U89" s="157">
        <v>136981</v>
      </c>
      <c r="V89" s="158">
        <v>1994169</v>
      </c>
      <c r="W89" s="157">
        <v>104.41999999992549</v>
      </c>
      <c r="X89" s="158">
        <v>918417.06999999983</v>
      </c>
      <c r="Y89" s="157">
        <v>0</v>
      </c>
      <c r="Z89" s="158">
        <v>0</v>
      </c>
      <c r="AA89" s="157">
        <v>3881236.2800000012</v>
      </c>
      <c r="AB89" s="158">
        <v>6655935.3100000005</v>
      </c>
      <c r="AC89" s="157">
        <v>0</v>
      </c>
      <c r="AD89" s="158">
        <v>701231</v>
      </c>
      <c r="AE89" s="154">
        <v>9.0032624539749372E-7</v>
      </c>
      <c r="AF89" s="156">
        <v>5.7009333298481141E-3</v>
      </c>
      <c r="AG89" s="154">
        <v>0</v>
      </c>
      <c r="AH89" s="156">
        <v>4.3527840568367525E-3</v>
      </c>
    </row>
    <row r="90" spans="1:34" x14ac:dyDescent="0.2">
      <c r="A90" s="152">
        <v>5906</v>
      </c>
      <c r="B90" s="153" t="s">
        <v>125</v>
      </c>
      <c r="C90" s="157">
        <v>0</v>
      </c>
      <c r="D90" s="158">
        <v>0</v>
      </c>
      <c r="E90" s="157">
        <v>685126</v>
      </c>
      <c r="F90" s="158">
        <v>4066423</v>
      </c>
      <c r="G90" s="157">
        <v>1870430</v>
      </c>
      <c r="H90" s="158">
        <v>2867130</v>
      </c>
      <c r="I90" s="157">
        <v>2520</v>
      </c>
      <c r="J90" s="158">
        <v>11469</v>
      </c>
      <c r="K90" s="157">
        <v>1187824</v>
      </c>
      <c r="L90" s="158">
        <v>-1187824</v>
      </c>
      <c r="M90" s="157">
        <v>0</v>
      </c>
      <c r="N90" s="158">
        <v>0</v>
      </c>
      <c r="O90" s="157">
        <v>1531175</v>
      </c>
      <c r="P90" s="158">
        <v>2304185</v>
      </c>
      <c r="Q90" s="157">
        <v>1653173</v>
      </c>
      <c r="R90" s="158">
        <v>1652573</v>
      </c>
      <c r="S90" s="157">
        <v>-77527</v>
      </c>
      <c r="T90" s="158">
        <v>625988</v>
      </c>
      <c r="U90" s="157">
        <v>44471</v>
      </c>
      <c r="V90" s="158">
        <v>-25624</v>
      </c>
      <c r="W90" s="157">
        <v>66503.280000000057</v>
      </c>
      <c r="X90" s="158">
        <v>718381.17999999993</v>
      </c>
      <c r="Y90" s="157">
        <v>0</v>
      </c>
      <c r="Z90" s="158">
        <v>0</v>
      </c>
      <c r="AA90" s="157">
        <v>4330360.12</v>
      </c>
      <c r="AB90" s="158">
        <v>931458.3899999999</v>
      </c>
      <c r="AC90" s="157">
        <v>0</v>
      </c>
      <c r="AD90" s="158">
        <v>0</v>
      </c>
      <c r="AE90" s="154">
        <v>2.3463098212461197E-3</v>
      </c>
      <c r="AF90" s="156">
        <v>2.2437615999563728E-2</v>
      </c>
      <c r="AG90" s="154">
        <v>0</v>
      </c>
      <c r="AH90" s="156">
        <v>0</v>
      </c>
    </row>
    <row r="91" spans="1:34" x14ac:dyDescent="0.2">
      <c r="A91" s="152">
        <v>5907</v>
      </c>
      <c r="B91" s="153" t="s">
        <v>126</v>
      </c>
      <c r="C91" s="157">
        <v>0</v>
      </c>
      <c r="D91" s="158">
        <v>0</v>
      </c>
      <c r="E91" s="157">
        <v>49135</v>
      </c>
      <c r="F91" s="158">
        <v>411240</v>
      </c>
      <c r="G91" s="157">
        <v>49135</v>
      </c>
      <c r="H91" s="158">
        <v>411240</v>
      </c>
      <c r="I91" s="157">
        <v>0</v>
      </c>
      <c r="J91" s="158">
        <v>0</v>
      </c>
      <c r="K91" s="157">
        <v>0</v>
      </c>
      <c r="L91" s="158">
        <v>0</v>
      </c>
      <c r="M91" s="157">
        <v>0</v>
      </c>
      <c r="N91" s="158">
        <v>0</v>
      </c>
      <c r="O91" s="157">
        <v>1176093</v>
      </c>
      <c r="P91" s="158">
        <v>2203324</v>
      </c>
      <c r="Q91" s="157">
        <v>1103723</v>
      </c>
      <c r="R91" s="158">
        <v>2178875</v>
      </c>
      <c r="S91" s="157">
        <v>0</v>
      </c>
      <c r="T91" s="158">
        <v>0</v>
      </c>
      <c r="U91" s="157">
        <v>-72370</v>
      </c>
      <c r="V91" s="158">
        <v>-24449</v>
      </c>
      <c r="W91" s="157">
        <v>103488</v>
      </c>
      <c r="X91" s="158">
        <v>229462</v>
      </c>
      <c r="Y91" s="157">
        <v>8230.7900000000009</v>
      </c>
      <c r="Z91" s="158">
        <v>0</v>
      </c>
      <c r="AA91" s="157">
        <v>2096428.5699999998</v>
      </c>
      <c r="AB91" s="158">
        <v>1298068.5</v>
      </c>
      <c r="AC91" s="157">
        <v>0</v>
      </c>
      <c r="AD91" s="158">
        <v>0</v>
      </c>
      <c r="AE91" s="154">
        <v>6.0631459354020222E-3</v>
      </c>
      <c r="AF91" s="156">
        <v>1.1014413030168408E-2</v>
      </c>
      <c r="AG91" s="154">
        <v>0</v>
      </c>
      <c r="AH91" s="156">
        <v>0</v>
      </c>
    </row>
    <row r="92" spans="1:34" x14ac:dyDescent="0.2">
      <c r="A92" s="152">
        <v>6001</v>
      </c>
      <c r="B92" s="153" t="s">
        <v>128</v>
      </c>
      <c r="C92" s="157">
        <v>0</v>
      </c>
      <c r="D92" s="158">
        <v>0</v>
      </c>
      <c r="E92" s="157">
        <v>0</v>
      </c>
      <c r="F92" s="158">
        <v>0</v>
      </c>
      <c r="G92" s="157">
        <v>0</v>
      </c>
      <c r="H92" s="158">
        <v>0</v>
      </c>
      <c r="I92" s="157">
        <v>0</v>
      </c>
      <c r="J92" s="158">
        <v>0</v>
      </c>
      <c r="K92" s="157">
        <v>0</v>
      </c>
      <c r="L92" s="158">
        <v>0</v>
      </c>
      <c r="M92" s="157">
        <v>0</v>
      </c>
      <c r="N92" s="158">
        <v>0</v>
      </c>
      <c r="O92" s="157">
        <v>276599</v>
      </c>
      <c r="P92" s="158">
        <v>1434084</v>
      </c>
      <c r="Q92" s="157">
        <v>246829</v>
      </c>
      <c r="R92" s="158">
        <v>1443669</v>
      </c>
      <c r="S92" s="157">
        <v>50533</v>
      </c>
      <c r="T92" s="158">
        <v>-13136</v>
      </c>
      <c r="U92" s="157">
        <v>20763</v>
      </c>
      <c r="V92" s="158">
        <v>-3551</v>
      </c>
      <c r="W92" s="157">
        <v>0</v>
      </c>
      <c r="X92" s="158">
        <v>773757.08</v>
      </c>
      <c r="Y92" s="157">
        <v>0</v>
      </c>
      <c r="Z92" s="158">
        <v>0</v>
      </c>
      <c r="AA92" s="157">
        <v>182611.14</v>
      </c>
      <c r="AB92" s="158">
        <v>7448115.709999999</v>
      </c>
      <c r="AC92" s="157">
        <v>0</v>
      </c>
      <c r="AD92" s="158">
        <v>0</v>
      </c>
      <c r="AE92" s="154">
        <v>0</v>
      </c>
      <c r="AF92" s="156">
        <v>4.63943248282946E-2</v>
      </c>
      <c r="AG92" s="154">
        <v>0</v>
      </c>
      <c r="AH92" s="156">
        <v>0</v>
      </c>
    </row>
    <row r="93" spans="1:34" x14ac:dyDescent="0.2">
      <c r="A93" s="152">
        <v>6002</v>
      </c>
      <c r="B93" s="153" t="s">
        <v>129</v>
      </c>
      <c r="C93" s="157">
        <v>0</v>
      </c>
      <c r="D93" s="158">
        <v>0</v>
      </c>
      <c r="E93" s="157">
        <v>0</v>
      </c>
      <c r="F93" s="158">
        <v>0</v>
      </c>
      <c r="G93" s="157">
        <v>0</v>
      </c>
      <c r="H93" s="158">
        <v>0</v>
      </c>
      <c r="I93" s="157">
        <v>0</v>
      </c>
      <c r="J93" s="158">
        <v>0</v>
      </c>
      <c r="K93" s="157">
        <v>0</v>
      </c>
      <c r="L93" s="158">
        <v>0</v>
      </c>
      <c r="M93" s="157">
        <v>0</v>
      </c>
      <c r="N93" s="158">
        <v>0</v>
      </c>
      <c r="O93" s="157">
        <v>232886</v>
      </c>
      <c r="P93" s="158">
        <v>198754</v>
      </c>
      <c r="Q93" s="157">
        <v>458159</v>
      </c>
      <c r="R93" s="158">
        <v>246370</v>
      </c>
      <c r="S93" s="157">
        <v>0</v>
      </c>
      <c r="T93" s="158">
        <v>0</v>
      </c>
      <c r="U93" s="157">
        <v>225273</v>
      </c>
      <c r="V93" s="158">
        <v>47616</v>
      </c>
      <c r="W93" s="157">
        <v>0</v>
      </c>
      <c r="X93" s="158">
        <v>0</v>
      </c>
      <c r="Y93" s="157">
        <v>0</v>
      </c>
      <c r="Z93" s="158">
        <v>0</v>
      </c>
      <c r="AA93" s="157">
        <v>840</v>
      </c>
      <c r="AB93" s="158">
        <v>138177.13</v>
      </c>
      <c r="AC93" s="157">
        <v>0</v>
      </c>
      <c r="AD93" s="158">
        <v>0</v>
      </c>
      <c r="AE93" s="154">
        <v>0</v>
      </c>
      <c r="AF93" s="156">
        <v>0</v>
      </c>
      <c r="AG93" s="154">
        <v>0</v>
      </c>
      <c r="AH93" s="156">
        <v>0</v>
      </c>
    </row>
    <row r="94" spans="1:34" x14ac:dyDescent="0.2">
      <c r="A94" s="152">
        <v>6003</v>
      </c>
      <c r="B94" s="153" t="s">
        <v>130</v>
      </c>
      <c r="C94" s="157">
        <v>0</v>
      </c>
      <c r="D94" s="158">
        <v>0</v>
      </c>
      <c r="E94" s="157">
        <v>0</v>
      </c>
      <c r="F94" s="158">
        <v>0</v>
      </c>
      <c r="G94" s="157">
        <v>0</v>
      </c>
      <c r="H94" s="158">
        <v>0</v>
      </c>
      <c r="I94" s="157">
        <v>0</v>
      </c>
      <c r="J94" s="158">
        <v>0</v>
      </c>
      <c r="K94" s="157">
        <v>0</v>
      </c>
      <c r="L94" s="158">
        <v>0</v>
      </c>
      <c r="M94" s="157">
        <v>0</v>
      </c>
      <c r="N94" s="158">
        <v>11950</v>
      </c>
      <c r="O94" s="157">
        <v>17761232</v>
      </c>
      <c r="P94" s="158">
        <v>2850664</v>
      </c>
      <c r="Q94" s="157">
        <v>9870791</v>
      </c>
      <c r="R94" s="158">
        <v>11497262</v>
      </c>
      <c r="S94" s="157">
        <v>9799573</v>
      </c>
      <c r="T94" s="158">
        <v>-10414003</v>
      </c>
      <c r="U94" s="157">
        <v>1909132</v>
      </c>
      <c r="V94" s="158">
        <v>-1755455</v>
      </c>
      <c r="W94" s="157">
        <v>403001.66000000015</v>
      </c>
      <c r="X94" s="158">
        <v>60665.510000000009</v>
      </c>
      <c r="Y94" s="157">
        <v>0</v>
      </c>
      <c r="Z94" s="158">
        <v>0</v>
      </c>
      <c r="AA94" s="157">
        <v>2037905.83</v>
      </c>
      <c r="AB94" s="158">
        <v>1653215.4799999997</v>
      </c>
      <c r="AC94" s="157">
        <v>0</v>
      </c>
      <c r="AD94" s="158">
        <v>0</v>
      </c>
      <c r="AE94" s="154">
        <v>7.1188736779970434E-3</v>
      </c>
      <c r="AF94" s="156">
        <v>8.5517348260210604E-4</v>
      </c>
      <c r="AG94" s="154">
        <v>0</v>
      </c>
      <c r="AH94" s="156">
        <v>0</v>
      </c>
    </row>
    <row r="95" spans="1:34" x14ac:dyDescent="0.2">
      <c r="A95" s="152">
        <v>6004</v>
      </c>
      <c r="B95" s="153" t="s">
        <v>131</v>
      </c>
      <c r="C95" s="157">
        <v>0</v>
      </c>
      <c r="D95" s="158">
        <v>0</v>
      </c>
      <c r="E95" s="157">
        <v>0</v>
      </c>
      <c r="F95" s="158">
        <v>0</v>
      </c>
      <c r="G95" s="157">
        <v>0</v>
      </c>
      <c r="H95" s="158">
        <v>0</v>
      </c>
      <c r="I95" s="157">
        <v>0</v>
      </c>
      <c r="J95" s="158">
        <v>0</v>
      </c>
      <c r="K95" s="157">
        <v>0</v>
      </c>
      <c r="L95" s="158">
        <v>0</v>
      </c>
      <c r="M95" s="157">
        <v>0</v>
      </c>
      <c r="N95" s="158">
        <v>-194</v>
      </c>
      <c r="O95" s="157">
        <v>4629078</v>
      </c>
      <c r="P95" s="158">
        <v>572244</v>
      </c>
      <c r="Q95" s="157">
        <v>4765043</v>
      </c>
      <c r="R95" s="158">
        <v>1059924</v>
      </c>
      <c r="S95" s="157">
        <v>-39795</v>
      </c>
      <c r="T95" s="158">
        <v>16691</v>
      </c>
      <c r="U95" s="157">
        <v>96170</v>
      </c>
      <c r="V95" s="158">
        <v>504177</v>
      </c>
      <c r="W95" s="157">
        <v>6026.2399999992922</v>
      </c>
      <c r="X95" s="158">
        <v>68879.88</v>
      </c>
      <c r="Y95" s="157">
        <v>0</v>
      </c>
      <c r="Z95" s="158">
        <v>0</v>
      </c>
      <c r="AA95" s="157">
        <v>322113.74999999919</v>
      </c>
      <c r="AB95" s="158">
        <v>3241021.64</v>
      </c>
      <c r="AC95" s="157">
        <v>0</v>
      </c>
      <c r="AD95" s="158">
        <v>0</v>
      </c>
      <c r="AE95" s="154">
        <v>6.7559569954378279E-4</v>
      </c>
      <c r="AF95" s="156">
        <v>5.0537241602406071E-3</v>
      </c>
      <c r="AG95" s="154">
        <v>0</v>
      </c>
      <c r="AH95" s="156">
        <v>0</v>
      </c>
    </row>
    <row r="96" spans="1:34" x14ac:dyDescent="0.2">
      <c r="A96" s="152">
        <v>6005</v>
      </c>
      <c r="B96" s="153" t="s">
        <v>127</v>
      </c>
      <c r="C96" s="157">
        <v>0</v>
      </c>
      <c r="D96" s="158">
        <v>0</v>
      </c>
      <c r="E96" s="157">
        <v>0</v>
      </c>
      <c r="F96" s="158">
        <v>0</v>
      </c>
      <c r="G96" s="157">
        <v>0</v>
      </c>
      <c r="H96" s="158">
        <v>0</v>
      </c>
      <c r="I96" s="157">
        <v>0</v>
      </c>
      <c r="J96" s="158">
        <v>0</v>
      </c>
      <c r="K96" s="157">
        <v>0</v>
      </c>
      <c r="L96" s="158">
        <v>0</v>
      </c>
      <c r="M96" s="157">
        <v>125</v>
      </c>
      <c r="N96" s="158">
        <v>62</v>
      </c>
      <c r="O96" s="157">
        <v>9753070</v>
      </c>
      <c r="P96" s="158">
        <v>6880733</v>
      </c>
      <c r="Q96" s="157">
        <v>9672965</v>
      </c>
      <c r="R96" s="158">
        <v>7763303</v>
      </c>
      <c r="S96" s="157">
        <v>192316</v>
      </c>
      <c r="T96" s="158">
        <v>-602534</v>
      </c>
      <c r="U96" s="157">
        <v>112336</v>
      </c>
      <c r="V96" s="158">
        <v>280098</v>
      </c>
      <c r="W96" s="157">
        <v>23794.469999999739</v>
      </c>
      <c r="X96" s="158">
        <v>27337.910000000149</v>
      </c>
      <c r="Y96" s="157">
        <v>0</v>
      </c>
      <c r="Z96" s="158">
        <v>0</v>
      </c>
      <c r="AA96" s="157">
        <v>91548.039999999426</v>
      </c>
      <c r="AB96" s="158">
        <v>6142805.6800000006</v>
      </c>
      <c r="AC96" s="157">
        <v>0</v>
      </c>
      <c r="AD96" s="158">
        <v>0</v>
      </c>
      <c r="AE96" s="154">
        <v>2.6467702676817801E-4</v>
      </c>
      <c r="AF96" s="156">
        <v>2.4901404441830328E-4</v>
      </c>
      <c r="AG96" s="154">
        <v>0</v>
      </c>
      <c r="AH96" s="156">
        <v>0</v>
      </c>
    </row>
    <row r="97" spans="1:34" x14ac:dyDescent="0.2">
      <c r="A97" s="152">
        <v>6006</v>
      </c>
      <c r="B97" s="153" t="s">
        <v>132</v>
      </c>
      <c r="C97" s="157">
        <v>0</v>
      </c>
      <c r="D97" s="158">
        <v>0</v>
      </c>
      <c r="E97" s="157">
        <v>0</v>
      </c>
      <c r="F97" s="158">
        <v>0</v>
      </c>
      <c r="G97" s="157">
        <v>0</v>
      </c>
      <c r="H97" s="158">
        <v>0</v>
      </c>
      <c r="I97" s="157">
        <v>0</v>
      </c>
      <c r="J97" s="158">
        <v>0</v>
      </c>
      <c r="K97" s="157">
        <v>0</v>
      </c>
      <c r="L97" s="158">
        <v>0</v>
      </c>
      <c r="M97" s="157">
        <v>0</v>
      </c>
      <c r="N97" s="158">
        <v>0</v>
      </c>
      <c r="O97" s="157">
        <v>0</v>
      </c>
      <c r="P97" s="158">
        <v>0</v>
      </c>
      <c r="Q97" s="157">
        <v>0</v>
      </c>
      <c r="R97" s="158">
        <v>103819</v>
      </c>
      <c r="S97" s="157">
        <v>0</v>
      </c>
      <c r="T97" s="158">
        <v>0</v>
      </c>
      <c r="U97" s="157">
        <v>0</v>
      </c>
      <c r="V97" s="158">
        <v>103819</v>
      </c>
      <c r="W97" s="157">
        <v>8.0099999999802094</v>
      </c>
      <c r="X97" s="158">
        <v>838.01000000000522</v>
      </c>
      <c r="Y97" s="157">
        <v>0</v>
      </c>
      <c r="Z97" s="158">
        <v>0</v>
      </c>
      <c r="AA97" s="157">
        <v>0</v>
      </c>
      <c r="AB97" s="158">
        <v>92852.619999999981</v>
      </c>
      <c r="AC97" s="157">
        <v>0</v>
      </c>
      <c r="AD97" s="158">
        <v>0</v>
      </c>
      <c r="AE97" s="154">
        <v>1.2892777002730676E-6</v>
      </c>
      <c r="AF97" s="156">
        <v>1.1912620972786173E-4</v>
      </c>
      <c r="AG97" s="154">
        <v>0</v>
      </c>
      <c r="AH97" s="156">
        <v>0</v>
      </c>
    </row>
    <row r="98" spans="1:34" x14ac:dyDescent="0.2">
      <c r="A98" s="152">
        <v>6007</v>
      </c>
      <c r="B98" s="153" t="s">
        <v>133</v>
      </c>
      <c r="C98" s="157">
        <v>0</v>
      </c>
      <c r="D98" s="158">
        <v>0</v>
      </c>
      <c r="E98" s="157">
        <v>0</v>
      </c>
      <c r="F98" s="158">
        <v>0</v>
      </c>
      <c r="G98" s="157">
        <v>0</v>
      </c>
      <c r="H98" s="158">
        <v>0</v>
      </c>
      <c r="I98" s="157">
        <v>0</v>
      </c>
      <c r="J98" s="158">
        <v>0</v>
      </c>
      <c r="K98" s="157">
        <v>0</v>
      </c>
      <c r="L98" s="158">
        <v>0</v>
      </c>
      <c r="M98" s="157">
        <v>0</v>
      </c>
      <c r="N98" s="158">
        <v>0</v>
      </c>
      <c r="O98" s="157">
        <v>489508</v>
      </c>
      <c r="P98" s="158">
        <v>276135</v>
      </c>
      <c r="Q98" s="157">
        <v>520004</v>
      </c>
      <c r="R98" s="158">
        <v>278232</v>
      </c>
      <c r="S98" s="157">
        <v>-22025</v>
      </c>
      <c r="T98" s="158">
        <v>-11123</v>
      </c>
      <c r="U98" s="157">
        <v>8471</v>
      </c>
      <c r="V98" s="158">
        <v>-9026</v>
      </c>
      <c r="W98" s="157">
        <v>7335.8800000000047</v>
      </c>
      <c r="X98" s="158">
        <v>31686.399999999994</v>
      </c>
      <c r="Y98" s="157">
        <v>0</v>
      </c>
      <c r="Z98" s="158">
        <v>0</v>
      </c>
      <c r="AA98" s="157">
        <v>332777.21000000002</v>
      </c>
      <c r="AB98" s="158">
        <v>113193.04</v>
      </c>
      <c r="AC98" s="157">
        <v>0</v>
      </c>
      <c r="AD98" s="158">
        <v>0</v>
      </c>
      <c r="AE98" s="154">
        <v>1.2526236200595185E-3</v>
      </c>
      <c r="AF98" s="156">
        <v>4.994936712053399E-3</v>
      </c>
      <c r="AG98" s="154">
        <v>0</v>
      </c>
      <c r="AH98" s="156">
        <v>0</v>
      </c>
    </row>
    <row r="99" spans="1:34" x14ac:dyDescent="0.2">
      <c r="A99" s="152">
        <v>6008</v>
      </c>
      <c r="B99" s="153" t="s">
        <v>134</v>
      </c>
      <c r="C99" s="157">
        <v>0</v>
      </c>
      <c r="D99" s="158">
        <v>0</v>
      </c>
      <c r="E99" s="157">
        <v>0</v>
      </c>
      <c r="F99" s="158">
        <v>0</v>
      </c>
      <c r="G99" s="157">
        <v>0</v>
      </c>
      <c r="H99" s="158">
        <v>0</v>
      </c>
      <c r="I99" s="157">
        <v>0</v>
      </c>
      <c r="J99" s="158">
        <v>0</v>
      </c>
      <c r="K99" s="157">
        <v>0</v>
      </c>
      <c r="L99" s="158">
        <v>0</v>
      </c>
      <c r="M99" s="157">
        <v>0</v>
      </c>
      <c r="N99" s="158">
        <v>0</v>
      </c>
      <c r="O99" s="157">
        <v>288998</v>
      </c>
      <c r="P99" s="158">
        <v>359686</v>
      </c>
      <c r="Q99" s="157">
        <v>290023</v>
      </c>
      <c r="R99" s="158">
        <v>332927</v>
      </c>
      <c r="S99" s="157">
        <v>35710</v>
      </c>
      <c r="T99" s="158">
        <v>-19100</v>
      </c>
      <c r="U99" s="157">
        <v>36735</v>
      </c>
      <c r="V99" s="158">
        <v>-45859</v>
      </c>
      <c r="W99" s="157">
        <v>7726.359999999996</v>
      </c>
      <c r="X99" s="158">
        <v>8921.09</v>
      </c>
      <c r="Y99" s="157">
        <v>0</v>
      </c>
      <c r="Z99" s="158">
        <v>0</v>
      </c>
      <c r="AA99" s="157">
        <v>659653.68000000005</v>
      </c>
      <c r="AB99" s="158">
        <v>659653.68000000005</v>
      </c>
      <c r="AC99" s="157">
        <v>2501</v>
      </c>
      <c r="AD99" s="158">
        <v>2501</v>
      </c>
      <c r="AE99" s="154">
        <v>5.4359734638919277E-4</v>
      </c>
      <c r="AF99" s="156">
        <v>5.3190478302844366E-4</v>
      </c>
      <c r="AG99" s="154">
        <v>1.759608616889935E-4</v>
      </c>
      <c r="AH99" s="156">
        <v>1.4911786142210622E-4</v>
      </c>
    </row>
    <row r="100" spans="1:34" x14ac:dyDescent="0.2">
      <c r="A100" s="152">
        <v>6009</v>
      </c>
      <c r="B100" s="153" t="s">
        <v>135</v>
      </c>
      <c r="C100" s="157">
        <v>0</v>
      </c>
      <c r="D100" s="158">
        <v>0</v>
      </c>
      <c r="E100" s="157">
        <v>0</v>
      </c>
      <c r="F100" s="158">
        <v>0</v>
      </c>
      <c r="G100" s="157">
        <v>0</v>
      </c>
      <c r="H100" s="158">
        <v>0</v>
      </c>
      <c r="I100" s="157">
        <v>0</v>
      </c>
      <c r="J100" s="158">
        <v>0</v>
      </c>
      <c r="K100" s="157">
        <v>0</v>
      </c>
      <c r="L100" s="158">
        <v>0</v>
      </c>
      <c r="M100" s="157">
        <v>0</v>
      </c>
      <c r="N100" s="158">
        <v>0</v>
      </c>
      <c r="O100" s="157">
        <v>0</v>
      </c>
      <c r="P100" s="158">
        <v>0</v>
      </c>
      <c r="Q100" s="157">
        <v>0</v>
      </c>
      <c r="R100" s="158">
        <v>10083</v>
      </c>
      <c r="S100" s="157">
        <v>0</v>
      </c>
      <c r="T100" s="158">
        <v>0</v>
      </c>
      <c r="U100" s="157">
        <v>0</v>
      </c>
      <c r="V100" s="158">
        <v>10083</v>
      </c>
      <c r="W100" s="157">
        <v>0</v>
      </c>
      <c r="X100" s="158">
        <v>0</v>
      </c>
      <c r="Y100" s="157">
        <v>0</v>
      </c>
      <c r="Z100" s="158">
        <v>0</v>
      </c>
      <c r="AA100" s="157">
        <v>0</v>
      </c>
      <c r="AB100" s="158">
        <v>0</v>
      </c>
      <c r="AC100" s="157">
        <v>0</v>
      </c>
      <c r="AD100" s="158">
        <v>0</v>
      </c>
      <c r="AE100" s="154">
        <v>0</v>
      </c>
      <c r="AF100" s="156">
        <v>0</v>
      </c>
      <c r="AG100" s="154">
        <v>0</v>
      </c>
      <c r="AH100" s="156">
        <v>0</v>
      </c>
    </row>
    <row r="101" spans="1:34" x14ac:dyDescent="0.2">
      <c r="A101" s="152">
        <v>6101</v>
      </c>
      <c r="B101" s="153" t="s">
        <v>137</v>
      </c>
      <c r="C101" s="157">
        <v>0</v>
      </c>
      <c r="D101" s="158">
        <v>0</v>
      </c>
      <c r="E101" s="157">
        <v>422891</v>
      </c>
      <c r="F101" s="158">
        <v>117991</v>
      </c>
      <c r="G101" s="157">
        <v>440425</v>
      </c>
      <c r="H101" s="158">
        <v>80306</v>
      </c>
      <c r="I101" s="157">
        <v>-23306</v>
      </c>
      <c r="J101" s="158">
        <v>71297</v>
      </c>
      <c r="K101" s="157">
        <v>-5772</v>
      </c>
      <c r="L101" s="158">
        <v>33612</v>
      </c>
      <c r="M101" s="157">
        <v>0</v>
      </c>
      <c r="N101" s="158">
        <v>0</v>
      </c>
      <c r="O101" s="157">
        <v>167081</v>
      </c>
      <c r="P101" s="158">
        <v>1707671</v>
      </c>
      <c r="Q101" s="157">
        <v>163541</v>
      </c>
      <c r="R101" s="158">
        <v>2239825</v>
      </c>
      <c r="S101" s="157">
        <v>7412</v>
      </c>
      <c r="T101" s="158">
        <v>40752</v>
      </c>
      <c r="U101" s="157">
        <v>3872</v>
      </c>
      <c r="V101" s="158">
        <v>572906</v>
      </c>
      <c r="W101" s="157">
        <v>3714.9099999999962</v>
      </c>
      <c r="X101" s="158">
        <v>7711.8600000001024</v>
      </c>
      <c r="Y101" s="157">
        <v>0</v>
      </c>
      <c r="Z101" s="158">
        <v>0</v>
      </c>
      <c r="AA101" s="157">
        <v>2603830.15</v>
      </c>
      <c r="AB101" s="158">
        <v>9206381.3099999987</v>
      </c>
      <c r="AC101" s="157">
        <v>0</v>
      </c>
      <c r="AD101" s="158">
        <v>0</v>
      </c>
      <c r="AE101" s="154">
        <v>4.0221290668066337E-4</v>
      </c>
      <c r="AF101" s="156">
        <v>4.7625343787797221E-4</v>
      </c>
      <c r="AG101" s="154">
        <v>0</v>
      </c>
      <c r="AH101" s="156">
        <v>0</v>
      </c>
    </row>
    <row r="102" spans="1:34" x14ac:dyDescent="0.2">
      <c r="A102" s="152">
        <v>6102</v>
      </c>
      <c r="B102" s="153" t="s">
        <v>138</v>
      </c>
      <c r="C102" s="157">
        <v>0</v>
      </c>
      <c r="D102" s="158">
        <v>0</v>
      </c>
      <c r="E102" s="157">
        <v>0</v>
      </c>
      <c r="F102" s="158">
        <v>0</v>
      </c>
      <c r="G102" s="157">
        <v>0</v>
      </c>
      <c r="H102" s="158">
        <v>0</v>
      </c>
      <c r="I102" s="157">
        <v>0</v>
      </c>
      <c r="J102" s="158">
        <v>0</v>
      </c>
      <c r="K102" s="157">
        <v>0</v>
      </c>
      <c r="L102" s="158">
        <v>0</v>
      </c>
      <c r="M102" s="157">
        <v>0</v>
      </c>
      <c r="N102" s="158">
        <v>0</v>
      </c>
      <c r="O102" s="157">
        <v>213874</v>
      </c>
      <c r="P102" s="158">
        <v>243981</v>
      </c>
      <c r="Q102" s="157">
        <v>198872</v>
      </c>
      <c r="R102" s="158">
        <v>89105</v>
      </c>
      <c r="S102" s="157">
        <v>23699</v>
      </c>
      <c r="T102" s="158">
        <v>94213</v>
      </c>
      <c r="U102" s="157">
        <v>8697</v>
      </c>
      <c r="V102" s="158">
        <v>-60663</v>
      </c>
      <c r="W102" s="157">
        <v>0</v>
      </c>
      <c r="X102" s="158">
        <v>0</v>
      </c>
      <c r="Y102" s="157">
        <v>0</v>
      </c>
      <c r="Z102" s="158">
        <v>0</v>
      </c>
      <c r="AA102" s="157">
        <v>2630.820000000007</v>
      </c>
      <c r="AB102" s="158">
        <v>0</v>
      </c>
      <c r="AC102" s="157">
        <v>0</v>
      </c>
      <c r="AD102" s="158">
        <v>0</v>
      </c>
      <c r="AE102" s="154">
        <v>0</v>
      </c>
      <c r="AF102" s="156">
        <v>0</v>
      </c>
      <c r="AG102" s="154">
        <v>0</v>
      </c>
      <c r="AH102" s="156">
        <v>0</v>
      </c>
    </row>
    <row r="103" spans="1:34" x14ac:dyDescent="0.2">
      <c r="A103" s="152">
        <v>6103</v>
      </c>
      <c r="B103" s="153" t="s">
        <v>136</v>
      </c>
      <c r="C103" s="157">
        <v>0</v>
      </c>
      <c r="D103" s="158">
        <v>0</v>
      </c>
      <c r="E103" s="157">
        <v>0</v>
      </c>
      <c r="F103" s="158">
        <v>0</v>
      </c>
      <c r="G103" s="157">
        <v>0</v>
      </c>
      <c r="H103" s="158">
        <v>0</v>
      </c>
      <c r="I103" s="157">
        <v>0</v>
      </c>
      <c r="J103" s="158">
        <v>0</v>
      </c>
      <c r="K103" s="157">
        <v>0</v>
      </c>
      <c r="L103" s="158">
        <v>0</v>
      </c>
      <c r="M103" s="157">
        <v>0</v>
      </c>
      <c r="N103" s="158">
        <v>-932</v>
      </c>
      <c r="O103" s="157">
        <v>5338398</v>
      </c>
      <c r="P103" s="158">
        <v>3191323</v>
      </c>
      <c r="Q103" s="157">
        <v>4689225</v>
      </c>
      <c r="R103" s="158">
        <v>5035239</v>
      </c>
      <c r="S103" s="157">
        <v>465401</v>
      </c>
      <c r="T103" s="158">
        <v>-215947</v>
      </c>
      <c r="U103" s="157">
        <v>-183772</v>
      </c>
      <c r="V103" s="158">
        <v>1627037</v>
      </c>
      <c r="W103" s="157">
        <v>7741.570000000298</v>
      </c>
      <c r="X103" s="158">
        <v>2.3283064365386963E-10</v>
      </c>
      <c r="Y103" s="157">
        <v>0</v>
      </c>
      <c r="Z103" s="158">
        <v>0</v>
      </c>
      <c r="AA103" s="157">
        <v>2069958.77</v>
      </c>
      <c r="AB103" s="158">
        <v>5635191.9900000002</v>
      </c>
      <c r="AC103" s="157">
        <v>0</v>
      </c>
      <c r="AD103" s="158">
        <v>0</v>
      </c>
      <c r="AE103" s="154">
        <v>1.0798304613855335E-4</v>
      </c>
      <c r="AF103" s="156">
        <v>2.8927008692287963E-18</v>
      </c>
      <c r="AG103" s="154">
        <v>0</v>
      </c>
      <c r="AH103" s="156">
        <v>0</v>
      </c>
    </row>
    <row r="104" spans="1:34" x14ac:dyDescent="0.2">
      <c r="A104" s="152">
        <v>6104</v>
      </c>
      <c r="B104" s="153" t="s">
        <v>139</v>
      </c>
      <c r="C104" s="157">
        <v>0</v>
      </c>
      <c r="D104" s="158">
        <v>0</v>
      </c>
      <c r="E104" s="157">
        <v>14094</v>
      </c>
      <c r="F104" s="158">
        <v>1774198</v>
      </c>
      <c r="G104" s="157">
        <v>0</v>
      </c>
      <c r="H104" s="158">
        <v>2763228</v>
      </c>
      <c r="I104" s="157">
        <v>14094</v>
      </c>
      <c r="J104" s="158">
        <v>174563</v>
      </c>
      <c r="K104" s="157">
        <v>0</v>
      </c>
      <c r="L104" s="158">
        <v>1163593</v>
      </c>
      <c r="M104" s="157">
        <v>0</v>
      </c>
      <c r="N104" s="158">
        <v>0</v>
      </c>
      <c r="O104" s="157">
        <v>1393020</v>
      </c>
      <c r="P104" s="158">
        <v>3895836</v>
      </c>
      <c r="Q104" s="157">
        <v>1459534</v>
      </c>
      <c r="R104" s="158">
        <v>3854973</v>
      </c>
      <c r="S104" s="157">
        <v>135032</v>
      </c>
      <c r="T104" s="158">
        <v>210753</v>
      </c>
      <c r="U104" s="157">
        <v>201546</v>
      </c>
      <c r="V104" s="158">
        <v>169890</v>
      </c>
      <c r="W104" s="157">
        <v>269266.90000000002</v>
      </c>
      <c r="X104" s="158">
        <v>417479.68000000005</v>
      </c>
      <c r="Y104" s="157">
        <v>1976.55</v>
      </c>
      <c r="Z104" s="158">
        <v>0</v>
      </c>
      <c r="AA104" s="157">
        <v>208360.69</v>
      </c>
      <c r="AB104" s="158">
        <v>4142139.19</v>
      </c>
      <c r="AC104" s="157">
        <v>0</v>
      </c>
      <c r="AD104" s="158">
        <v>0</v>
      </c>
      <c r="AE104" s="154">
        <v>8.6303886383072657E-3</v>
      </c>
      <c r="AF104" s="156">
        <v>1.0868938846264956E-2</v>
      </c>
      <c r="AG104" s="154">
        <v>0</v>
      </c>
      <c r="AH104" s="156">
        <v>0</v>
      </c>
    </row>
    <row r="105" spans="1:34" x14ac:dyDescent="0.2">
      <c r="A105" s="152">
        <v>6105</v>
      </c>
      <c r="B105" s="153" t="s">
        <v>140</v>
      </c>
      <c r="C105" s="157">
        <v>0</v>
      </c>
      <c r="D105" s="158">
        <v>0</v>
      </c>
      <c r="E105" s="157">
        <v>463156</v>
      </c>
      <c r="F105" s="158">
        <v>2431518</v>
      </c>
      <c r="G105" s="157">
        <v>1249316</v>
      </c>
      <c r="H105" s="158">
        <v>1645163</v>
      </c>
      <c r="I105" s="157">
        <v>0</v>
      </c>
      <c r="J105" s="158">
        <v>0</v>
      </c>
      <c r="K105" s="157">
        <v>786160</v>
      </c>
      <c r="L105" s="158">
        <v>-786355</v>
      </c>
      <c r="M105" s="157">
        <v>0</v>
      </c>
      <c r="N105" s="158">
        <v>0</v>
      </c>
      <c r="O105" s="157">
        <v>1076239</v>
      </c>
      <c r="P105" s="158">
        <v>1008751</v>
      </c>
      <c r="Q105" s="157">
        <v>1107832</v>
      </c>
      <c r="R105" s="158">
        <v>1085816</v>
      </c>
      <c r="S105" s="157">
        <v>0</v>
      </c>
      <c r="T105" s="158">
        <v>0</v>
      </c>
      <c r="U105" s="157">
        <v>31593</v>
      </c>
      <c r="V105" s="158">
        <v>77065</v>
      </c>
      <c r="W105" s="157">
        <v>-2.9103830456733704E-11</v>
      </c>
      <c r="X105" s="158">
        <v>203394.41000000021</v>
      </c>
      <c r="Y105" s="157">
        <v>0</v>
      </c>
      <c r="Z105" s="158">
        <v>0</v>
      </c>
      <c r="AA105" s="157">
        <v>2100813.92</v>
      </c>
      <c r="AB105" s="158">
        <v>1034323.6900000002</v>
      </c>
      <c r="AC105" s="157">
        <v>0</v>
      </c>
      <c r="AD105" s="158">
        <v>0</v>
      </c>
      <c r="AE105" s="154">
        <v>-8.4572426435039922E-19</v>
      </c>
      <c r="AF105" s="156">
        <v>5.0637536386771119E-3</v>
      </c>
      <c r="AG105" s="154">
        <v>0</v>
      </c>
      <c r="AH105" s="156">
        <v>0</v>
      </c>
    </row>
    <row r="106" spans="1:34" x14ac:dyDescent="0.2">
      <c r="A106" s="152">
        <v>6106</v>
      </c>
      <c r="B106" s="153" t="s">
        <v>141</v>
      </c>
      <c r="C106" s="157">
        <v>2</v>
      </c>
      <c r="D106" s="158">
        <v>17543</v>
      </c>
      <c r="E106" s="157">
        <v>0</v>
      </c>
      <c r="F106" s="158">
        <v>696796</v>
      </c>
      <c r="G106" s="157">
        <v>151803</v>
      </c>
      <c r="H106" s="158">
        <v>571444</v>
      </c>
      <c r="I106" s="157">
        <v>-151805</v>
      </c>
      <c r="J106" s="158">
        <v>113470</v>
      </c>
      <c r="K106" s="157">
        <v>0</v>
      </c>
      <c r="L106" s="158">
        <v>5661</v>
      </c>
      <c r="M106" s="157">
        <v>149770</v>
      </c>
      <c r="N106" s="158">
        <v>4201</v>
      </c>
      <c r="O106" s="157">
        <v>2180103</v>
      </c>
      <c r="P106" s="158">
        <v>2175262</v>
      </c>
      <c r="Q106" s="157">
        <v>3105129</v>
      </c>
      <c r="R106" s="158">
        <v>3066112</v>
      </c>
      <c r="S106" s="157">
        <v>-1387641</v>
      </c>
      <c r="T106" s="158">
        <v>-606568</v>
      </c>
      <c r="U106" s="157">
        <v>-312845</v>
      </c>
      <c r="V106" s="158">
        <v>288483</v>
      </c>
      <c r="W106" s="157">
        <v>9072</v>
      </c>
      <c r="X106" s="158">
        <v>55012.239999999991</v>
      </c>
      <c r="Y106" s="157">
        <v>0</v>
      </c>
      <c r="Z106" s="158">
        <v>0</v>
      </c>
      <c r="AA106" s="157">
        <v>613241.15999999992</v>
      </c>
      <c r="AB106" s="158">
        <v>2992591.93</v>
      </c>
      <c r="AC106" s="157">
        <v>0</v>
      </c>
      <c r="AD106" s="158">
        <v>0</v>
      </c>
      <c r="AE106" s="154">
        <v>1.9453458597424076E-4</v>
      </c>
      <c r="AF106" s="156">
        <v>1.0372246288754556E-3</v>
      </c>
      <c r="AG106" s="154">
        <v>0</v>
      </c>
      <c r="AH106" s="156">
        <v>0</v>
      </c>
    </row>
    <row r="107" spans="1:34" x14ac:dyDescent="0.2">
      <c r="A107" s="152">
        <v>6107</v>
      </c>
      <c r="B107" s="153" t="s">
        <v>142</v>
      </c>
      <c r="C107" s="157">
        <v>23434</v>
      </c>
      <c r="D107" s="158">
        <v>0</v>
      </c>
      <c r="E107" s="157">
        <v>416201</v>
      </c>
      <c r="F107" s="158">
        <v>1417708</v>
      </c>
      <c r="G107" s="157">
        <v>428970</v>
      </c>
      <c r="H107" s="158">
        <v>1441880</v>
      </c>
      <c r="I107" s="157">
        <v>-36203</v>
      </c>
      <c r="J107" s="158">
        <v>9368</v>
      </c>
      <c r="K107" s="157">
        <v>0</v>
      </c>
      <c r="L107" s="158">
        <v>33540</v>
      </c>
      <c r="M107" s="157">
        <v>0</v>
      </c>
      <c r="N107" s="158">
        <v>0</v>
      </c>
      <c r="O107" s="157">
        <v>485496</v>
      </c>
      <c r="P107" s="158">
        <v>914653</v>
      </c>
      <c r="Q107" s="157">
        <v>575831</v>
      </c>
      <c r="R107" s="158">
        <v>1550135</v>
      </c>
      <c r="S107" s="157">
        <v>-64233</v>
      </c>
      <c r="T107" s="158">
        <v>133032</v>
      </c>
      <c r="U107" s="157">
        <v>26102</v>
      </c>
      <c r="V107" s="158">
        <v>768514</v>
      </c>
      <c r="W107" s="157">
        <v>0</v>
      </c>
      <c r="X107" s="158">
        <v>20500</v>
      </c>
      <c r="Y107" s="157">
        <v>0</v>
      </c>
      <c r="Z107" s="158">
        <v>0</v>
      </c>
      <c r="AA107" s="157">
        <v>3739.9499999999825</v>
      </c>
      <c r="AB107" s="158">
        <v>1283295.9500000002</v>
      </c>
      <c r="AC107" s="157">
        <v>0</v>
      </c>
      <c r="AD107" s="158">
        <v>0</v>
      </c>
      <c r="AE107" s="154">
        <v>0</v>
      </c>
      <c r="AF107" s="156">
        <v>8.2031509943599531E-4</v>
      </c>
      <c r="AG107" s="154">
        <v>0</v>
      </c>
      <c r="AH107" s="156">
        <v>0</v>
      </c>
    </row>
    <row r="108" spans="1:34" x14ac:dyDescent="0.2">
      <c r="A108" s="152">
        <v>6108</v>
      </c>
      <c r="B108" s="153" t="s">
        <v>143</v>
      </c>
      <c r="C108" s="157">
        <v>0</v>
      </c>
      <c r="D108" s="158">
        <v>0</v>
      </c>
      <c r="E108" s="157">
        <v>541669</v>
      </c>
      <c r="F108" s="158">
        <v>119118</v>
      </c>
      <c r="G108" s="157">
        <v>574887</v>
      </c>
      <c r="H108" s="158">
        <v>106740</v>
      </c>
      <c r="I108" s="157">
        <v>-46678</v>
      </c>
      <c r="J108" s="158">
        <v>0</v>
      </c>
      <c r="K108" s="157">
        <v>-13460</v>
      </c>
      <c r="L108" s="158">
        <v>-12378</v>
      </c>
      <c r="M108" s="157">
        <v>0</v>
      </c>
      <c r="N108" s="158">
        <v>0</v>
      </c>
      <c r="O108" s="157">
        <v>440145</v>
      </c>
      <c r="P108" s="158">
        <v>687418</v>
      </c>
      <c r="Q108" s="157">
        <v>483746</v>
      </c>
      <c r="R108" s="158">
        <v>570505</v>
      </c>
      <c r="S108" s="157">
        <v>102739</v>
      </c>
      <c r="T108" s="158">
        <v>-43385</v>
      </c>
      <c r="U108" s="157">
        <v>146340</v>
      </c>
      <c r="V108" s="158">
        <v>-160298</v>
      </c>
      <c r="W108" s="157">
        <v>0</v>
      </c>
      <c r="X108" s="158">
        <v>21348.100000000006</v>
      </c>
      <c r="Y108" s="157">
        <v>0</v>
      </c>
      <c r="Z108" s="158">
        <v>0</v>
      </c>
      <c r="AA108" s="157">
        <v>494737.27</v>
      </c>
      <c r="AB108" s="158">
        <v>4677061.22</v>
      </c>
      <c r="AC108" s="157">
        <v>0</v>
      </c>
      <c r="AD108" s="158">
        <v>0</v>
      </c>
      <c r="AE108" s="154">
        <v>0</v>
      </c>
      <c r="AF108" s="156">
        <v>1.2652780362559612E-3</v>
      </c>
      <c r="AG108" s="154">
        <v>0</v>
      </c>
      <c r="AH108" s="156">
        <v>0</v>
      </c>
    </row>
    <row r="109" spans="1:34" x14ac:dyDescent="0.2">
      <c r="A109" s="152">
        <v>6201</v>
      </c>
      <c r="B109" s="153" t="s">
        <v>145</v>
      </c>
      <c r="C109" s="157">
        <v>0</v>
      </c>
      <c r="D109" s="158">
        <v>0</v>
      </c>
      <c r="E109" s="157">
        <v>370022</v>
      </c>
      <c r="F109" s="158">
        <v>1809896</v>
      </c>
      <c r="G109" s="157">
        <v>286003</v>
      </c>
      <c r="H109" s="158">
        <v>1943672</v>
      </c>
      <c r="I109" s="157">
        <v>52821</v>
      </c>
      <c r="J109" s="158">
        <v>-75996</v>
      </c>
      <c r="K109" s="157">
        <v>-31198</v>
      </c>
      <c r="L109" s="158">
        <v>57780</v>
      </c>
      <c r="M109" s="157">
        <v>0</v>
      </c>
      <c r="N109" s="158">
        <v>0</v>
      </c>
      <c r="O109" s="157">
        <v>4041810</v>
      </c>
      <c r="P109" s="158">
        <v>1339958</v>
      </c>
      <c r="Q109" s="157">
        <v>3085195</v>
      </c>
      <c r="R109" s="158">
        <v>6859587</v>
      </c>
      <c r="S109" s="157">
        <v>778970</v>
      </c>
      <c r="T109" s="158">
        <v>-4019658</v>
      </c>
      <c r="U109" s="157">
        <v>-177645</v>
      </c>
      <c r="V109" s="158">
        <v>1499971</v>
      </c>
      <c r="W109" s="157">
        <v>3718.8899999996647</v>
      </c>
      <c r="X109" s="158">
        <v>872164.12000000011</v>
      </c>
      <c r="Y109" s="157">
        <v>0</v>
      </c>
      <c r="Z109" s="158">
        <v>0</v>
      </c>
      <c r="AA109" s="157">
        <v>98474.420000000217</v>
      </c>
      <c r="AB109" s="158">
        <v>3942694.63</v>
      </c>
      <c r="AC109" s="157">
        <v>0</v>
      </c>
      <c r="AD109" s="158">
        <v>0</v>
      </c>
      <c r="AE109" s="154">
        <v>1.1966547378422169E-4</v>
      </c>
      <c r="AF109" s="156">
        <v>2.3099156027737294E-2</v>
      </c>
      <c r="AG109" s="154">
        <v>0</v>
      </c>
      <c r="AH109" s="156">
        <v>0</v>
      </c>
    </row>
    <row r="110" spans="1:34" x14ac:dyDescent="0.2">
      <c r="A110" s="152">
        <v>6202</v>
      </c>
      <c r="B110" s="153" t="s">
        <v>146</v>
      </c>
      <c r="C110" s="157">
        <v>0</v>
      </c>
      <c r="D110" s="158">
        <v>0</v>
      </c>
      <c r="E110" s="157">
        <v>0</v>
      </c>
      <c r="F110" s="158">
        <v>73940</v>
      </c>
      <c r="G110" s="157">
        <v>0</v>
      </c>
      <c r="H110" s="158">
        <v>88563</v>
      </c>
      <c r="I110" s="157">
        <v>0</v>
      </c>
      <c r="J110" s="158">
        <v>0</v>
      </c>
      <c r="K110" s="157">
        <v>0</v>
      </c>
      <c r="L110" s="158">
        <v>14623</v>
      </c>
      <c r="M110" s="157">
        <v>0</v>
      </c>
      <c r="N110" s="158">
        <v>0</v>
      </c>
      <c r="O110" s="157">
        <v>705826</v>
      </c>
      <c r="P110" s="158">
        <v>1027483</v>
      </c>
      <c r="Q110" s="157">
        <v>830025</v>
      </c>
      <c r="R110" s="158">
        <v>1706076</v>
      </c>
      <c r="S110" s="157">
        <v>-40304</v>
      </c>
      <c r="T110" s="158">
        <v>0</v>
      </c>
      <c r="U110" s="157">
        <v>83895</v>
      </c>
      <c r="V110" s="158">
        <v>678593</v>
      </c>
      <c r="W110" s="157">
        <v>99008.35</v>
      </c>
      <c r="X110" s="158">
        <v>210130.91000000006</v>
      </c>
      <c r="Y110" s="157">
        <v>0</v>
      </c>
      <c r="Z110" s="158">
        <v>0</v>
      </c>
      <c r="AA110" s="157">
        <v>3372608.5700000003</v>
      </c>
      <c r="AB110" s="158">
        <v>3626162.18</v>
      </c>
      <c r="AC110" s="157">
        <v>0</v>
      </c>
      <c r="AD110" s="158">
        <v>0</v>
      </c>
      <c r="AE110" s="154">
        <v>6.3456363777598954E-3</v>
      </c>
      <c r="AF110" s="156">
        <v>1.3497561193378886E-2</v>
      </c>
      <c r="AG110" s="154">
        <v>0</v>
      </c>
      <c r="AH110" s="156">
        <v>0</v>
      </c>
    </row>
    <row r="111" spans="1:34" x14ac:dyDescent="0.2">
      <c r="A111" s="152">
        <v>6203</v>
      </c>
      <c r="B111" s="153" t="s">
        <v>147</v>
      </c>
      <c r="C111" s="157">
        <v>0</v>
      </c>
      <c r="D111" s="158">
        <v>0</v>
      </c>
      <c r="E111" s="157">
        <v>570554</v>
      </c>
      <c r="F111" s="158">
        <v>2734996</v>
      </c>
      <c r="G111" s="157">
        <v>592094</v>
      </c>
      <c r="H111" s="158">
        <v>2717891</v>
      </c>
      <c r="I111" s="157">
        <v>0</v>
      </c>
      <c r="J111" s="158">
        <v>0</v>
      </c>
      <c r="K111" s="157">
        <v>21540</v>
      </c>
      <c r="L111" s="158">
        <v>-17105</v>
      </c>
      <c r="M111" s="157">
        <v>0</v>
      </c>
      <c r="N111" s="158">
        <v>0</v>
      </c>
      <c r="O111" s="157">
        <v>739559</v>
      </c>
      <c r="P111" s="158">
        <v>514780</v>
      </c>
      <c r="Q111" s="157">
        <v>778514</v>
      </c>
      <c r="R111" s="158">
        <v>488103</v>
      </c>
      <c r="S111" s="157">
        <v>-5274</v>
      </c>
      <c r="T111" s="158">
        <v>3950</v>
      </c>
      <c r="U111" s="157">
        <v>33681</v>
      </c>
      <c r="V111" s="158">
        <v>-22727</v>
      </c>
      <c r="W111" s="157">
        <v>0</v>
      </c>
      <c r="X111" s="158">
        <v>202422.98000000036</v>
      </c>
      <c r="Y111" s="157">
        <v>0</v>
      </c>
      <c r="Z111" s="158">
        <v>0</v>
      </c>
      <c r="AA111" s="157">
        <v>3211727.19</v>
      </c>
      <c r="AB111" s="158">
        <v>170953.46999999997</v>
      </c>
      <c r="AC111" s="157">
        <v>0</v>
      </c>
      <c r="AD111" s="158">
        <v>0</v>
      </c>
      <c r="AE111" s="154">
        <v>0</v>
      </c>
      <c r="AF111" s="156">
        <v>1.456588515844361E-2</v>
      </c>
      <c r="AG111" s="154">
        <v>0</v>
      </c>
      <c r="AH111" s="156">
        <v>0</v>
      </c>
    </row>
    <row r="112" spans="1:34" x14ac:dyDescent="0.2">
      <c r="A112" s="152">
        <v>6204</v>
      </c>
      <c r="B112" s="153" t="s">
        <v>148</v>
      </c>
      <c r="C112" s="157">
        <v>0</v>
      </c>
      <c r="D112" s="158">
        <v>0</v>
      </c>
      <c r="E112" s="157">
        <v>338521</v>
      </c>
      <c r="F112" s="158">
        <v>1095853</v>
      </c>
      <c r="G112" s="157">
        <v>340654</v>
      </c>
      <c r="H112" s="158">
        <v>1131133</v>
      </c>
      <c r="I112" s="157">
        <v>-2133</v>
      </c>
      <c r="J112" s="158">
        <v>0</v>
      </c>
      <c r="K112" s="157">
        <v>0</v>
      </c>
      <c r="L112" s="158">
        <v>35280</v>
      </c>
      <c r="M112" s="157">
        <v>0</v>
      </c>
      <c r="N112" s="158">
        <v>0</v>
      </c>
      <c r="O112" s="157">
        <v>788608</v>
      </c>
      <c r="P112" s="158">
        <v>1194592</v>
      </c>
      <c r="Q112" s="157">
        <v>732182</v>
      </c>
      <c r="R112" s="158">
        <v>1002220</v>
      </c>
      <c r="S112" s="157">
        <v>25004</v>
      </c>
      <c r="T112" s="158">
        <v>223453</v>
      </c>
      <c r="U112" s="157">
        <v>-31422</v>
      </c>
      <c r="V112" s="158">
        <v>31081</v>
      </c>
      <c r="W112" s="157">
        <v>0</v>
      </c>
      <c r="X112" s="158">
        <v>15179.929999999993</v>
      </c>
      <c r="Y112" s="157">
        <v>0</v>
      </c>
      <c r="Z112" s="158">
        <v>0</v>
      </c>
      <c r="AA112" s="157">
        <v>0</v>
      </c>
      <c r="AB112" s="158">
        <v>1221274.7999999998</v>
      </c>
      <c r="AC112" s="157">
        <v>0</v>
      </c>
      <c r="AD112" s="158">
        <v>0</v>
      </c>
      <c r="AE112" s="154">
        <v>0</v>
      </c>
      <c r="AF112" s="156">
        <v>8.6026534491217253E-4</v>
      </c>
      <c r="AG112" s="154">
        <v>0</v>
      </c>
      <c r="AH112" s="156">
        <v>0</v>
      </c>
    </row>
    <row r="113" spans="1:34" x14ac:dyDescent="0.2">
      <c r="A113" s="152">
        <v>6205</v>
      </c>
      <c r="B113" s="153" t="s">
        <v>149</v>
      </c>
      <c r="C113" s="157">
        <v>0</v>
      </c>
      <c r="D113" s="158">
        <v>0</v>
      </c>
      <c r="E113" s="157">
        <v>0</v>
      </c>
      <c r="F113" s="158">
        <v>1673565</v>
      </c>
      <c r="G113" s="157">
        <v>915514</v>
      </c>
      <c r="H113" s="158">
        <v>758051</v>
      </c>
      <c r="I113" s="157">
        <v>0</v>
      </c>
      <c r="J113" s="158">
        <v>0</v>
      </c>
      <c r="K113" s="157">
        <v>915514</v>
      </c>
      <c r="L113" s="158">
        <v>-915514</v>
      </c>
      <c r="M113" s="157">
        <v>0</v>
      </c>
      <c r="N113" s="158">
        <v>3990</v>
      </c>
      <c r="O113" s="157">
        <v>462910</v>
      </c>
      <c r="P113" s="158">
        <v>623254</v>
      </c>
      <c r="Q113" s="157">
        <v>521991</v>
      </c>
      <c r="R113" s="158">
        <v>599921</v>
      </c>
      <c r="S113" s="157">
        <v>-20333</v>
      </c>
      <c r="T113" s="158">
        <v>110000</v>
      </c>
      <c r="U113" s="157">
        <v>38748</v>
      </c>
      <c r="V113" s="158">
        <v>90657</v>
      </c>
      <c r="W113" s="157">
        <v>0</v>
      </c>
      <c r="X113" s="158">
        <v>10359.869999999995</v>
      </c>
      <c r="Y113" s="157">
        <v>0</v>
      </c>
      <c r="Z113" s="158">
        <v>0</v>
      </c>
      <c r="AA113" s="157">
        <v>0</v>
      </c>
      <c r="AB113" s="158">
        <v>0</v>
      </c>
      <c r="AC113" s="157">
        <v>0</v>
      </c>
      <c r="AD113" s="158">
        <v>0</v>
      </c>
      <c r="AE113" s="154">
        <v>0</v>
      </c>
      <c r="AF113" s="156">
        <v>6.039775921501514E-4</v>
      </c>
      <c r="AG113" s="154">
        <v>0</v>
      </c>
      <c r="AH113" s="156">
        <v>0</v>
      </c>
    </row>
    <row r="114" spans="1:34" x14ac:dyDescent="0.2">
      <c r="A114" s="152">
        <v>6206</v>
      </c>
      <c r="B114" s="153" t="s">
        <v>150</v>
      </c>
      <c r="C114" s="157">
        <v>0</v>
      </c>
      <c r="D114" s="158">
        <v>0</v>
      </c>
      <c r="E114" s="157">
        <v>12000</v>
      </c>
      <c r="F114" s="158">
        <v>1367055</v>
      </c>
      <c r="G114" s="157">
        <v>4649</v>
      </c>
      <c r="H114" s="158">
        <v>1664474</v>
      </c>
      <c r="I114" s="157">
        <v>0</v>
      </c>
      <c r="J114" s="158">
        <v>0</v>
      </c>
      <c r="K114" s="157">
        <v>-7351</v>
      </c>
      <c r="L114" s="158">
        <v>297419</v>
      </c>
      <c r="M114" s="157">
        <v>0</v>
      </c>
      <c r="N114" s="158">
        <v>0</v>
      </c>
      <c r="O114" s="157">
        <v>362365</v>
      </c>
      <c r="P114" s="158">
        <v>605939</v>
      </c>
      <c r="Q114" s="157">
        <v>373474</v>
      </c>
      <c r="R114" s="158">
        <v>705760</v>
      </c>
      <c r="S114" s="157">
        <v>-36279</v>
      </c>
      <c r="T114" s="158">
        <v>-73090</v>
      </c>
      <c r="U114" s="157">
        <v>-25170</v>
      </c>
      <c r="V114" s="158">
        <v>26731</v>
      </c>
      <c r="W114" s="157">
        <v>22389.830000000016</v>
      </c>
      <c r="X114" s="158">
        <v>39848.47000000003</v>
      </c>
      <c r="Y114" s="157">
        <v>0</v>
      </c>
      <c r="Z114" s="158">
        <v>0</v>
      </c>
      <c r="AA114" s="157">
        <v>0</v>
      </c>
      <c r="AB114" s="158">
        <v>1674786.06</v>
      </c>
      <c r="AC114" s="157">
        <v>0</v>
      </c>
      <c r="AD114" s="158">
        <v>0</v>
      </c>
      <c r="AE114" s="154">
        <v>3.4690078438287006E-3</v>
      </c>
      <c r="AF114" s="156">
        <v>3.2126862200057846E-3</v>
      </c>
      <c r="AG114" s="154">
        <v>0</v>
      </c>
      <c r="AH114" s="156">
        <v>0</v>
      </c>
    </row>
    <row r="115" spans="1:34" x14ac:dyDescent="0.2">
      <c r="A115" s="152">
        <v>6207</v>
      </c>
      <c r="B115" s="153" t="s">
        <v>151</v>
      </c>
      <c r="C115" s="157">
        <v>0</v>
      </c>
      <c r="D115" s="158">
        <v>0</v>
      </c>
      <c r="E115" s="157">
        <v>142579</v>
      </c>
      <c r="F115" s="158">
        <v>38326</v>
      </c>
      <c r="G115" s="157">
        <v>151097</v>
      </c>
      <c r="H115" s="158">
        <v>77308</v>
      </c>
      <c r="I115" s="157">
        <v>13</v>
      </c>
      <c r="J115" s="158">
        <v>-38981</v>
      </c>
      <c r="K115" s="157">
        <v>8531</v>
      </c>
      <c r="L115" s="158">
        <v>1</v>
      </c>
      <c r="M115" s="157">
        <v>0</v>
      </c>
      <c r="N115" s="158">
        <v>0</v>
      </c>
      <c r="O115" s="157">
        <v>4836644</v>
      </c>
      <c r="P115" s="158">
        <v>2461897</v>
      </c>
      <c r="Q115" s="157">
        <v>5162037</v>
      </c>
      <c r="R115" s="158">
        <v>4398635</v>
      </c>
      <c r="S115" s="157">
        <v>-748881</v>
      </c>
      <c r="T115" s="158">
        <v>-2025399</v>
      </c>
      <c r="U115" s="157">
        <v>-423488</v>
      </c>
      <c r="V115" s="158">
        <v>-88661</v>
      </c>
      <c r="W115" s="157">
        <v>2849.9300000001676</v>
      </c>
      <c r="X115" s="158">
        <v>20609.030000000144</v>
      </c>
      <c r="Y115" s="157">
        <v>0</v>
      </c>
      <c r="Z115" s="158">
        <v>0</v>
      </c>
      <c r="AA115" s="157">
        <v>181723.65000000005</v>
      </c>
      <c r="AB115" s="158">
        <v>7083621.4000000004</v>
      </c>
      <c r="AC115" s="157">
        <v>0</v>
      </c>
      <c r="AD115" s="158">
        <v>0</v>
      </c>
      <c r="AE115" s="154">
        <v>7.4029795568586248E-5</v>
      </c>
      <c r="AF115" s="156">
        <v>3.1202548621794027E-4</v>
      </c>
      <c r="AG115" s="154">
        <v>0</v>
      </c>
      <c r="AH115" s="156">
        <v>0</v>
      </c>
    </row>
    <row r="116" spans="1:34" x14ac:dyDescent="0.2">
      <c r="A116" s="152">
        <v>6208</v>
      </c>
      <c r="B116" s="153" t="s">
        <v>152</v>
      </c>
      <c r="C116" s="157">
        <v>0</v>
      </c>
      <c r="D116" s="158">
        <v>0</v>
      </c>
      <c r="E116" s="157">
        <v>55232</v>
      </c>
      <c r="F116" s="158">
        <v>0</v>
      </c>
      <c r="G116" s="157">
        <v>383</v>
      </c>
      <c r="H116" s="158">
        <v>54849</v>
      </c>
      <c r="I116" s="157">
        <v>54849</v>
      </c>
      <c r="J116" s="158">
        <v>-54849</v>
      </c>
      <c r="K116" s="157">
        <v>0</v>
      </c>
      <c r="L116" s="158">
        <v>0</v>
      </c>
      <c r="M116" s="157">
        <v>0</v>
      </c>
      <c r="N116" s="158">
        <v>0</v>
      </c>
      <c r="O116" s="157">
        <v>320211</v>
      </c>
      <c r="P116" s="158">
        <v>565938</v>
      </c>
      <c r="Q116" s="157">
        <v>406841</v>
      </c>
      <c r="R116" s="158">
        <v>560892</v>
      </c>
      <c r="S116" s="157">
        <v>-2819</v>
      </c>
      <c r="T116" s="158">
        <v>19245</v>
      </c>
      <c r="U116" s="157">
        <v>83811</v>
      </c>
      <c r="V116" s="158">
        <v>14199</v>
      </c>
      <c r="W116" s="157">
        <v>2120.8500000000058</v>
      </c>
      <c r="X116" s="158">
        <v>319.45000000001164</v>
      </c>
      <c r="Y116" s="157">
        <v>0</v>
      </c>
      <c r="Z116" s="158">
        <v>0</v>
      </c>
      <c r="AA116" s="157">
        <v>2120.8499999999767</v>
      </c>
      <c r="AB116" s="158">
        <v>402.10000000000582</v>
      </c>
      <c r="AC116" s="157">
        <v>0</v>
      </c>
      <c r="AD116" s="158">
        <v>0</v>
      </c>
      <c r="AE116" s="154">
        <v>2.7579495944838223E-4</v>
      </c>
      <c r="AF116" s="156">
        <v>3.1279981340701581E-5</v>
      </c>
      <c r="AG116" s="154">
        <v>0</v>
      </c>
      <c r="AH116" s="156">
        <v>0</v>
      </c>
    </row>
    <row r="117" spans="1:34" x14ac:dyDescent="0.2">
      <c r="A117" s="152">
        <v>6209</v>
      </c>
      <c r="B117" s="153" t="s">
        <v>144</v>
      </c>
      <c r="C117" s="157">
        <v>0</v>
      </c>
      <c r="D117" s="158">
        <v>0</v>
      </c>
      <c r="E117" s="157">
        <v>0</v>
      </c>
      <c r="F117" s="158">
        <v>27572</v>
      </c>
      <c r="G117" s="157">
        <v>148264</v>
      </c>
      <c r="H117" s="158">
        <v>0</v>
      </c>
      <c r="I117" s="157">
        <v>-148264</v>
      </c>
      <c r="J117" s="158">
        <v>30000</v>
      </c>
      <c r="K117" s="157">
        <v>0</v>
      </c>
      <c r="L117" s="158">
        <v>2428</v>
      </c>
      <c r="M117" s="157">
        <v>0</v>
      </c>
      <c r="N117" s="158">
        <v>0</v>
      </c>
      <c r="O117" s="157">
        <v>12396470</v>
      </c>
      <c r="P117" s="158">
        <v>4082026</v>
      </c>
      <c r="Q117" s="157">
        <v>10162727</v>
      </c>
      <c r="R117" s="158">
        <v>5853238</v>
      </c>
      <c r="S117" s="157">
        <v>1790101</v>
      </c>
      <c r="T117" s="158">
        <v>-1043593</v>
      </c>
      <c r="U117" s="157">
        <v>-443642</v>
      </c>
      <c r="V117" s="158">
        <v>727619</v>
      </c>
      <c r="W117" s="157">
        <v>74888.810000000522</v>
      </c>
      <c r="X117" s="158">
        <v>2872.0499999998137</v>
      </c>
      <c r="Y117" s="157">
        <v>167123.81</v>
      </c>
      <c r="Z117" s="158">
        <v>1180690.0799999998</v>
      </c>
      <c r="AA117" s="157">
        <v>2553453.71</v>
      </c>
      <c r="AB117" s="158">
        <v>4487034.3600000013</v>
      </c>
      <c r="AC117" s="157">
        <v>0</v>
      </c>
      <c r="AD117" s="158">
        <v>0</v>
      </c>
      <c r="AE117" s="154">
        <v>9.5135971967866219E-4</v>
      </c>
      <c r="AF117" s="156">
        <v>2.6888865441638778E-5</v>
      </c>
      <c r="AG117" s="154">
        <v>0</v>
      </c>
      <c r="AH117" s="156">
        <v>0</v>
      </c>
    </row>
    <row r="118" spans="1:34" x14ac:dyDescent="0.2">
      <c r="A118" s="152">
        <v>6210</v>
      </c>
      <c r="B118" s="153" t="s">
        <v>153</v>
      </c>
      <c r="C118" s="157">
        <v>0</v>
      </c>
      <c r="D118" s="158">
        <v>0</v>
      </c>
      <c r="E118" s="157">
        <v>635924</v>
      </c>
      <c r="F118" s="158">
        <v>1560826</v>
      </c>
      <c r="G118" s="157">
        <v>636511</v>
      </c>
      <c r="H118" s="158">
        <v>1561586</v>
      </c>
      <c r="I118" s="157">
        <v>-2906</v>
      </c>
      <c r="J118" s="158">
        <v>-762</v>
      </c>
      <c r="K118" s="157">
        <v>-2319</v>
      </c>
      <c r="L118" s="158">
        <v>-2</v>
      </c>
      <c r="M118" s="157">
        <v>0</v>
      </c>
      <c r="N118" s="158">
        <v>0</v>
      </c>
      <c r="O118" s="157">
        <v>381355</v>
      </c>
      <c r="P118" s="158">
        <v>384515</v>
      </c>
      <c r="Q118" s="157">
        <v>457824</v>
      </c>
      <c r="R118" s="158">
        <v>551287</v>
      </c>
      <c r="S118" s="157">
        <v>-36994</v>
      </c>
      <c r="T118" s="158">
        <v>-193635</v>
      </c>
      <c r="U118" s="157">
        <v>39475</v>
      </c>
      <c r="V118" s="158">
        <v>-26863</v>
      </c>
      <c r="W118" s="157">
        <v>147.42999999999302</v>
      </c>
      <c r="X118" s="158">
        <v>140934.10000000009</v>
      </c>
      <c r="Y118" s="157">
        <v>0</v>
      </c>
      <c r="Z118" s="158">
        <v>0</v>
      </c>
      <c r="AA118" s="157">
        <v>112865.42000000009</v>
      </c>
      <c r="AB118" s="158">
        <v>3284256.6499999994</v>
      </c>
      <c r="AC118" s="157">
        <v>0</v>
      </c>
      <c r="AD118" s="158">
        <v>0</v>
      </c>
      <c r="AE118" s="154">
        <v>2.2244307770207387E-5</v>
      </c>
      <c r="AF118" s="156">
        <v>1.6551851544322812E-2</v>
      </c>
      <c r="AG118" s="154">
        <v>0</v>
      </c>
      <c r="AH118" s="156">
        <v>0</v>
      </c>
    </row>
    <row r="119" spans="1:34" x14ac:dyDescent="0.2">
      <c r="A119" s="152">
        <v>6211</v>
      </c>
      <c r="B119" s="153" t="s">
        <v>154</v>
      </c>
      <c r="C119" s="157">
        <v>0</v>
      </c>
      <c r="D119" s="158">
        <v>0</v>
      </c>
      <c r="E119" s="157">
        <v>0</v>
      </c>
      <c r="F119" s="158">
        <v>0</v>
      </c>
      <c r="G119" s="157">
        <v>0</v>
      </c>
      <c r="H119" s="158">
        <v>0</v>
      </c>
      <c r="I119" s="157">
        <v>0</v>
      </c>
      <c r="J119" s="158">
        <v>0</v>
      </c>
      <c r="K119" s="157">
        <v>0</v>
      </c>
      <c r="L119" s="158">
        <v>0</v>
      </c>
      <c r="M119" s="157">
        <v>0</v>
      </c>
      <c r="N119" s="158">
        <v>0</v>
      </c>
      <c r="O119" s="157">
        <v>476829</v>
      </c>
      <c r="P119" s="158">
        <v>445494</v>
      </c>
      <c r="Q119" s="157">
        <v>480524</v>
      </c>
      <c r="R119" s="158">
        <v>365655</v>
      </c>
      <c r="S119" s="157">
        <v>0</v>
      </c>
      <c r="T119" s="158">
        <v>0</v>
      </c>
      <c r="U119" s="157">
        <v>3695</v>
      </c>
      <c r="V119" s="158">
        <v>-79839</v>
      </c>
      <c r="W119" s="157">
        <v>1300</v>
      </c>
      <c r="X119" s="158">
        <v>0</v>
      </c>
      <c r="Y119" s="157">
        <v>0</v>
      </c>
      <c r="Z119" s="158">
        <v>0</v>
      </c>
      <c r="AA119" s="157">
        <v>68872.510000000009</v>
      </c>
      <c r="AB119" s="158">
        <v>71595.360000000015</v>
      </c>
      <c r="AC119" s="157">
        <v>0</v>
      </c>
      <c r="AD119" s="158">
        <v>0</v>
      </c>
      <c r="AE119" s="154">
        <v>1.7357492648768064E-4</v>
      </c>
      <c r="AF119" s="156">
        <v>0</v>
      </c>
      <c r="AG119" s="154">
        <v>0</v>
      </c>
      <c r="AH119" s="156">
        <v>0</v>
      </c>
    </row>
    <row r="120" spans="1:34" x14ac:dyDescent="0.2">
      <c r="A120" s="152">
        <v>6301</v>
      </c>
      <c r="B120" s="153" t="s">
        <v>156</v>
      </c>
      <c r="C120" s="157">
        <v>0</v>
      </c>
      <c r="D120" s="158">
        <v>0</v>
      </c>
      <c r="E120" s="157">
        <v>0</v>
      </c>
      <c r="F120" s="158">
        <v>0</v>
      </c>
      <c r="G120" s="157">
        <v>0</v>
      </c>
      <c r="H120" s="158">
        <v>0</v>
      </c>
      <c r="I120" s="157">
        <v>0</v>
      </c>
      <c r="J120" s="158">
        <v>0</v>
      </c>
      <c r="K120" s="157">
        <v>0</v>
      </c>
      <c r="L120" s="158">
        <v>0</v>
      </c>
      <c r="M120" s="157">
        <v>0</v>
      </c>
      <c r="N120" s="158">
        <v>0</v>
      </c>
      <c r="O120" s="157">
        <v>190573</v>
      </c>
      <c r="P120" s="158">
        <v>380946</v>
      </c>
      <c r="Q120" s="157">
        <v>179003</v>
      </c>
      <c r="R120" s="158">
        <v>347871</v>
      </c>
      <c r="S120" s="157">
        <v>538</v>
      </c>
      <c r="T120" s="158">
        <v>-63</v>
      </c>
      <c r="U120" s="157">
        <v>-11032</v>
      </c>
      <c r="V120" s="158">
        <v>-33138</v>
      </c>
      <c r="W120" s="157">
        <v>9191.0800000000017</v>
      </c>
      <c r="X120" s="158">
        <v>8372.890000000014</v>
      </c>
      <c r="Y120" s="157">
        <v>0</v>
      </c>
      <c r="Z120" s="158">
        <v>0</v>
      </c>
      <c r="AA120" s="157">
        <v>0</v>
      </c>
      <c r="AB120" s="158">
        <v>85355.4</v>
      </c>
      <c r="AC120" s="157">
        <v>0</v>
      </c>
      <c r="AD120" s="158">
        <v>0</v>
      </c>
      <c r="AE120" s="154">
        <v>6.1610820350551873E-4</v>
      </c>
      <c r="AF120" s="156">
        <v>4.9863242023980014E-4</v>
      </c>
      <c r="AG120" s="154">
        <v>0</v>
      </c>
      <c r="AH120" s="156">
        <v>0</v>
      </c>
    </row>
    <row r="121" spans="1:34" x14ac:dyDescent="0.2">
      <c r="A121" s="152">
        <v>6302</v>
      </c>
      <c r="B121" s="153" t="s">
        <v>157</v>
      </c>
      <c r="C121" s="157">
        <v>0</v>
      </c>
      <c r="D121" s="158">
        <v>0</v>
      </c>
      <c r="E121" s="157">
        <v>3863295</v>
      </c>
      <c r="F121" s="158">
        <v>4206282</v>
      </c>
      <c r="G121" s="157">
        <v>3325556</v>
      </c>
      <c r="H121" s="158">
        <v>4259969</v>
      </c>
      <c r="I121" s="157">
        <v>-36163</v>
      </c>
      <c r="J121" s="158">
        <v>69480</v>
      </c>
      <c r="K121" s="157">
        <v>-573902</v>
      </c>
      <c r="L121" s="158">
        <v>123167</v>
      </c>
      <c r="M121" s="157">
        <v>0</v>
      </c>
      <c r="N121" s="158">
        <v>-67</v>
      </c>
      <c r="O121" s="157">
        <v>955759</v>
      </c>
      <c r="P121" s="158">
        <v>601926</v>
      </c>
      <c r="Q121" s="157">
        <v>1031187</v>
      </c>
      <c r="R121" s="158">
        <v>531661</v>
      </c>
      <c r="S121" s="157">
        <v>-59019</v>
      </c>
      <c r="T121" s="158">
        <v>31512</v>
      </c>
      <c r="U121" s="157">
        <v>16409</v>
      </c>
      <c r="V121" s="158">
        <v>-38820</v>
      </c>
      <c r="W121" s="157">
        <v>651436.09999999986</v>
      </c>
      <c r="X121" s="158">
        <v>931848.79000000027</v>
      </c>
      <c r="Y121" s="157">
        <v>0</v>
      </c>
      <c r="Z121" s="158">
        <v>0</v>
      </c>
      <c r="AA121" s="157">
        <v>4672818.9099999992</v>
      </c>
      <c r="AB121" s="158">
        <v>1406389.5600000003</v>
      </c>
      <c r="AC121" s="157">
        <v>0</v>
      </c>
      <c r="AD121" s="158">
        <v>0</v>
      </c>
      <c r="AE121" s="154">
        <v>4.4978893059942543E-2</v>
      </c>
      <c r="AF121" s="156">
        <v>5.8222002028478818E-2</v>
      </c>
      <c r="AG121" s="154">
        <v>0</v>
      </c>
      <c r="AH121" s="156">
        <v>0</v>
      </c>
    </row>
    <row r="122" spans="1:34" x14ac:dyDescent="0.2">
      <c r="A122" s="152">
        <v>6303</v>
      </c>
      <c r="B122" s="153" t="s">
        <v>158</v>
      </c>
      <c r="C122" s="157">
        <v>0</v>
      </c>
      <c r="D122" s="158">
        <v>2</v>
      </c>
      <c r="E122" s="157">
        <v>692795</v>
      </c>
      <c r="F122" s="158">
        <v>409535</v>
      </c>
      <c r="G122" s="157">
        <v>691024</v>
      </c>
      <c r="H122" s="158">
        <v>422286</v>
      </c>
      <c r="I122" s="157">
        <v>0</v>
      </c>
      <c r="J122" s="158">
        <v>0</v>
      </c>
      <c r="K122" s="157">
        <v>-1771</v>
      </c>
      <c r="L122" s="158">
        <v>12753</v>
      </c>
      <c r="M122" s="157">
        <v>312</v>
      </c>
      <c r="N122" s="158">
        <v>1</v>
      </c>
      <c r="O122" s="157">
        <v>597276</v>
      </c>
      <c r="P122" s="158">
        <v>558883</v>
      </c>
      <c r="Q122" s="157">
        <v>688077</v>
      </c>
      <c r="R122" s="158">
        <v>530016</v>
      </c>
      <c r="S122" s="157">
        <v>0</v>
      </c>
      <c r="T122" s="158">
        <v>30000</v>
      </c>
      <c r="U122" s="157">
        <v>91113</v>
      </c>
      <c r="V122" s="158">
        <v>1134</v>
      </c>
      <c r="W122" s="157">
        <v>1506.0000000000146</v>
      </c>
      <c r="X122" s="158">
        <v>45809.580000000016</v>
      </c>
      <c r="Y122" s="157">
        <v>0</v>
      </c>
      <c r="Z122" s="158">
        <v>0</v>
      </c>
      <c r="AA122" s="157">
        <v>86209.909999999974</v>
      </c>
      <c r="AB122" s="158">
        <v>464696.98</v>
      </c>
      <c r="AC122" s="157">
        <v>0</v>
      </c>
      <c r="AD122" s="158">
        <v>0</v>
      </c>
      <c r="AE122" s="154">
        <v>1.1801279616040074E-4</v>
      </c>
      <c r="AF122" s="156">
        <v>3.1933825201937473E-3</v>
      </c>
      <c r="AG122" s="154">
        <v>0</v>
      </c>
      <c r="AH122" s="156">
        <v>0</v>
      </c>
    </row>
    <row r="123" spans="1:34" x14ac:dyDescent="0.2">
      <c r="A123" s="152">
        <v>6304</v>
      </c>
      <c r="B123" s="153" t="s">
        <v>159</v>
      </c>
      <c r="C123" s="157">
        <v>0</v>
      </c>
      <c r="D123" s="158">
        <v>0</v>
      </c>
      <c r="E123" s="157">
        <v>284983</v>
      </c>
      <c r="F123" s="158">
        <v>82552</v>
      </c>
      <c r="G123" s="157">
        <v>295483</v>
      </c>
      <c r="H123" s="158">
        <v>82552</v>
      </c>
      <c r="I123" s="157">
        <v>-10500</v>
      </c>
      <c r="J123" s="158">
        <v>0</v>
      </c>
      <c r="K123" s="157">
        <v>0</v>
      </c>
      <c r="L123" s="158">
        <v>0</v>
      </c>
      <c r="M123" s="157">
        <v>35</v>
      </c>
      <c r="N123" s="158">
        <v>31</v>
      </c>
      <c r="O123" s="157">
        <v>2807318</v>
      </c>
      <c r="P123" s="158">
        <v>4607587</v>
      </c>
      <c r="Q123" s="157">
        <v>2804178</v>
      </c>
      <c r="R123" s="158">
        <v>5938133</v>
      </c>
      <c r="S123" s="157">
        <v>-518610</v>
      </c>
      <c r="T123" s="158">
        <v>-632211</v>
      </c>
      <c r="U123" s="157">
        <v>-521715</v>
      </c>
      <c r="V123" s="158">
        <v>698366</v>
      </c>
      <c r="W123" s="157">
        <v>9990.510000000002</v>
      </c>
      <c r="X123" s="158">
        <v>86778.169999999533</v>
      </c>
      <c r="Y123" s="157">
        <v>0</v>
      </c>
      <c r="Z123" s="158">
        <v>0</v>
      </c>
      <c r="AA123" s="157">
        <v>1069928.68</v>
      </c>
      <c r="AB123" s="158">
        <v>7196958.0599999996</v>
      </c>
      <c r="AC123" s="157">
        <v>0</v>
      </c>
      <c r="AD123" s="158">
        <v>0</v>
      </c>
      <c r="AE123" s="154">
        <v>1.7753183952744187E-4</v>
      </c>
      <c r="AF123" s="156">
        <v>1.175170382308396E-3</v>
      </c>
      <c r="AG123" s="154">
        <v>0</v>
      </c>
      <c r="AH123" s="156">
        <v>0</v>
      </c>
    </row>
    <row r="124" spans="1:34" x14ac:dyDescent="0.2">
      <c r="A124" s="152">
        <v>6305</v>
      </c>
      <c r="B124" s="153" t="s">
        <v>160</v>
      </c>
      <c r="C124" s="157">
        <v>0</v>
      </c>
      <c r="D124" s="158">
        <v>0</v>
      </c>
      <c r="E124" s="157">
        <v>114505</v>
      </c>
      <c r="F124" s="158">
        <v>350683</v>
      </c>
      <c r="G124" s="157">
        <v>108367</v>
      </c>
      <c r="H124" s="158">
        <v>354403</v>
      </c>
      <c r="I124" s="157">
        <v>6200</v>
      </c>
      <c r="J124" s="158">
        <v>3990</v>
      </c>
      <c r="K124" s="157">
        <v>62</v>
      </c>
      <c r="L124" s="158">
        <v>7710</v>
      </c>
      <c r="M124" s="157">
        <v>352</v>
      </c>
      <c r="N124" s="158">
        <v>0</v>
      </c>
      <c r="O124" s="157">
        <v>248624</v>
      </c>
      <c r="P124" s="158">
        <v>359981</v>
      </c>
      <c r="Q124" s="157">
        <v>265731</v>
      </c>
      <c r="R124" s="158">
        <v>343690</v>
      </c>
      <c r="S124" s="157">
        <v>11572</v>
      </c>
      <c r="T124" s="158">
        <v>36480</v>
      </c>
      <c r="U124" s="157">
        <v>29031</v>
      </c>
      <c r="V124" s="158">
        <v>20189</v>
      </c>
      <c r="W124" s="157">
        <v>0</v>
      </c>
      <c r="X124" s="158">
        <v>0</v>
      </c>
      <c r="Y124" s="157">
        <v>0</v>
      </c>
      <c r="Z124" s="158">
        <v>0</v>
      </c>
      <c r="AA124" s="157">
        <v>83307.17</v>
      </c>
      <c r="AB124" s="158">
        <v>668492.66999999993</v>
      </c>
      <c r="AC124" s="157">
        <v>0</v>
      </c>
      <c r="AD124" s="158">
        <v>0</v>
      </c>
      <c r="AE124" s="154">
        <v>0</v>
      </c>
      <c r="AF124" s="156">
        <v>0</v>
      </c>
      <c r="AG124" s="154">
        <v>0</v>
      </c>
      <c r="AH124" s="156">
        <v>0</v>
      </c>
    </row>
    <row r="125" spans="1:34" x14ac:dyDescent="0.2">
      <c r="A125" s="152">
        <v>6306</v>
      </c>
      <c r="B125" s="153" t="s">
        <v>155</v>
      </c>
      <c r="C125" s="157">
        <v>29279</v>
      </c>
      <c r="D125" s="158">
        <v>18895</v>
      </c>
      <c r="E125" s="157">
        <v>333067</v>
      </c>
      <c r="F125" s="158">
        <v>1574</v>
      </c>
      <c r="G125" s="157">
        <v>328462</v>
      </c>
      <c r="H125" s="158">
        <v>0</v>
      </c>
      <c r="I125" s="157">
        <v>-6471</v>
      </c>
      <c r="J125" s="158">
        <v>0</v>
      </c>
      <c r="K125" s="157">
        <v>18203</v>
      </c>
      <c r="L125" s="158">
        <v>17321</v>
      </c>
      <c r="M125" s="157">
        <v>2112</v>
      </c>
      <c r="N125" s="158">
        <v>0</v>
      </c>
      <c r="O125" s="157">
        <v>3103739</v>
      </c>
      <c r="P125" s="158">
        <v>4507244</v>
      </c>
      <c r="Q125" s="157">
        <v>3310522</v>
      </c>
      <c r="R125" s="158">
        <v>14195859</v>
      </c>
      <c r="S125" s="157">
        <v>-123352</v>
      </c>
      <c r="T125" s="158">
        <v>-5803551</v>
      </c>
      <c r="U125" s="157">
        <v>85543</v>
      </c>
      <c r="V125" s="158">
        <v>3885064</v>
      </c>
      <c r="W125" s="157">
        <v>55886.280000000086</v>
      </c>
      <c r="X125" s="158">
        <v>118457.89999999979</v>
      </c>
      <c r="Y125" s="157">
        <v>0</v>
      </c>
      <c r="Z125" s="158">
        <v>0</v>
      </c>
      <c r="AA125" s="157">
        <v>3441149.0599999996</v>
      </c>
      <c r="AB125" s="158">
        <v>48305722.140000001</v>
      </c>
      <c r="AC125" s="157">
        <v>0</v>
      </c>
      <c r="AD125" s="158">
        <v>0</v>
      </c>
      <c r="AE125" s="154">
        <v>3.7800513029515135E-4</v>
      </c>
      <c r="AF125" s="156">
        <v>6.4509449004714059E-4</v>
      </c>
      <c r="AG125" s="154">
        <v>0</v>
      </c>
      <c r="AH125" s="156">
        <v>0</v>
      </c>
    </row>
    <row r="126" spans="1:34" x14ac:dyDescent="0.2">
      <c r="A126" s="152">
        <v>6307</v>
      </c>
      <c r="B126" s="153" t="s">
        <v>161</v>
      </c>
      <c r="C126" s="157">
        <v>0</v>
      </c>
      <c r="D126" s="158">
        <v>0</v>
      </c>
      <c r="E126" s="157">
        <v>379641</v>
      </c>
      <c r="F126" s="158">
        <v>0</v>
      </c>
      <c r="G126" s="157">
        <v>601956</v>
      </c>
      <c r="H126" s="158">
        <v>39000</v>
      </c>
      <c r="I126" s="157">
        <v>-222315</v>
      </c>
      <c r="J126" s="158">
        <v>0</v>
      </c>
      <c r="K126" s="157">
        <v>0</v>
      </c>
      <c r="L126" s="158">
        <v>39000</v>
      </c>
      <c r="M126" s="157">
        <v>0</v>
      </c>
      <c r="N126" s="158">
        <v>0</v>
      </c>
      <c r="O126" s="157">
        <v>664383</v>
      </c>
      <c r="P126" s="158">
        <v>547053</v>
      </c>
      <c r="Q126" s="157">
        <v>979800</v>
      </c>
      <c r="R126" s="158">
        <v>525360</v>
      </c>
      <c r="S126" s="157">
        <v>-280015</v>
      </c>
      <c r="T126" s="158">
        <v>-4296</v>
      </c>
      <c r="U126" s="157">
        <v>35402</v>
      </c>
      <c r="V126" s="158">
        <v>-25989</v>
      </c>
      <c r="W126" s="157">
        <v>8573.6300000000047</v>
      </c>
      <c r="X126" s="158">
        <v>27604.060000000056</v>
      </c>
      <c r="Y126" s="157">
        <v>0</v>
      </c>
      <c r="Z126" s="158">
        <v>0</v>
      </c>
      <c r="AA126" s="157">
        <v>0</v>
      </c>
      <c r="AB126" s="158">
        <v>739568.13</v>
      </c>
      <c r="AC126" s="157">
        <v>0</v>
      </c>
      <c r="AD126" s="158">
        <v>0</v>
      </c>
      <c r="AE126" s="154">
        <v>2.6140870001672994E-4</v>
      </c>
      <c r="AF126" s="156">
        <v>6.69626871589576E-4</v>
      </c>
      <c r="AG126" s="154">
        <v>0</v>
      </c>
      <c r="AH126" s="156">
        <v>0</v>
      </c>
    </row>
    <row r="127" spans="1:34" x14ac:dyDescent="0.2">
      <c r="A127" s="152">
        <v>6308</v>
      </c>
      <c r="B127" s="153" t="s">
        <v>162</v>
      </c>
      <c r="C127" s="157">
        <v>0</v>
      </c>
      <c r="D127" s="158">
        <v>0</v>
      </c>
      <c r="E127" s="157">
        <v>42139</v>
      </c>
      <c r="F127" s="158">
        <v>0</v>
      </c>
      <c r="G127" s="157">
        <v>35281</v>
      </c>
      <c r="H127" s="158">
        <v>7023</v>
      </c>
      <c r="I127" s="157">
        <v>6858</v>
      </c>
      <c r="J127" s="158">
        <v>-7023</v>
      </c>
      <c r="K127" s="157">
        <v>0</v>
      </c>
      <c r="L127" s="158">
        <v>0</v>
      </c>
      <c r="M127" s="157">
        <v>14</v>
      </c>
      <c r="N127" s="158">
        <v>33</v>
      </c>
      <c r="O127" s="157">
        <v>973539</v>
      </c>
      <c r="P127" s="158">
        <v>6891068</v>
      </c>
      <c r="Q127" s="157">
        <v>1091226</v>
      </c>
      <c r="R127" s="158">
        <v>6365622</v>
      </c>
      <c r="S127" s="157">
        <v>84299</v>
      </c>
      <c r="T127" s="158">
        <v>590122</v>
      </c>
      <c r="U127" s="157">
        <v>202000</v>
      </c>
      <c r="V127" s="158">
        <v>64709</v>
      </c>
      <c r="W127" s="157">
        <v>453.59999999997672</v>
      </c>
      <c r="X127" s="158">
        <v>608012.04</v>
      </c>
      <c r="Y127" s="157">
        <v>0</v>
      </c>
      <c r="Z127" s="158">
        <v>0</v>
      </c>
      <c r="AA127" s="157">
        <v>7111723.2899999991</v>
      </c>
      <c r="AB127" s="158">
        <v>1130697.9500000002</v>
      </c>
      <c r="AC127" s="157">
        <v>0</v>
      </c>
      <c r="AD127" s="158">
        <v>0</v>
      </c>
      <c r="AE127" s="154">
        <v>1.2810086124106146E-5</v>
      </c>
      <c r="AF127" s="156">
        <v>1.6795026096826766E-2</v>
      </c>
      <c r="AG127" s="154">
        <v>0</v>
      </c>
      <c r="AH127" s="156">
        <v>0</v>
      </c>
    </row>
    <row r="128" spans="1:34" x14ac:dyDescent="0.2">
      <c r="A128" s="152">
        <v>6309</v>
      </c>
      <c r="B128" s="153" t="s">
        <v>163</v>
      </c>
      <c r="C128" s="157">
        <v>0</v>
      </c>
      <c r="D128" s="158">
        <v>0</v>
      </c>
      <c r="E128" s="157">
        <v>414187</v>
      </c>
      <c r="F128" s="158">
        <v>2817813</v>
      </c>
      <c r="G128" s="157">
        <v>412325</v>
      </c>
      <c r="H128" s="158">
        <v>2912394</v>
      </c>
      <c r="I128" s="157">
        <v>1868</v>
      </c>
      <c r="J128" s="158">
        <v>-1868</v>
      </c>
      <c r="K128" s="157">
        <v>6</v>
      </c>
      <c r="L128" s="158">
        <v>92713</v>
      </c>
      <c r="M128" s="157">
        <v>0</v>
      </c>
      <c r="N128" s="158">
        <v>0</v>
      </c>
      <c r="O128" s="157">
        <v>1063996</v>
      </c>
      <c r="P128" s="158">
        <v>1552910</v>
      </c>
      <c r="Q128" s="157">
        <v>1394243</v>
      </c>
      <c r="R128" s="158">
        <v>1782191</v>
      </c>
      <c r="S128" s="157">
        <v>-270993</v>
      </c>
      <c r="T128" s="158">
        <v>-17139</v>
      </c>
      <c r="U128" s="157">
        <v>59254</v>
      </c>
      <c r="V128" s="158">
        <v>212142</v>
      </c>
      <c r="W128" s="157">
        <v>29306.460000000021</v>
      </c>
      <c r="X128" s="158">
        <v>128213.26000000001</v>
      </c>
      <c r="Y128" s="157">
        <v>0</v>
      </c>
      <c r="Z128" s="158">
        <v>0</v>
      </c>
      <c r="AA128" s="157">
        <v>829824.23</v>
      </c>
      <c r="AB128" s="158">
        <v>5035580.9399999995</v>
      </c>
      <c r="AC128" s="157">
        <v>0</v>
      </c>
      <c r="AD128" s="158">
        <v>0</v>
      </c>
      <c r="AE128" s="154">
        <v>1.1213049142771534E-3</v>
      </c>
      <c r="AF128" s="156">
        <v>4.0937277294868625E-3</v>
      </c>
      <c r="AG128" s="154">
        <v>0</v>
      </c>
      <c r="AH128" s="156">
        <v>0</v>
      </c>
    </row>
    <row r="129" spans="1:34" x14ac:dyDescent="0.2">
      <c r="A129" s="152">
        <v>6310</v>
      </c>
      <c r="B129" s="153" t="s">
        <v>164</v>
      </c>
      <c r="C129" s="157">
        <v>6</v>
      </c>
      <c r="D129" s="158">
        <v>-542</v>
      </c>
      <c r="E129" s="157">
        <v>55431</v>
      </c>
      <c r="F129" s="158">
        <v>1485898</v>
      </c>
      <c r="G129" s="157">
        <v>2072651</v>
      </c>
      <c r="H129" s="158">
        <v>399106</v>
      </c>
      <c r="I129" s="157">
        <v>-2001426</v>
      </c>
      <c r="J129" s="158">
        <v>1200373</v>
      </c>
      <c r="K129" s="157">
        <v>15800</v>
      </c>
      <c r="L129" s="158">
        <v>113039</v>
      </c>
      <c r="M129" s="157">
        <v>49</v>
      </c>
      <c r="N129" s="158">
        <v>-163</v>
      </c>
      <c r="O129" s="157">
        <v>225469</v>
      </c>
      <c r="P129" s="158">
        <v>484463</v>
      </c>
      <c r="Q129" s="157">
        <v>244657</v>
      </c>
      <c r="R129" s="158">
        <v>465056</v>
      </c>
      <c r="S129" s="157">
        <v>-30700</v>
      </c>
      <c r="T129" s="158">
        <v>1425</v>
      </c>
      <c r="U129" s="157">
        <v>-11463</v>
      </c>
      <c r="V129" s="158">
        <v>-18145</v>
      </c>
      <c r="W129" s="157">
        <v>791780.2300000001</v>
      </c>
      <c r="X129" s="158">
        <v>730004.0499999997</v>
      </c>
      <c r="Y129" s="157">
        <v>0</v>
      </c>
      <c r="Z129" s="158">
        <v>0</v>
      </c>
      <c r="AA129" s="157">
        <v>3419019.0000000005</v>
      </c>
      <c r="AB129" s="158">
        <v>1202026.1000000001</v>
      </c>
      <c r="AC129" s="157">
        <v>0</v>
      </c>
      <c r="AD129" s="158">
        <v>0</v>
      </c>
      <c r="AE129" s="154">
        <v>2.3251012279736458E-2</v>
      </c>
      <c r="AF129" s="156">
        <v>1.6384051942094136E-2</v>
      </c>
      <c r="AG129" s="154">
        <v>0</v>
      </c>
      <c r="AH129" s="156">
        <v>0</v>
      </c>
    </row>
    <row r="130" spans="1:34" x14ac:dyDescent="0.2">
      <c r="A130" s="152">
        <v>6311</v>
      </c>
      <c r="B130" s="153" t="s">
        <v>165</v>
      </c>
      <c r="C130" s="157">
        <v>0</v>
      </c>
      <c r="D130" s="158">
        <v>0</v>
      </c>
      <c r="E130" s="157">
        <v>1101002</v>
      </c>
      <c r="F130" s="158">
        <v>0</v>
      </c>
      <c r="G130" s="157">
        <v>1017267</v>
      </c>
      <c r="H130" s="158">
        <v>0</v>
      </c>
      <c r="I130" s="157">
        <v>26508</v>
      </c>
      <c r="J130" s="158">
        <v>0</v>
      </c>
      <c r="K130" s="157">
        <v>-57227</v>
      </c>
      <c r="L130" s="158">
        <v>0</v>
      </c>
      <c r="M130" s="157">
        <v>0</v>
      </c>
      <c r="N130" s="158">
        <v>0</v>
      </c>
      <c r="O130" s="157">
        <v>249600</v>
      </c>
      <c r="P130" s="158">
        <v>419581</v>
      </c>
      <c r="Q130" s="157">
        <v>285632</v>
      </c>
      <c r="R130" s="158">
        <v>402609</v>
      </c>
      <c r="S130" s="157">
        <v>-17838</v>
      </c>
      <c r="T130" s="158">
        <v>33421</v>
      </c>
      <c r="U130" s="157">
        <v>18194</v>
      </c>
      <c r="V130" s="158">
        <v>16449</v>
      </c>
      <c r="W130" s="157">
        <v>4640.9999999999782</v>
      </c>
      <c r="X130" s="158">
        <v>446730.75</v>
      </c>
      <c r="Y130" s="157">
        <v>4001.3999999999996</v>
      </c>
      <c r="Z130" s="158">
        <v>0</v>
      </c>
      <c r="AA130" s="157">
        <v>26408.000000000025</v>
      </c>
      <c r="AB130" s="158">
        <v>112642.66</v>
      </c>
      <c r="AC130" s="157">
        <v>5674</v>
      </c>
      <c r="AD130" s="158">
        <v>447234</v>
      </c>
      <c r="AE130" s="154">
        <v>3.6828414109448541E-4</v>
      </c>
      <c r="AF130" s="156">
        <v>2.6621193266034678E-2</v>
      </c>
      <c r="AG130" s="154">
        <v>4.5025731880416289E-4</v>
      </c>
      <c r="AH130" s="156">
        <v>2.6651182505663094E-2</v>
      </c>
    </row>
    <row r="131" spans="1:34" x14ac:dyDescent="0.2">
      <c r="A131" s="152">
        <v>6312</v>
      </c>
      <c r="B131" s="160" t="s">
        <v>166</v>
      </c>
      <c r="C131" s="157">
        <v>0</v>
      </c>
      <c r="D131" s="158">
        <v>0</v>
      </c>
      <c r="E131" s="157">
        <v>376889</v>
      </c>
      <c r="F131" s="158">
        <v>1454186</v>
      </c>
      <c r="G131" s="157">
        <v>392353</v>
      </c>
      <c r="H131" s="158">
        <v>1445546</v>
      </c>
      <c r="I131" s="157">
        <v>-15464</v>
      </c>
      <c r="J131" s="158">
        <v>8640</v>
      </c>
      <c r="K131" s="157">
        <v>0</v>
      </c>
      <c r="L131" s="158">
        <v>0</v>
      </c>
      <c r="M131" s="157">
        <v>0</v>
      </c>
      <c r="N131" s="158">
        <v>-20</v>
      </c>
      <c r="O131" s="157">
        <v>584741</v>
      </c>
      <c r="P131" s="158">
        <v>774254</v>
      </c>
      <c r="Q131" s="157">
        <v>746950</v>
      </c>
      <c r="R131" s="158">
        <v>657485</v>
      </c>
      <c r="S131" s="157">
        <v>-98562</v>
      </c>
      <c r="T131" s="158">
        <v>179773</v>
      </c>
      <c r="U131" s="157">
        <v>63647</v>
      </c>
      <c r="V131" s="158">
        <v>62984</v>
      </c>
      <c r="W131" s="157">
        <v>288044.19</v>
      </c>
      <c r="X131" s="158">
        <v>20333.03999999995</v>
      </c>
      <c r="Y131" s="157">
        <v>0</v>
      </c>
      <c r="Z131" s="158">
        <v>0</v>
      </c>
      <c r="AA131" s="157">
        <v>438626.89999999997</v>
      </c>
      <c r="AB131" s="158">
        <v>1840262.0600000003</v>
      </c>
      <c r="AC131" s="157">
        <v>0</v>
      </c>
      <c r="AD131" s="158">
        <v>0</v>
      </c>
      <c r="AE131" s="154">
        <v>2.5626201155101742E-2</v>
      </c>
      <c r="AF131" s="156">
        <v>1.5641999621047822E-3</v>
      </c>
      <c r="AG131" s="154">
        <v>0</v>
      </c>
      <c r="AH131" s="156">
        <v>0</v>
      </c>
    </row>
    <row r="132" spans="1:34" x14ac:dyDescent="0.2">
      <c r="A132" s="152">
        <v>6401</v>
      </c>
      <c r="B132" s="153" t="s">
        <v>168</v>
      </c>
      <c r="C132" s="157">
        <v>0</v>
      </c>
      <c r="D132" s="158">
        <v>0</v>
      </c>
      <c r="E132" s="157">
        <v>0</v>
      </c>
      <c r="F132" s="158">
        <v>0</v>
      </c>
      <c r="G132" s="157">
        <v>0</v>
      </c>
      <c r="H132" s="158">
        <v>-21989</v>
      </c>
      <c r="I132" s="157">
        <v>0</v>
      </c>
      <c r="J132" s="158">
        <v>0</v>
      </c>
      <c r="K132" s="157">
        <v>0</v>
      </c>
      <c r="L132" s="158">
        <v>-21989</v>
      </c>
      <c r="M132" s="157">
        <v>6511</v>
      </c>
      <c r="N132" s="158">
        <v>0</v>
      </c>
      <c r="O132" s="157">
        <v>626266</v>
      </c>
      <c r="P132" s="158">
        <v>878440</v>
      </c>
      <c r="Q132" s="157">
        <v>544099</v>
      </c>
      <c r="R132" s="158">
        <v>882906</v>
      </c>
      <c r="S132" s="157">
        <v>89066</v>
      </c>
      <c r="T132" s="158">
        <v>-2337</v>
      </c>
      <c r="U132" s="157">
        <v>13410</v>
      </c>
      <c r="V132" s="158">
        <v>2129</v>
      </c>
      <c r="W132" s="157">
        <v>0</v>
      </c>
      <c r="X132" s="158">
        <v>0</v>
      </c>
      <c r="Y132" s="157">
        <v>0</v>
      </c>
      <c r="Z132" s="158">
        <v>0</v>
      </c>
      <c r="AA132" s="157">
        <v>71199.98000000001</v>
      </c>
      <c r="AB132" s="158">
        <v>75310.179999999993</v>
      </c>
      <c r="AC132" s="157">
        <v>0</v>
      </c>
      <c r="AD132" s="158">
        <v>0</v>
      </c>
      <c r="AE132" s="154">
        <v>0</v>
      </c>
      <c r="AF132" s="156">
        <v>0</v>
      </c>
      <c r="AG132" s="154">
        <v>0</v>
      </c>
      <c r="AH132" s="156">
        <v>0</v>
      </c>
    </row>
    <row r="133" spans="1:34" x14ac:dyDescent="0.2">
      <c r="A133" s="152">
        <v>6402</v>
      </c>
      <c r="B133" s="153" t="s">
        <v>169</v>
      </c>
      <c r="C133" s="157">
        <v>0</v>
      </c>
      <c r="D133" s="158">
        <v>0</v>
      </c>
      <c r="E133" s="157">
        <v>654241</v>
      </c>
      <c r="F133" s="158">
        <v>944178</v>
      </c>
      <c r="G133" s="157">
        <v>666051</v>
      </c>
      <c r="H133" s="158">
        <v>932864</v>
      </c>
      <c r="I133" s="157">
        <v>0</v>
      </c>
      <c r="J133" s="158">
        <v>0</v>
      </c>
      <c r="K133" s="157">
        <v>11810</v>
      </c>
      <c r="L133" s="158">
        <v>-11314</v>
      </c>
      <c r="M133" s="157">
        <v>0</v>
      </c>
      <c r="N133" s="158">
        <v>0</v>
      </c>
      <c r="O133" s="157">
        <v>187992</v>
      </c>
      <c r="P133" s="158">
        <v>367999</v>
      </c>
      <c r="Q133" s="157">
        <v>136790</v>
      </c>
      <c r="R133" s="158">
        <v>373733</v>
      </c>
      <c r="S133" s="157">
        <v>51874</v>
      </c>
      <c r="T133" s="158">
        <v>-5734</v>
      </c>
      <c r="U133" s="157">
        <v>672</v>
      </c>
      <c r="V133" s="158">
        <v>0</v>
      </c>
      <c r="W133" s="157">
        <v>2501.010000000002</v>
      </c>
      <c r="X133" s="158">
        <v>0</v>
      </c>
      <c r="Y133" s="157">
        <v>0</v>
      </c>
      <c r="Z133" s="158">
        <v>0</v>
      </c>
      <c r="AA133" s="157">
        <v>713921.52999999991</v>
      </c>
      <c r="AB133" s="158">
        <v>142889.08999999991</v>
      </c>
      <c r="AC133" s="157">
        <v>0</v>
      </c>
      <c r="AD133" s="158">
        <v>0</v>
      </c>
      <c r="AE133" s="154">
        <v>3.3065749943017694E-4</v>
      </c>
      <c r="AF133" s="156">
        <v>0</v>
      </c>
      <c r="AG133" s="154">
        <v>0</v>
      </c>
      <c r="AH133" s="156">
        <v>0</v>
      </c>
    </row>
    <row r="134" spans="1:34" x14ac:dyDescent="0.2">
      <c r="A134" s="152">
        <v>6403</v>
      </c>
      <c r="B134" s="153" t="s">
        <v>170</v>
      </c>
      <c r="C134" s="157">
        <v>0</v>
      </c>
      <c r="D134" s="158">
        <v>0</v>
      </c>
      <c r="E134" s="157">
        <v>473034</v>
      </c>
      <c r="F134" s="158">
        <v>464742</v>
      </c>
      <c r="G134" s="157">
        <v>395930</v>
      </c>
      <c r="H134" s="158">
        <v>400018</v>
      </c>
      <c r="I134" s="157">
        <v>141828</v>
      </c>
      <c r="J134" s="158">
        <v>0</v>
      </c>
      <c r="K134" s="157">
        <v>64724</v>
      </c>
      <c r="L134" s="158">
        <v>-64724</v>
      </c>
      <c r="M134" s="157">
        <v>0</v>
      </c>
      <c r="N134" s="158">
        <v>0</v>
      </c>
      <c r="O134" s="157">
        <v>155582</v>
      </c>
      <c r="P134" s="158">
        <v>229858</v>
      </c>
      <c r="Q134" s="157">
        <v>213698</v>
      </c>
      <c r="R134" s="158">
        <v>216464</v>
      </c>
      <c r="S134" s="157">
        <v>-52384</v>
      </c>
      <c r="T134" s="158">
        <v>16809</v>
      </c>
      <c r="U134" s="157">
        <v>5732</v>
      </c>
      <c r="V134" s="158">
        <v>3415</v>
      </c>
      <c r="W134" s="157">
        <v>0</v>
      </c>
      <c r="X134" s="158">
        <v>106476.28000000003</v>
      </c>
      <c r="Y134" s="157">
        <v>0</v>
      </c>
      <c r="Z134" s="158">
        <v>0</v>
      </c>
      <c r="AA134" s="157">
        <v>437326.12999999995</v>
      </c>
      <c r="AB134" s="158">
        <v>392372.47</v>
      </c>
      <c r="AC134" s="157">
        <v>0</v>
      </c>
      <c r="AD134" s="158">
        <v>0</v>
      </c>
      <c r="AE134" s="154">
        <v>0</v>
      </c>
      <c r="AF134" s="156">
        <v>1.6070964662867747E-2</v>
      </c>
      <c r="AG134" s="154">
        <v>0</v>
      </c>
      <c r="AH134" s="156">
        <v>0</v>
      </c>
    </row>
    <row r="135" spans="1:34" x14ac:dyDescent="0.2">
      <c r="A135" s="152">
        <v>6404</v>
      </c>
      <c r="B135" s="153" t="s">
        <v>167</v>
      </c>
      <c r="C135" s="157">
        <v>0</v>
      </c>
      <c r="D135" s="158">
        <v>0</v>
      </c>
      <c r="E135" s="157">
        <v>0</v>
      </c>
      <c r="F135" s="158">
        <v>0</v>
      </c>
      <c r="G135" s="157">
        <v>0</v>
      </c>
      <c r="H135" s="158">
        <v>0</v>
      </c>
      <c r="I135" s="157">
        <v>0</v>
      </c>
      <c r="J135" s="158">
        <v>0</v>
      </c>
      <c r="K135" s="157">
        <v>0</v>
      </c>
      <c r="L135" s="158">
        <v>0</v>
      </c>
      <c r="M135" s="157">
        <v>5572</v>
      </c>
      <c r="N135" s="158">
        <v>85567</v>
      </c>
      <c r="O135" s="157">
        <v>23481141</v>
      </c>
      <c r="P135" s="158">
        <v>8354658</v>
      </c>
      <c r="Q135" s="157">
        <v>27418429</v>
      </c>
      <c r="R135" s="158">
        <v>8933967</v>
      </c>
      <c r="S135" s="157">
        <v>-3999395</v>
      </c>
      <c r="T135" s="158">
        <v>-161877</v>
      </c>
      <c r="U135" s="157">
        <v>-56535</v>
      </c>
      <c r="V135" s="158">
        <v>502999</v>
      </c>
      <c r="W135" s="157">
        <v>202330.72999999882</v>
      </c>
      <c r="X135" s="158">
        <v>98642.819999999367</v>
      </c>
      <c r="Y135" s="157">
        <v>0</v>
      </c>
      <c r="Z135" s="158">
        <v>0</v>
      </c>
      <c r="AA135" s="157">
        <v>5264445.7599999979</v>
      </c>
      <c r="AB135" s="158">
        <v>1211883.0399999996</v>
      </c>
      <c r="AC135" s="157">
        <v>0</v>
      </c>
      <c r="AD135" s="158">
        <v>0</v>
      </c>
      <c r="AE135" s="154">
        <v>1.3916873418008497E-3</v>
      </c>
      <c r="AF135" s="156">
        <v>5.8561339343606337E-4</v>
      </c>
      <c r="AG135" s="154">
        <v>0</v>
      </c>
      <c r="AH135" s="156">
        <v>0</v>
      </c>
    </row>
    <row r="136" spans="1:34" x14ac:dyDescent="0.2">
      <c r="A136" s="152">
        <v>6405</v>
      </c>
      <c r="B136" s="153" t="s">
        <v>171</v>
      </c>
      <c r="C136" s="157">
        <v>0</v>
      </c>
      <c r="D136" s="158">
        <v>0</v>
      </c>
      <c r="E136" s="157">
        <v>197728</v>
      </c>
      <c r="F136" s="158">
        <v>419452</v>
      </c>
      <c r="G136" s="157">
        <v>196540</v>
      </c>
      <c r="H136" s="158">
        <v>502449</v>
      </c>
      <c r="I136" s="157">
        <v>1240</v>
      </c>
      <c r="J136" s="158">
        <v>-1240</v>
      </c>
      <c r="K136" s="157">
        <v>52</v>
      </c>
      <c r="L136" s="158">
        <v>81757</v>
      </c>
      <c r="M136" s="157">
        <v>0</v>
      </c>
      <c r="N136" s="158">
        <v>0</v>
      </c>
      <c r="O136" s="157">
        <v>490166</v>
      </c>
      <c r="P136" s="158">
        <v>1139913</v>
      </c>
      <c r="Q136" s="157">
        <v>803679</v>
      </c>
      <c r="R136" s="158">
        <v>2205659</v>
      </c>
      <c r="S136" s="157">
        <v>-158806</v>
      </c>
      <c r="T136" s="158">
        <v>80718</v>
      </c>
      <c r="U136" s="157">
        <v>154707</v>
      </c>
      <c r="V136" s="158">
        <v>1146464</v>
      </c>
      <c r="W136" s="157">
        <v>11990.220000000001</v>
      </c>
      <c r="X136" s="158">
        <v>11377.650000000023</v>
      </c>
      <c r="Y136" s="157">
        <v>0</v>
      </c>
      <c r="Z136" s="158">
        <v>0</v>
      </c>
      <c r="AA136" s="157">
        <v>363694.84</v>
      </c>
      <c r="AB136" s="158">
        <v>1706385.6099999999</v>
      </c>
      <c r="AC136" s="157">
        <v>0</v>
      </c>
      <c r="AD136" s="158">
        <v>0</v>
      </c>
      <c r="AE136" s="154">
        <v>3.5976719558875302E-4</v>
      </c>
      <c r="AF136" s="156">
        <v>2.704662970037608E-4</v>
      </c>
      <c r="AG136" s="154">
        <v>0</v>
      </c>
      <c r="AH136" s="156">
        <v>0</v>
      </c>
    </row>
    <row r="137" spans="1:34" x14ac:dyDescent="0.2">
      <c r="A137" s="152">
        <v>6406</v>
      </c>
      <c r="B137" s="153" t="s">
        <v>172</v>
      </c>
      <c r="C137" s="157">
        <v>0</v>
      </c>
      <c r="D137" s="158">
        <v>0</v>
      </c>
      <c r="E137" s="157">
        <v>0</v>
      </c>
      <c r="F137" s="158">
        <v>0</v>
      </c>
      <c r="G137" s="157">
        <v>0</v>
      </c>
      <c r="H137" s="158">
        <v>0</v>
      </c>
      <c r="I137" s="157">
        <v>0</v>
      </c>
      <c r="J137" s="158">
        <v>0</v>
      </c>
      <c r="K137" s="157">
        <v>0</v>
      </c>
      <c r="L137" s="158">
        <v>0</v>
      </c>
      <c r="M137" s="157">
        <v>0</v>
      </c>
      <c r="N137" s="158">
        <v>0</v>
      </c>
      <c r="O137" s="157">
        <v>305605</v>
      </c>
      <c r="P137" s="158">
        <v>378586</v>
      </c>
      <c r="Q137" s="157">
        <v>342935</v>
      </c>
      <c r="R137" s="158">
        <v>371837</v>
      </c>
      <c r="S137" s="157">
        <v>-473</v>
      </c>
      <c r="T137" s="158">
        <v>25750</v>
      </c>
      <c r="U137" s="157">
        <v>36857</v>
      </c>
      <c r="V137" s="158">
        <v>19001</v>
      </c>
      <c r="W137" s="157">
        <v>0</v>
      </c>
      <c r="X137" s="158">
        <v>302.15999999999985</v>
      </c>
      <c r="Y137" s="157">
        <v>0</v>
      </c>
      <c r="Z137" s="158">
        <v>0</v>
      </c>
      <c r="AA137" s="157">
        <v>0</v>
      </c>
      <c r="AB137" s="158">
        <v>3565.6100000000006</v>
      </c>
      <c r="AC137" s="157">
        <v>0</v>
      </c>
      <c r="AD137" s="158">
        <v>0</v>
      </c>
      <c r="AE137" s="154">
        <v>0</v>
      </c>
      <c r="AF137" s="156">
        <v>2.0319741379240767E-5</v>
      </c>
      <c r="AG137" s="154">
        <v>0</v>
      </c>
      <c r="AH137" s="156">
        <v>0</v>
      </c>
    </row>
    <row r="138" spans="1:34" x14ac:dyDescent="0.2">
      <c r="A138" s="152">
        <v>6501</v>
      </c>
      <c r="B138" s="153" t="s">
        <v>174</v>
      </c>
      <c r="C138" s="157">
        <v>0</v>
      </c>
      <c r="D138" s="158">
        <v>0</v>
      </c>
      <c r="E138" s="157">
        <v>120430</v>
      </c>
      <c r="F138" s="158">
        <v>559828</v>
      </c>
      <c r="G138" s="157">
        <v>371294</v>
      </c>
      <c r="H138" s="158">
        <v>1941800</v>
      </c>
      <c r="I138" s="157">
        <v>-2161</v>
      </c>
      <c r="J138" s="158">
        <v>0</v>
      </c>
      <c r="K138" s="157">
        <v>248703</v>
      </c>
      <c r="L138" s="158">
        <v>1381972</v>
      </c>
      <c r="M138" s="157">
        <v>0</v>
      </c>
      <c r="N138" s="158">
        <v>0</v>
      </c>
      <c r="O138" s="157">
        <v>345989</v>
      </c>
      <c r="P138" s="158">
        <v>573111</v>
      </c>
      <c r="Q138" s="157">
        <v>326686</v>
      </c>
      <c r="R138" s="158">
        <v>605315</v>
      </c>
      <c r="S138" s="157">
        <v>46427</v>
      </c>
      <c r="T138" s="158">
        <v>-11729</v>
      </c>
      <c r="U138" s="157">
        <v>27124</v>
      </c>
      <c r="V138" s="158">
        <v>20475</v>
      </c>
      <c r="W138" s="157">
        <v>5814</v>
      </c>
      <c r="X138" s="158">
        <v>8784</v>
      </c>
      <c r="Y138" s="157">
        <v>0</v>
      </c>
      <c r="Z138" s="158">
        <v>0</v>
      </c>
      <c r="AA138" s="157">
        <v>653106.96000000008</v>
      </c>
      <c r="AB138" s="158">
        <v>3647952.3</v>
      </c>
      <c r="AC138" s="157">
        <v>0</v>
      </c>
      <c r="AD138" s="158">
        <v>0</v>
      </c>
      <c r="AE138" s="154">
        <v>4.0708780906447453E-4</v>
      </c>
      <c r="AF138" s="156">
        <v>5.3860786422667002E-4</v>
      </c>
      <c r="AG138" s="154">
        <v>0</v>
      </c>
      <c r="AH138" s="156">
        <v>0</v>
      </c>
    </row>
    <row r="139" spans="1:34" x14ac:dyDescent="0.2">
      <c r="A139" s="152">
        <v>6502</v>
      </c>
      <c r="B139" s="153" t="s">
        <v>175</v>
      </c>
      <c r="C139" s="157">
        <v>1</v>
      </c>
      <c r="D139" s="158">
        <v>47</v>
      </c>
      <c r="E139" s="157">
        <v>274634</v>
      </c>
      <c r="F139" s="158">
        <v>1133215</v>
      </c>
      <c r="G139" s="157">
        <v>261610</v>
      </c>
      <c r="H139" s="158">
        <v>1702134</v>
      </c>
      <c r="I139" s="157">
        <v>7886</v>
      </c>
      <c r="J139" s="158">
        <v>-7886</v>
      </c>
      <c r="K139" s="157">
        <v>-5137</v>
      </c>
      <c r="L139" s="158">
        <v>561080</v>
      </c>
      <c r="M139" s="157">
        <v>8</v>
      </c>
      <c r="N139" s="158">
        <v>8</v>
      </c>
      <c r="O139" s="157">
        <v>975861</v>
      </c>
      <c r="P139" s="158">
        <v>1160635</v>
      </c>
      <c r="Q139" s="157">
        <v>900466</v>
      </c>
      <c r="R139" s="158">
        <v>1134138</v>
      </c>
      <c r="S139" s="157">
        <v>34393</v>
      </c>
      <c r="T139" s="158">
        <v>50895</v>
      </c>
      <c r="U139" s="157">
        <v>-40994</v>
      </c>
      <c r="V139" s="158">
        <v>24406</v>
      </c>
      <c r="W139" s="157">
        <v>5744.4800000000396</v>
      </c>
      <c r="X139" s="158">
        <v>43901.44000000001</v>
      </c>
      <c r="Y139" s="157">
        <v>0</v>
      </c>
      <c r="Z139" s="158">
        <v>0</v>
      </c>
      <c r="AA139" s="157">
        <v>20545.459999999992</v>
      </c>
      <c r="AB139" s="158">
        <v>2192281.0300000003</v>
      </c>
      <c r="AC139" s="157">
        <v>0</v>
      </c>
      <c r="AD139" s="158">
        <v>0</v>
      </c>
      <c r="AE139" s="154">
        <v>2.6471889653886105E-4</v>
      </c>
      <c r="AF139" s="156">
        <v>1.3481276119691507E-3</v>
      </c>
      <c r="AG139" s="154">
        <v>0</v>
      </c>
      <c r="AH139" s="156">
        <v>0</v>
      </c>
    </row>
    <row r="140" spans="1:34" x14ac:dyDescent="0.2">
      <c r="A140" s="152">
        <v>6503</v>
      </c>
      <c r="B140" s="153" t="s">
        <v>176</v>
      </c>
      <c r="C140" s="157">
        <v>0</v>
      </c>
      <c r="D140" s="158">
        <v>0</v>
      </c>
      <c r="E140" s="157">
        <v>63320</v>
      </c>
      <c r="F140" s="158">
        <v>55512</v>
      </c>
      <c r="G140" s="157">
        <v>53769</v>
      </c>
      <c r="H140" s="158">
        <v>308747</v>
      </c>
      <c r="I140" s="157">
        <v>0</v>
      </c>
      <c r="J140" s="158">
        <v>26425</v>
      </c>
      <c r="K140" s="157">
        <v>-9551</v>
      </c>
      <c r="L140" s="158">
        <v>279660</v>
      </c>
      <c r="M140" s="157">
        <v>5678</v>
      </c>
      <c r="N140" s="158">
        <v>0</v>
      </c>
      <c r="O140" s="157">
        <v>1353948</v>
      </c>
      <c r="P140" s="158">
        <v>2494335</v>
      </c>
      <c r="Q140" s="157">
        <v>1352178</v>
      </c>
      <c r="R140" s="158">
        <v>1784936</v>
      </c>
      <c r="S140" s="157">
        <v>55011</v>
      </c>
      <c r="T140" s="158">
        <v>761463</v>
      </c>
      <c r="U140" s="157">
        <v>58919</v>
      </c>
      <c r="V140" s="158">
        <v>52064</v>
      </c>
      <c r="W140" s="157">
        <v>11100.649999999994</v>
      </c>
      <c r="X140" s="158">
        <v>67543.450000000012</v>
      </c>
      <c r="Y140" s="157">
        <v>0</v>
      </c>
      <c r="Z140" s="158">
        <v>0</v>
      </c>
      <c r="AA140" s="157">
        <v>216978.60999999978</v>
      </c>
      <c r="AB140" s="158">
        <v>5604284.8600000003</v>
      </c>
      <c r="AC140" s="157">
        <v>0</v>
      </c>
      <c r="AD140" s="158">
        <v>0</v>
      </c>
      <c r="AE140" s="154">
        <v>4.2776527311984064E-4</v>
      </c>
      <c r="AF140" s="156">
        <v>1.9575603239194005E-3</v>
      </c>
      <c r="AG140" s="154">
        <v>0</v>
      </c>
      <c r="AH140" s="156">
        <v>0</v>
      </c>
    </row>
    <row r="141" spans="1:34" x14ac:dyDescent="0.2">
      <c r="A141" s="152">
        <v>6504</v>
      </c>
      <c r="B141" s="153" t="s">
        <v>177</v>
      </c>
      <c r="C141" s="157">
        <v>0</v>
      </c>
      <c r="D141" s="158">
        <v>0</v>
      </c>
      <c r="E141" s="157">
        <v>659103</v>
      </c>
      <c r="F141" s="158">
        <v>40707</v>
      </c>
      <c r="G141" s="157">
        <v>491884</v>
      </c>
      <c r="H141" s="158">
        <v>165677</v>
      </c>
      <c r="I141" s="157">
        <v>0</v>
      </c>
      <c r="J141" s="158">
        <v>0</v>
      </c>
      <c r="K141" s="157">
        <v>-167219</v>
      </c>
      <c r="L141" s="158">
        <v>124970</v>
      </c>
      <c r="M141" s="157">
        <v>0</v>
      </c>
      <c r="N141" s="158">
        <v>0</v>
      </c>
      <c r="O141" s="157">
        <v>659502</v>
      </c>
      <c r="P141" s="158">
        <v>1048196</v>
      </c>
      <c r="Q141" s="157">
        <v>681729</v>
      </c>
      <c r="R141" s="158">
        <v>1058167</v>
      </c>
      <c r="S141" s="157">
        <v>27323</v>
      </c>
      <c r="T141" s="158">
        <v>-48938</v>
      </c>
      <c r="U141" s="157">
        <v>49550</v>
      </c>
      <c r="V141" s="158">
        <v>-38967</v>
      </c>
      <c r="W141" s="157">
        <v>0</v>
      </c>
      <c r="X141" s="158">
        <v>20198.630000000005</v>
      </c>
      <c r="Y141" s="157">
        <v>0</v>
      </c>
      <c r="Z141" s="158">
        <v>0</v>
      </c>
      <c r="AA141" s="157">
        <v>21117.359999999997</v>
      </c>
      <c r="AB141" s="158">
        <v>303073.2</v>
      </c>
      <c r="AC141" s="157">
        <v>0</v>
      </c>
      <c r="AD141" s="158">
        <v>0</v>
      </c>
      <c r="AE141" s="154">
        <v>0</v>
      </c>
      <c r="AF141" s="156">
        <v>8.480553339055998E-4</v>
      </c>
      <c r="AG141" s="154">
        <v>0</v>
      </c>
      <c r="AH141" s="156">
        <v>0</v>
      </c>
    </row>
    <row r="142" spans="1:34" x14ac:dyDescent="0.2">
      <c r="A142" s="152">
        <v>6505</v>
      </c>
      <c r="B142" s="153" t="s">
        <v>178</v>
      </c>
      <c r="C142" s="157">
        <v>0</v>
      </c>
      <c r="D142" s="158">
        <v>0</v>
      </c>
      <c r="E142" s="157">
        <v>252821</v>
      </c>
      <c r="F142" s="158">
        <v>1341564</v>
      </c>
      <c r="G142" s="157">
        <v>1380988</v>
      </c>
      <c r="H142" s="158">
        <v>223808</v>
      </c>
      <c r="I142" s="157">
        <v>0</v>
      </c>
      <c r="J142" s="158">
        <v>0</v>
      </c>
      <c r="K142" s="157">
        <v>1128167</v>
      </c>
      <c r="L142" s="158">
        <v>-1117756</v>
      </c>
      <c r="M142" s="157">
        <v>1056</v>
      </c>
      <c r="N142" s="158">
        <v>0</v>
      </c>
      <c r="O142" s="157">
        <v>444971</v>
      </c>
      <c r="P142" s="158">
        <v>547812</v>
      </c>
      <c r="Q142" s="157">
        <v>499730</v>
      </c>
      <c r="R142" s="158">
        <v>488739</v>
      </c>
      <c r="S142" s="157">
        <v>83500</v>
      </c>
      <c r="T142" s="158">
        <v>49300</v>
      </c>
      <c r="U142" s="157">
        <v>139315</v>
      </c>
      <c r="V142" s="158">
        <v>-9773</v>
      </c>
      <c r="W142" s="157">
        <v>228572.11000000002</v>
      </c>
      <c r="X142" s="158">
        <v>188641.55</v>
      </c>
      <c r="Y142" s="157">
        <v>0</v>
      </c>
      <c r="Z142" s="158">
        <v>0</v>
      </c>
      <c r="AA142" s="157">
        <v>43883.209999999963</v>
      </c>
      <c r="AB142" s="158">
        <v>125960.17999999988</v>
      </c>
      <c r="AC142" s="157">
        <v>0</v>
      </c>
      <c r="AD142" s="158">
        <v>0</v>
      </c>
      <c r="AE142" s="154">
        <v>1.7361035336144505E-2</v>
      </c>
      <c r="AF142" s="156">
        <v>1.602258891278913E-2</v>
      </c>
      <c r="AG142" s="154">
        <v>0</v>
      </c>
      <c r="AH142" s="156">
        <v>0</v>
      </c>
    </row>
    <row r="143" spans="1:34" x14ac:dyDescent="0.2">
      <c r="A143" s="152">
        <v>6506</v>
      </c>
      <c r="B143" s="153" t="s">
        <v>179</v>
      </c>
      <c r="C143" s="157">
        <v>1633</v>
      </c>
      <c r="D143" s="158">
        <v>1828</v>
      </c>
      <c r="E143" s="157">
        <v>1702660</v>
      </c>
      <c r="F143" s="158">
        <v>1449025</v>
      </c>
      <c r="G143" s="157">
        <v>1716263</v>
      </c>
      <c r="H143" s="158">
        <v>1910523</v>
      </c>
      <c r="I143" s="157">
        <v>0</v>
      </c>
      <c r="J143" s="158">
        <v>397</v>
      </c>
      <c r="K143" s="157">
        <v>15236</v>
      </c>
      <c r="L143" s="158">
        <v>463723</v>
      </c>
      <c r="M143" s="157">
        <v>5724</v>
      </c>
      <c r="N143" s="158">
        <v>0</v>
      </c>
      <c r="O143" s="157">
        <v>1112180</v>
      </c>
      <c r="P143" s="158">
        <v>1030193</v>
      </c>
      <c r="Q143" s="157">
        <v>897673</v>
      </c>
      <c r="R143" s="158">
        <v>1169117</v>
      </c>
      <c r="S143" s="157">
        <v>229003</v>
      </c>
      <c r="T143" s="158">
        <v>-184396</v>
      </c>
      <c r="U143" s="157">
        <v>20220</v>
      </c>
      <c r="V143" s="158">
        <v>-45472</v>
      </c>
      <c r="W143" s="157">
        <v>494.53999999997905</v>
      </c>
      <c r="X143" s="158">
        <v>286678.41000000003</v>
      </c>
      <c r="Y143" s="157">
        <v>0</v>
      </c>
      <c r="Z143" s="158">
        <v>0</v>
      </c>
      <c r="AA143" s="157">
        <v>1737293.66</v>
      </c>
      <c r="AB143" s="158">
        <v>1398971.21</v>
      </c>
      <c r="AC143" s="157">
        <v>0</v>
      </c>
      <c r="AD143" s="158">
        <v>0</v>
      </c>
      <c r="AE143" s="154">
        <v>1.5795200378568004E-5</v>
      </c>
      <c r="AF143" s="156">
        <v>8.061519226301328E-3</v>
      </c>
      <c r="AG143" s="154">
        <v>0</v>
      </c>
      <c r="AH143" s="156">
        <v>0</v>
      </c>
    </row>
    <row r="144" spans="1:34" x14ac:dyDescent="0.2">
      <c r="A144" s="152">
        <v>6507</v>
      </c>
      <c r="B144" s="153" t="s">
        <v>180</v>
      </c>
      <c r="C144" s="157">
        <v>0</v>
      </c>
      <c r="D144" s="158">
        <v>0</v>
      </c>
      <c r="E144" s="157">
        <v>363761</v>
      </c>
      <c r="F144" s="158">
        <v>1381735</v>
      </c>
      <c r="G144" s="157">
        <v>1801223</v>
      </c>
      <c r="H144" s="158">
        <v>0</v>
      </c>
      <c r="I144" s="157">
        <v>-81600</v>
      </c>
      <c r="J144" s="158">
        <v>25873</v>
      </c>
      <c r="K144" s="157">
        <v>1355862</v>
      </c>
      <c r="L144" s="158">
        <v>-1355862</v>
      </c>
      <c r="M144" s="157">
        <v>0</v>
      </c>
      <c r="N144" s="158">
        <v>0</v>
      </c>
      <c r="O144" s="157">
        <v>1452677</v>
      </c>
      <c r="P144" s="158">
        <v>1398744</v>
      </c>
      <c r="Q144" s="157">
        <v>1792150</v>
      </c>
      <c r="R144" s="158">
        <v>1513069</v>
      </c>
      <c r="S144" s="157">
        <v>-276421</v>
      </c>
      <c r="T144" s="158">
        <v>-100800</v>
      </c>
      <c r="U144" s="157">
        <v>63052</v>
      </c>
      <c r="V144" s="158">
        <v>13525</v>
      </c>
      <c r="W144" s="157">
        <v>0</v>
      </c>
      <c r="X144" s="158">
        <v>83103.099999999977</v>
      </c>
      <c r="Y144" s="157">
        <v>0</v>
      </c>
      <c r="Z144" s="158">
        <v>0</v>
      </c>
      <c r="AA144" s="157">
        <v>2628987.87</v>
      </c>
      <c r="AB144" s="158">
        <v>437430.37000000023</v>
      </c>
      <c r="AC144" s="157">
        <v>0</v>
      </c>
      <c r="AD144" s="158">
        <v>0</v>
      </c>
      <c r="AE144" s="154">
        <v>0</v>
      </c>
      <c r="AF144" s="156">
        <v>3.9158999728912958E-3</v>
      </c>
      <c r="AG144" s="154">
        <v>0</v>
      </c>
      <c r="AH144" s="156">
        <v>0</v>
      </c>
    </row>
    <row r="145" spans="1:34" x14ac:dyDescent="0.2">
      <c r="A145" s="152">
        <v>6508</v>
      </c>
      <c r="B145" s="153" t="s">
        <v>173</v>
      </c>
      <c r="C145" s="157">
        <v>12555</v>
      </c>
      <c r="D145" s="158">
        <v>23912</v>
      </c>
      <c r="E145" s="157">
        <v>15403</v>
      </c>
      <c r="F145" s="158">
        <v>20979</v>
      </c>
      <c r="G145" s="157">
        <v>0</v>
      </c>
      <c r="H145" s="158">
        <v>0</v>
      </c>
      <c r="I145" s="157">
        <v>0</v>
      </c>
      <c r="J145" s="158">
        <v>0</v>
      </c>
      <c r="K145" s="157">
        <v>-2848</v>
      </c>
      <c r="L145" s="158">
        <v>2933</v>
      </c>
      <c r="M145" s="157">
        <v>107</v>
      </c>
      <c r="N145" s="158">
        <v>3347</v>
      </c>
      <c r="O145" s="157">
        <v>6599901</v>
      </c>
      <c r="P145" s="158">
        <v>3723917</v>
      </c>
      <c r="Q145" s="157">
        <v>7953908</v>
      </c>
      <c r="R145" s="158">
        <v>7994494</v>
      </c>
      <c r="S145" s="157">
        <v>-2798252</v>
      </c>
      <c r="T145" s="158">
        <v>-3078176</v>
      </c>
      <c r="U145" s="157">
        <v>-1444138</v>
      </c>
      <c r="V145" s="158">
        <v>1195748</v>
      </c>
      <c r="W145" s="157">
        <v>630844.48999999987</v>
      </c>
      <c r="X145" s="158">
        <v>129585.89999999979</v>
      </c>
      <c r="Y145" s="157">
        <v>0</v>
      </c>
      <c r="Z145" s="158">
        <v>0</v>
      </c>
      <c r="AA145" s="157">
        <v>272603.53000000014</v>
      </c>
      <c r="AB145" s="158">
        <v>1503566.2899999998</v>
      </c>
      <c r="AC145" s="157">
        <v>0</v>
      </c>
      <c r="AD145" s="158">
        <v>0</v>
      </c>
      <c r="AE145" s="154">
        <v>3.4476346934489855E-3</v>
      </c>
      <c r="AF145" s="156">
        <v>6.0964228780928441E-4</v>
      </c>
      <c r="AG145" s="154">
        <v>0</v>
      </c>
      <c r="AH145" s="156">
        <v>0</v>
      </c>
    </row>
    <row r="146" spans="1:34" x14ac:dyDescent="0.2">
      <c r="A146" s="152">
        <v>6509</v>
      </c>
      <c r="B146" s="153" t="s">
        <v>181</v>
      </c>
      <c r="C146" s="157">
        <v>0</v>
      </c>
      <c r="D146" s="158">
        <v>0</v>
      </c>
      <c r="E146" s="157">
        <v>56395</v>
      </c>
      <c r="F146" s="158">
        <v>0</v>
      </c>
      <c r="G146" s="157">
        <v>0</v>
      </c>
      <c r="H146" s="158">
        <v>56395</v>
      </c>
      <c r="I146" s="157">
        <v>15912</v>
      </c>
      <c r="J146" s="158">
        <v>-15912</v>
      </c>
      <c r="K146" s="157">
        <v>-40483</v>
      </c>
      <c r="L146" s="158">
        <v>40483</v>
      </c>
      <c r="M146" s="157">
        <v>0</v>
      </c>
      <c r="N146" s="158">
        <v>0</v>
      </c>
      <c r="O146" s="157">
        <v>771057</v>
      </c>
      <c r="P146" s="158">
        <v>617254</v>
      </c>
      <c r="Q146" s="157">
        <v>768106</v>
      </c>
      <c r="R146" s="158">
        <v>809920</v>
      </c>
      <c r="S146" s="157">
        <v>-42441</v>
      </c>
      <c r="T146" s="158">
        <v>-170000</v>
      </c>
      <c r="U146" s="157">
        <v>-45392</v>
      </c>
      <c r="V146" s="158">
        <v>22666</v>
      </c>
      <c r="W146" s="157">
        <v>0</v>
      </c>
      <c r="X146" s="158">
        <v>0</v>
      </c>
      <c r="Y146" s="157">
        <v>0</v>
      </c>
      <c r="Z146" s="158">
        <v>0</v>
      </c>
      <c r="AA146" s="157">
        <v>40409.709999999992</v>
      </c>
      <c r="AB146" s="158">
        <v>1820071.95</v>
      </c>
      <c r="AC146" s="157">
        <v>0</v>
      </c>
      <c r="AD146" s="158">
        <v>0</v>
      </c>
      <c r="AE146" s="154">
        <v>0</v>
      </c>
      <c r="AF146" s="156">
        <v>0</v>
      </c>
      <c r="AG146" s="154">
        <v>0</v>
      </c>
      <c r="AH146" s="156">
        <v>0</v>
      </c>
    </row>
    <row r="147" spans="1:34" x14ac:dyDescent="0.2">
      <c r="A147" s="152">
        <v>6510</v>
      </c>
      <c r="B147" s="153" t="s">
        <v>182</v>
      </c>
      <c r="C147" s="157">
        <v>17590</v>
      </c>
      <c r="D147" s="158">
        <v>15946</v>
      </c>
      <c r="E147" s="157">
        <v>500278</v>
      </c>
      <c r="F147" s="158">
        <v>955597</v>
      </c>
      <c r="G147" s="157">
        <v>1079577</v>
      </c>
      <c r="H147" s="158">
        <v>354761</v>
      </c>
      <c r="I147" s="157">
        <v>353053</v>
      </c>
      <c r="J147" s="158">
        <v>-357173</v>
      </c>
      <c r="K147" s="157">
        <v>949942</v>
      </c>
      <c r="L147" s="158">
        <v>-942063</v>
      </c>
      <c r="M147" s="157">
        <v>0</v>
      </c>
      <c r="N147" s="158">
        <v>0</v>
      </c>
      <c r="O147" s="157">
        <v>2387884</v>
      </c>
      <c r="P147" s="158">
        <v>6417911</v>
      </c>
      <c r="Q147" s="157">
        <v>2572311</v>
      </c>
      <c r="R147" s="158">
        <v>6212799</v>
      </c>
      <c r="S147" s="157">
        <v>-179504</v>
      </c>
      <c r="T147" s="158">
        <v>245196</v>
      </c>
      <c r="U147" s="157">
        <v>4923</v>
      </c>
      <c r="V147" s="158">
        <v>40084</v>
      </c>
      <c r="W147" s="157">
        <v>1919.9999999999418</v>
      </c>
      <c r="X147" s="158">
        <v>1397358.96</v>
      </c>
      <c r="Y147" s="157">
        <v>0</v>
      </c>
      <c r="Z147" s="158">
        <v>0</v>
      </c>
      <c r="AA147" s="157">
        <v>2447170.7199999997</v>
      </c>
      <c r="AB147" s="158">
        <v>10594495.069999998</v>
      </c>
      <c r="AC147" s="157">
        <v>0</v>
      </c>
      <c r="AD147" s="158">
        <v>0</v>
      </c>
      <c r="AE147" s="154">
        <v>4.291579859964278E-5</v>
      </c>
      <c r="AF147" s="156">
        <v>3.1357965685694239E-2</v>
      </c>
      <c r="AG147" s="154">
        <v>0</v>
      </c>
      <c r="AH147" s="156">
        <v>0</v>
      </c>
    </row>
    <row r="148" spans="1:34" x14ac:dyDescent="0.2">
      <c r="A148" s="152">
        <v>6511</v>
      </c>
      <c r="B148" s="153" t="s">
        <v>183</v>
      </c>
      <c r="C148" s="157">
        <v>27894</v>
      </c>
      <c r="D148" s="158">
        <v>29192</v>
      </c>
      <c r="E148" s="157">
        <v>1783334</v>
      </c>
      <c r="F148" s="158">
        <v>2971694</v>
      </c>
      <c r="G148" s="157">
        <v>1755440</v>
      </c>
      <c r="H148" s="158">
        <v>2942502</v>
      </c>
      <c r="I148" s="157">
        <v>0</v>
      </c>
      <c r="J148" s="158">
        <v>0</v>
      </c>
      <c r="K148" s="157">
        <v>0</v>
      </c>
      <c r="L148" s="158">
        <v>0</v>
      </c>
      <c r="M148" s="157">
        <v>0</v>
      </c>
      <c r="N148" s="158">
        <v>0</v>
      </c>
      <c r="O148" s="157">
        <v>1622699</v>
      </c>
      <c r="P148" s="158">
        <v>2191289</v>
      </c>
      <c r="Q148" s="157">
        <v>1487718</v>
      </c>
      <c r="R148" s="158">
        <v>2214835</v>
      </c>
      <c r="S148" s="157">
        <v>93488</v>
      </c>
      <c r="T148" s="158">
        <v>20142</v>
      </c>
      <c r="U148" s="157">
        <v>-41493</v>
      </c>
      <c r="V148" s="158">
        <v>43688</v>
      </c>
      <c r="W148" s="157">
        <v>17070</v>
      </c>
      <c r="X148" s="158">
        <v>20867.199999999953</v>
      </c>
      <c r="Y148" s="157">
        <v>0</v>
      </c>
      <c r="Z148" s="158">
        <v>0</v>
      </c>
      <c r="AA148" s="157">
        <v>3754591.3</v>
      </c>
      <c r="AB148" s="158">
        <v>2295050.13</v>
      </c>
      <c r="AC148" s="157">
        <v>0</v>
      </c>
      <c r="AD148" s="158">
        <v>0</v>
      </c>
      <c r="AE148" s="154">
        <v>6.5610810509137579E-4</v>
      </c>
      <c r="AF148" s="156">
        <v>5.6401805781093064E-4</v>
      </c>
      <c r="AG148" s="154">
        <v>0</v>
      </c>
      <c r="AH148" s="156">
        <v>0</v>
      </c>
    </row>
    <row r="149" spans="1:34" x14ac:dyDescent="0.2">
      <c r="A149" s="152">
        <v>6601</v>
      </c>
      <c r="B149" s="153" t="s">
        <v>185</v>
      </c>
      <c r="C149" s="157">
        <v>0</v>
      </c>
      <c r="D149" s="158">
        <v>0</v>
      </c>
      <c r="E149" s="157">
        <v>0</v>
      </c>
      <c r="F149" s="158">
        <v>0</v>
      </c>
      <c r="G149" s="157">
        <v>0</v>
      </c>
      <c r="H149" s="158">
        <v>94741</v>
      </c>
      <c r="I149" s="157">
        <v>0</v>
      </c>
      <c r="J149" s="158">
        <v>0</v>
      </c>
      <c r="K149" s="157">
        <v>0</v>
      </c>
      <c r="L149" s="158">
        <v>94741</v>
      </c>
      <c r="M149" s="157">
        <v>3076</v>
      </c>
      <c r="N149" s="158">
        <v>44988</v>
      </c>
      <c r="O149" s="157">
        <v>17927541</v>
      </c>
      <c r="P149" s="158">
        <v>10104028</v>
      </c>
      <c r="Q149" s="157">
        <v>16342997</v>
      </c>
      <c r="R149" s="158">
        <v>10699921</v>
      </c>
      <c r="S149" s="157">
        <v>-1233117</v>
      </c>
      <c r="T149" s="158">
        <v>-237702</v>
      </c>
      <c r="U149" s="157">
        <v>-2814585</v>
      </c>
      <c r="V149" s="158">
        <v>403179</v>
      </c>
      <c r="W149" s="157">
        <v>3224221.8899999969</v>
      </c>
      <c r="X149" s="158">
        <v>1432029.1199999969</v>
      </c>
      <c r="Y149" s="157">
        <v>0</v>
      </c>
      <c r="Z149" s="158">
        <v>0</v>
      </c>
      <c r="AA149" s="157">
        <v>10229232.189999998</v>
      </c>
      <c r="AB149" s="158">
        <v>23324306.16</v>
      </c>
      <c r="AC149" s="157">
        <v>0</v>
      </c>
      <c r="AD149" s="158">
        <v>0</v>
      </c>
      <c r="AE149" s="154">
        <v>3.9687154911532685E-2</v>
      </c>
      <c r="AF149" s="156">
        <v>1.505693788297215E-2</v>
      </c>
      <c r="AG149" s="154">
        <v>0</v>
      </c>
      <c r="AH149" s="156">
        <v>0</v>
      </c>
    </row>
    <row r="150" spans="1:34" x14ac:dyDescent="0.2">
      <c r="A150" s="152">
        <v>6602</v>
      </c>
      <c r="B150" s="153" t="s">
        <v>186</v>
      </c>
      <c r="C150" s="157">
        <v>0</v>
      </c>
      <c r="D150" s="158">
        <v>0</v>
      </c>
      <c r="E150" s="157">
        <v>251128</v>
      </c>
      <c r="F150" s="158">
        <v>1739452</v>
      </c>
      <c r="G150" s="157">
        <v>1585306</v>
      </c>
      <c r="H150" s="158">
        <v>346828</v>
      </c>
      <c r="I150" s="157">
        <v>0</v>
      </c>
      <c r="J150" s="158">
        <v>0</v>
      </c>
      <c r="K150" s="157">
        <v>1334178</v>
      </c>
      <c r="L150" s="158">
        <v>-1392624</v>
      </c>
      <c r="M150" s="157">
        <v>0</v>
      </c>
      <c r="N150" s="158">
        <v>0</v>
      </c>
      <c r="O150" s="157">
        <v>151361</v>
      </c>
      <c r="P150" s="158">
        <v>260418</v>
      </c>
      <c r="Q150" s="157">
        <v>107226</v>
      </c>
      <c r="R150" s="158">
        <v>297395</v>
      </c>
      <c r="S150" s="157">
        <v>0</v>
      </c>
      <c r="T150" s="158">
        <v>0</v>
      </c>
      <c r="U150" s="157">
        <v>-44135</v>
      </c>
      <c r="V150" s="158">
        <v>36977</v>
      </c>
      <c r="W150" s="157">
        <v>16650.599999999991</v>
      </c>
      <c r="X150" s="158">
        <v>31032.490000000005</v>
      </c>
      <c r="Y150" s="157">
        <v>0</v>
      </c>
      <c r="Z150" s="158">
        <v>0</v>
      </c>
      <c r="AA150" s="157">
        <v>661537.49</v>
      </c>
      <c r="AB150" s="158">
        <v>3221715.94</v>
      </c>
      <c r="AC150" s="157">
        <v>0</v>
      </c>
      <c r="AD150" s="158">
        <v>0</v>
      </c>
      <c r="AE150" s="154">
        <v>1.2102631853240845E-3</v>
      </c>
      <c r="AF150" s="156">
        <v>1.7309863644025757E-3</v>
      </c>
      <c r="AG150" s="154">
        <v>0</v>
      </c>
      <c r="AH150" s="156">
        <v>0</v>
      </c>
    </row>
    <row r="151" spans="1:34" x14ac:dyDescent="0.2">
      <c r="A151" s="152">
        <v>6603</v>
      </c>
      <c r="B151" s="153" t="s">
        <v>187</v>
      </c>
      <c r="C151" s="157">
        <v>0</v>
      </c>
      <c r="D151" s="158">
        <v>0</v>
      </c>
      <c r="E151" s="157">
        <v>0</v>
      </c>
      <c r="F151" s="158">
        <v>0</v>
      </c>
      <c r="G151" s="157">
        <v>0</v>
      </c>
      <c r="H151" s="158">
        <v>0</v>
      </c>
      <c r="I151" s="157">
        <v>0</v>
      </c>
      <c r="J151" s="158">
        <v>0</v>
      </c>
      <c r="K151" s="157">
        <v>0</v>
      </c>
      <c r="L151" s="158">
        <v>0</v>
      </c>
      <c r="M151" s="157">
        <v>0</v>
      </c>
      <c r="N151" s="158">
        <v>0</v>
      </c>
      <c r="O151" s="157">
        <v>578567</v>
      </c>
      <c r="P151" s="158">
        <v>835173</v>
      </c>
      <c r="Q151" s="157">
        <v>759625</v>
      </c>
      <c r="R151" s="158">
        <v>849868</v>
      </c>
      <c r="S151" s="157">
        <v>-188626</v>
      </c>
      <c r="T151" s="158">
        <v>35837</v>
      </c>
      <c r="U151" s="157">
        <v>-7568</v>
      </c>
      <c r="V151" s="158">
        <v>50532</v>
      </c>
      <c r="W151" s="157">
        <v>20305.919999999984</v>
      </c>
      <c r="X151" s="158">
        <v>121223.40000000002</v>
      </c>
      <c r="Y151" s="157">
        <v>44.500000000000583</v>
      </c>
      <c r="Z151" s="158">
        <v>44.5</v>
      </c>
      <c r="AA151" s="157">
        <v>146507.12</v>
      </c>
      <c r="AB151" s="158">
        <v>233623.62</v>
      </c>
      <c r="AC151" s="157">
        <v>0</v>
      </c>
      <c r="AD151" s="158">
        <v>0</v>
      </c>
      <c r="AE151" s="154">
        <v>1.2318088935545121E-3</v>
      </c>
      <c r="AF151" s="156">
        <v>5.6223990988087834E-3</v>
      </c>
      <c r="AG151" s="154">
        <v>0</v>
      </c>
      <c r="AH151" s="156">
        <v>0</v>
      </c>
    </row>
    <row r="152" spans="1:34" x14ac:dyDescent="0.2">
      <c r="A152" s="152">
        <v>6604</v>
      </c>
      <c r="B152" s="153" t="s">
        <v>188</v>
      </c>
      <c r="C152" s="157">
        <v>0</v>
      </c>
      <c r="D152" s="158">
        <v>0</v>
      </c>
      <c r="E152" s="157">
        <v>612588</v>
      </c>
      <c r="F152" s="158">
        <v>720797</v>
      </c>
      <c r="G152" s="157">
        <v>600728</v>
      </c>
      <c r="H152" s="158">
        <v>733117</v>
      </c>
      <c r="I152" s="157">
        <v>68872</v>
      </c>
      <c r="J152" s="158">
        <v>-68872</v>
      </c>
      <c r="K152" s="157">
        <v>57012</v>
      </c>
      <c r="L152" s="158">
        <v>-56552</v>
      </c>
      <c r="M152" s="157">
        <v>0</v>
      </c>
      <c r="N152" s="158">
        <v>0</v>
      </c>
      <c r="O152" s="157">
        <v>8603566</v>
      </c>
      <c r="P152" s="158">
        <v>2597387</v>
      </c>
      <c r="Q152" s="157">
        <v>7895013</v>
      </c>
      <c r="R152" s="158">
        <v>3782152</v>
      </c>
      <c r="S152" s="157">
        <v>751103</v>
      </c>
      <c r="T152" s="158">
        <v>-1074234</v>
      </c>
      <c r="U152" s="157">
        <v>42550</v>
      </c>
      <c r="V152" s="158">
        <v>110531</v>
      </c>
      <c r="W152" s="157">
        <v>1012151.5700000006</v>
      </c>
      <c r="X152" s="158">
        <v>399697.18999999983</v>
      </c>
      <c r="Y152" s="157">
        <v>0</v>
      </c>
      <c r="Z152" s="158">
        <v>0</v>
      </c>
      <c r="AA152" s="157">
        <v>5200964.2699999996</v>
      </c>
      <c r="AB152" s="158">
        <v>12747410.620000001</v>
      </c>
      <c r="AC152" s="157">
        <v>0</v>
      </c>
      <c r="AD152" s="158">
        <v>0</v>
      </c>
      <c r="AE152" s="154">
        <v>9.9871234736210509E-3</v>
      </c>
      <c r="AF152" s="156">
        <v>4.0935928911376629E-3</v>
      </c>
      <c r="AG152" s="154">
        <v>0</v>
      </c>
      <c r="AH152" s="156">
        <v>0</v>
      </c>
    </row>
    <row r="153" spans="1:34" x14ac:dyDescent="0.2">
      <c r="A153" s="152">
        <v>6605</v>
      </c>
      <c r="B153" s="153" t="s">
        <v>189</v>
      </c>
      <c r="C153" s="157">
        <v>0</v>
      </c>
      <c r="D153" s="158">
        <v>0</v>
      </c>
      <c r="E153" s="157">
        <v>708034</v>
      </c>
      <c r="F153" s="158">
        <v>0</v>
      </c>
      <c r="G153" s="157">
        <v>708405</v>
      </c>
      <c r="H153" s="158">
        <v>0</v>
      </c>
      <c r="I153" s="157">
        <v>0</v>
      </c>
      <c r="J153" s="158">
        <v>0</v>
      </c>
      <c r="K153" s="157">
        <v>371</v>
      </c>
      <c r="L153" s="158">
        <v>0</v>
      </c>
      <c r="M153" s="157">
        <v>0</v>
      </c>
      <c r="N153" s="158">
        <v>0</v>
      </c>
      <c r="O153" s="157">
        <v>208069</v>
      </c>
      <c r="P153" s="158">
        <v>322880</v>
      </c>
      <c r="Q153" s="157">
        <v>206224</v>
      </c>
      <c r="R153" s="158">
        <v>308721</v>
      </c>
      <c r="S153" s="157">
        <v>31855</v>
      </c>
      <c r="T153" s="158">
        <v>13030</v>
      </c>
      <c r="U153" s="157">
        <v>30010</v>
      </c>
      <c r="V153" s="158">
        <v>-1129</v>
      </c>
      <c r="W153" s="157">
        <v>18010.76999999999</v>
      </c>
      <c r="X153" s="158">
        <v>20792.569999999992</v>
      </c>
      <c r="Y153" s="157">
        <v>0</v>
      </c>
      <c r="Z153" s="158">
        <v>0</v>
      </c>
      <c r="AA153" s="157">
        <v>-1.4551915228366852E-11</v>
      </c>
      <c r="AB153" s="158">
        <v>80596.199999999983</v>
      </c>
      <c r="AC153" s="157">
        <v>0</v>
      </c>
      <c r="AD153" s="158">
        <v>0</v>
      </c>
      <c r="AE153" s="154">
        <v>1.5563351972840555E-3</v>
      </c>
      <c r="AF153" s="156">
        <v>1.7787288442762672E-3</v>
      </c>
      <c r="AG153" s="154">
        <v>0</v>
      </c>
      <c r="AH153" s="156">
        <v>0</v>
      </c>
    </row>
    <row r="154" spans="1:34" x14ac:dyDescent="0.2">
      <c r="A154" s="152">
        <v>6606</v>
      </c>
      <c r="B154" s="153" t="s">
        <v>190</v>
      </c>
      <c r="C154" s="157">
        <v>0</v>
      </c>
      <c r="D154" s="158">
        <v>0</v>
      </c>
      <c r="E154" s="157">
        <v>0</v>
      </c>
      <c r="F154" s="158">
        <v>0</v>
      </c>
      <c r="G154" s="157">
        <v>0</v>
      </c>
      <c r="H154" s="158">
        <v>0</v>
      </c>
      <c r="I154" s="157">
        <v>0</v>
      </c>
      <c r="J154" s="158">
        <v>0</v>
      </c>
      <c r="K154" s="157">
        <v>0</v>
      </c>
      <c r="L154" s="158">
        <v>0</v>
      </c>
      <c r="M154" s="157">
        <v>0</v>
      </c>
      <c r="N154" s="158">
        <v>0</v>
      </c>
      <c r="O154" s="157">
        <v>11790</v>
      </c>
      <c r="P154" s="158">
        <v>0</v>
      </c>
      <c r="Q154" s="157">
        <v>11938</v>
      </c>
      <c r="R154" s="158">
        <v>0</v>
      </c>
      <c r="S154" s="157">
        <v>0</v>
      </c>
      <c r="T154" s="158">
        <v>0</v>
      </c>
      <c r="U154" s="157">
        <v>148</v>
      </c>
      <c r="V154" s="158">
        <v>0</v>
      </c>
      <c r="W154" s="157">
        <v>0</v>
      </c>
      <c r="X154" s="158">
        <v>0</v>
      </c>
      <c r="Y154" s="157">
        <v>0</v>
      </c>
      <c r="Z154" s="158">
        <v>0</v>
      </c>
      <c r="AA154" s="157">
        <v>0</v>
      </c>
      <c r="AB154" s="158">
        <v>0</v>
      </c>
      <c r="AC154" s="157">
        <v>0</v>
      </c>
      <c r="AD154" s="158">
        <v>0</v>
      </c>
      <c r="AE154" s="154">
        <v>0</v>
      </c>
      <c r="AF154" s="156">
        <v>0</v>
      </c>
      <c r="AG154" s="154">
        <v>0</v>
      </c>
      <c r="AH154" s="156">
        <v>0</v>
      </c>
    </row>
    <row r="155" spans="1:34" x14ac:dyDescent="0.2">
      <c r="A155" s="152">
        <v>6607</v>
      </c>
      <c r="B155" s="153" t="s">
        <v>191</v>
      </c>
      <c r="C155" s="157">
        <v>0</v>
      </c>
      <c r="D155" s="158">
        <v>10</v>
      </c>
      <c r="E155" s="157">
        <v>48976</v>
      </c>
      <c r="F155" s="158">
        <v>2664537</v>
      </c>
      <c r="G155" s="157">
        <v>415454</v>
      </c>
      <c r="H155" s="158">
        <v>2109866</v>
      </c>
      <c r="I155" s="157">
        <v>-366478</v>
      </c>
      <c r="J155" s="158">
        <v>554671</v>
      </c>
      <c r="K155" s="157">
        <v>0</v>
      </c>
      <c r="L155" s="158">
        <v>10</v>
      </c>
      <c r="M155" s="157">
        <v>-2</v>
      </c>
      <c r="N155" s="158">
        <v>8</v>
      </c>
      <c r="O155" s="157">
        <v>996551</v>
      </c>
      <c r="P155" s="158">
        <v>2145489</v>
      </c>
      <c r="Q155" s="157">
        <v>682990</v>
      </c>
      <c r="R155" s="158">
        <v>2014090</v>
      </c>
      <c r="S155" s="157">
        <v>382436</v>
      </c>
      <c r="T155" s="158">
        <v>192962</v>
      </c>
      <c r="U155" s="157">
        <v>68873</v>
      </c>
      <c r="V155" s="158">
        <v>61571</v>
      </c>
      <c r="W155" s="157">
        <v>0</v>
      </c>
      <c r="X155" s="158">
        <v>643574.34999999986</v>
      </c>
      <c r="Y155" s="157">
        <v>0</v>
      </c>
      <c r="Z155" s="158">
        <v>0</v>
      </c>
      <c r="AA155" s="157">
        <v>4676635.24</v>
      </c>
      <c r="AB155" s="158">
        <v>2628734.33</v>
      </c>
      <c r="AC155" s="157">
        <v>0</v>
      </c>
      <c r="AD155" s="158">
        <v>0</v>
      </c>
      <c r="AE155" s="154">
        <v>0</v>
      </c>
      <c r="AF155" s="156">
        <v>1.0657033810042092E-2</v>
      </c>
      <c r="AG155" s="154">
        <v>0</v>
      </c>
      <c r="AH155" s="156">
        <v>0</v>
      </c>
    </row>
    <row r="156" spans="1:34" x14ac:dyDescent="0.2">
      <c r="A156" s="152">
        <v>6608</v>
      </c>
      <c r="B156" s="153" t="s">
        <v>192</v>
      </c>
      <c r="C156" s="157">
        <v>4354</v>
      </c>
      <c r="D156" s="158">
        <v>3726</v>
      </c>
      <c r="E156" s="157">
        <v>811266</v>
      </c>
      <c r="F156" s="158">
        <v>702636</v>
      </c>
      <c r="G156" s="157">
        <v>843197</v>
      </c>
      <c r="H156" s="158">
        <v>669603</v>
      </c>
      <c r="I156" s="157">
        <v>-62256</v>
      </c>
      <c r="J156" s="158">
        <v>46191</v>
      </c>
      <c r="K156" s="157">
        <v>-25971</v>
      </c>
      <c r="L156" s="158">
        <v>16884</v>
      </c>
      <c r="M156" s="157">
        <v>1480</v>
      </c>
      <c r="N156" s="158">
        <v>0</v>
      </c>
      <c r="O156" s="157">
        <v>129426</v>
      </c>
      <c r="P156" s="158">
        <v>108101</v>
      </c>
      <c r="Q156" s="157">
        <v>108722</v>
      </c>
      <c r="R156" s="158">
        <v>120641</v>
      </c>
      <c r="S156" s="157">
        <v>20391</v>
      </c>
      <c r="T156" s="158">
        <v>-2697</v>
      </c>
      <c r="U156" s="157">
        <v>1167</v>
      </c>
      <c r="V156" s="158">
        <v>9843</v>
      </c>
      <c r="W156" s="157">
        <v>10717.870000000003</v>
      </c>
      <c r="X156" s="158">
        <v>138851.46999999986</v>
      </c>
      <c r="Y156" s="157">
        <v>0</v>
      </c>
      <c r="Z156" s="158">
        <v>0.97</v>
      </c>
      <c r="AA156" s="157">
        <v>217856.0799999999</v>
      </c>
      <c r="AB156" s="158">
        <v>79172.359999999986</v>
      </c>
      <c r="AC156" s="157">
        <v>0</v>
      </c>
      <c r="AD156" s="158">
        <v>0</v>
      </c>
      <c r="AE156" s="154">
        <v>8.1449236440243726E-4</v>
      </c>
      <c r="AF156" s="156">
        <v>1.0406301632808998E-2</v>
      </c>
      <c r="AG156" s="154">
        <v>0</v>
      </c>
      <c r="AH156" s="156">
        <v>0</v>
      </c>
    </row>
    <row r="157" spans="1:34" x14ac:dyDescent="0.2">
      <c r="A157" s="152">
        <v>6609</v>
      </c>
      <c r="B157" s="153" t="s">
        <v>184</v>
      </c>
      <c r="C157" s="157">
        <v>0</v>
      </c>
      <c r="D157" s="158">
        <v>0</v>
      </c>
      <c r="E157" s="157">
        <v>0</v>
      </c>
      <c r="F157" s="158">
        <v>0</v>
      </c>
      <c r="G157" s="157">
        <v>0</v>
      </c>
      <c r="H157" s="158">
        <v>0</v>
      </c>
      <c r="I157" s="157">
        <v>0</v>
      </c>
      <c r="J157" s="158">
        <v>0</v>
      </c>
      <c r="K157" s="157">
        <v>0</v>
      </c>
      <c r="L157" s="158">
        <v>0</v>
      </c>
      <c r="M157" s="157">
        <v>7624</v>
      </c>
      <c r="N157" s="158">
        <v>0</v>
      </c>
      <c r="O157" s="157">
        <v>91483011</v>
      </c>
      <c r="P157" s="158">
        <v>20937891</v>
      </c>
      <c r="Q157" s="157">
        <v>64244672</v>
      </c>
      <c r="R157" s="158">
        <v>53756158</v>
      </c>
      <c r="S157" s="157">
        <v>17548299</v>
      </c>
      <c r="T157" s="158">
        <v>-25642683</v>
      </c>
      <c r="U157" s="157">
        <v>-9682416</v>
      </c>
      <c r="V157" s="158">
        <v>7175584</v>
      </c>
      <c r="W157" s="157">
        <v>2691371.7100000139</v>
      </c>
      <c r="X157" s="158">
        <v>4766348.58</v>
      </c>
      <c r="Y157" s="157">
        <v>0</v>
      </c>
      <c r="Z157" s="158">
        <v>0</v>
      </c>
      <c r="AA157" s="157">
        <v>44541603.150000006</v>
      </c>
      <c r="AB157" s="158">
        <v>39649478.93</v>
      </c>
      <c r="AC157" s="157">
        <v>0</v>
      </c>
      <c r="AD157" s="158">
        <v>4320</v>
      </c>
      <c r="AE157" s="154">
        <v>4.5548942273274697E-3</v>
      </c>
      <c r="AF157" s="156">
        <v>7.0648801516952145E-3</v>
      </c>
      <c r="AG157" s="154">
        <v>0</v>
      </c>
      <c r="AH157" s="156">
        <v>6.4032837177266055E-6</v>
      </c>
    </row>
    <row r="158" spans="1:34" x14ac:dyDescent="0.2">
      <c r="A158" s="152">
        <v>6610</v>
      </c>
      <c r="B158" s="153" t="s">
        <v>193</v>
      </c>
      <c r="C158" s="157">
        <v>21583</v>
      </c>
      <c r="D158" s="158">
        <v>18027</v>
      </c>
      <c r="E158" s="157">
        <v>900736</v>
      </c>
      <c r="F158" s="158">
        <v>726024</v>
      </c>
      <c r="G158" s="157">
        <v>878421</v>
      </c>
      <c r="H158" s="158">
        <v>725858</v>
      </c>
      <c r="I158" s="157">
        <v>13253</v>
      </c>
      <c r="J158" s="158">
        <v>-13919</v>
      </c>
      <c r="K158" s="157">
        <v>12521</v>
      </c>
      <c r="L158" s="158">
        <v>3942</v>
      </c>
      <c r="M158" s="157">
        <v>0</v>
      </c>
      <c r="N158" s="158">
        <v>0</v>
      </c>
      <c r="O158" s="157">
        <v>1581037</v>
      </c>
      <c r="P158" s="158">
        <v>1290326</v>
      </c>
      <c r="Q158" s="157">
        <v>1714403</v>
      </c>
      <c r="R158" s="158">
        <v>1176359</v>
      </c>
      <c r="S158" s="157">
        <v>-14308</v>
      </c>
      <c r="T158" s="158">
        <v>80835</v>
      </c>
      <c r="U158" s="157">
        <v>119058</v>
      </c>
      <c r="V158" s="158">
        <v>-33132</v>
      </c>
      <c r="W158" s="157">
        <v>661866.40000000014</v>
      </c>
      <c r="X158" s="158">
        <v>18925.290000000052</v>
      </c>
      <c r="Y158" s="157">
        <v>0</v>
      </c>
      <c r="Z158" s="158">
        <v>0</v>
      </c>
      <c r="AA158" s="157">
        <v>154522.85000000003</v>
      </c>
      <c r="AB158" s="158">
        <v>35162.939999999995</v>
      </c>
      <c r="AC158" s="157">
        <v>0</v>
      </c>
      <c r="AD158" s="158">
        <v>0</v>
      </c>
      <c r="AE158" s="154">
        <v>1.5476336312926785E-2</v>
      </c>
      <c r="AF158" s="156">
        <v>4.4107537679728882E-4</v>
      </c>
      <c r="AG158" s="154">
        <v>0</v>
      </c>
      <c r="AH158" s="156">
        <v>0</v>
      </c>
    </row>
    <row r="159" spans="1:34" x14ac:dyDescent="0.2">
      <c r="A159" s="152">
        <v>6611</v>
      </c>
      <c r="B159" s="153" t="s">
        <v>194</v>
      </c>
      <c r="C159" s="157">
        <v>0</v>
      </c>
      <c r="D159" s="158">
        <v>0</v>
      </c>
      <c r="E159" s="157">
        <v>523704</v>
      </c>
      <c r="F159" s="158">
        <v>2116500</v>
      </c>
      <c r="G159" s="157">
        <v>648903</v>
      </c>
      <c r="H159" s="158">
        <v>2023487</v>
      </c>
      <c r="I159" s="157">
        <v>-193001</v>
      </c>
      <c r="J159" s="158">
        <v>161789</v>
      </c>
      <c r="K159" s="157">
        <v>-67802</v>
      </c>
      <c r="L159" s="158">
        <v>68776</v>
      </c>
      <c r="M159" s="157">
        <v>0</v>
      </c>
      <c r="N159" s="158">
        <v>0</v>
      </c>
      <c r="O159" s="157">
        <v>759215</v>
      </c>
      <c r="P159" s="158">
        <v>1090774</v>
      </c>
      <c r="Q159" s="157">
        <v>719743</v>
      </c>
      <c r="R159" s="158">
        <v>1111242</v>
      </c>
      <c r="S159" s="157">
        <v>-43061</v>
      </c>
      <c r="T159" s="158">
        <v>77571</v>
      </c>
      <c r="U159" s="157">
        <v>-82533</v>
      </c>
      <c r="V159" s="158">
        <v>98039</v>
      </c>
      <c r="W159" s="157">
        <v>175.92999999999302</v>
      </c>
      <c r="X159" s="158">
        <v>3209.3399999999092</v>
      </c>
      <c r="Y159" s="157">
        <v>0</v>
      </c>
      <c r="Z159" s="158">
        <v>0</v>
      </c>
      <c r="AA159" s="157">
        <v>157438.74</v>
      </c>
      <c r="AB159" s="158">
        <v>2231853.5700000003</v>
      </c>
      <c r="AC159" s="157">
        <v>0</v>
      </c>
      <c r="AD159" s="158">
        <v>0</v>
      </c>
      <c r="AE159" s="154">
        <v>3.4345447380442297E-6</v>
      </c>
      <c r="AF159" s="156">
        <v>5.6020916681945997E-5</v>
      </c>
      <c r="AG159" s="154">
        <v>0</v>
      </c>
      <c r="AH159" s="156">
        <v>0</v>
      </c>
    </row>
    <row r="160" spans="1:34" x14ac:dyDescent="0.2">
      <c r="A160" s="152">
        <v>6612</v>
      </c>
      <c r="B160" s="153" t="s">
        <v>195</v>
      </c>
      <c r="C160" s="157">
        <v>0</v>
      </c>
      <c r="D160" s="158">
        <v>23</v>
      </c>
      <c r="E160" s="157">
        <v>150131</v>
      </c>
      <c r="F160" s="158">
        <v>879510</v>
      </c>
      <c r="G160" s="157">
        <v>170563</v>
      </c>
      <c r="H160" s="158">
        <v>2046507</v>
      </c>
      <c r="I160" s="157">
        <v>0</v>
      </c>
      <c r="J160" s="158">
        <v>23817</v>
      </c>
      <c r="K160" s="157">
        <v>20432</v>
      </c>
      <c r="L160" s="158">
        <v>1190837</v>
      </c>
      <c r="M160" s="157">
        <v>14</v>
      </c>
      <c r="N160" s="158">
        <v>9</v>
      </c>
      <c r="O160" s="157">
        <v>713316</v>
      </c>
      <c r="P160" s="158">
        <v>1119599</v>
      </c>
      <c r="Q160" s="157">
        <v>572523</v>
      </c>
      <c r="R160" s="158">
        <v>812397</v>
      </c>
      <c r="S160" s="157">
        <v>202371</v>
      </c>
      <c r="T160" s="158">
        <v>227741</v>
      </c>
      <c r="U160" s="157">
        <v>61592</v>
      </c>
      <c r="V160" s="158">
        <v>-79452</v>
      </c>
      <c r="W160" s="157">
        <v>21095.699999999983</v>
      </c>
      <c r="X160" s="158">
        <v>416327.37</v>
      </c>
      <c r="Y160" s="157">
        <v>0</v>
      </c>
      <c r="Z160" s="158">
        <v>0</v>
      </c>
      <c r="AA160" s="157">
        <v>687081.48</v>
      </c>
      <c r="AB160" s="158">
        <v>4633109.790000001</v>
      </c>
      <c r="AC160" s="157">
        <v>0</v>
      </c>
      <c r="AD160" s="158">
        <v>0</v>
      </c>
      <c r="AE160" s="154">
        <v>4.1400028518855201E-4</v>
      </c>
      <c r="AF160" s="156">
        <v>8.0005359603139547E-3</v>
      </c>
      <c r="AG160" s="154">
        <v>0</v>
      </c>
      <c r="AH160" s="156">
        <v>0</v>
      </c>
    </row>
    <row r="161" spans="1:34" x14ac:dyDescent="0.2">
      <c r="A161" s="152">
        <v>6613</v>
      </c>
      <c r="B161" s="153" t="s">
        <v>196</v>
      </c>
      <c r="C161" s="157">
        <v>30721</v>
      </c>
      <c r="D161" s="158">
        <v>36151</v>
      </c>
      <c r="E161" s="157">
        <v>27535</v>
      </c>
      <c r="F161" s="158">
        <v>32762</v>
      </c>
      <c r="G161" s="157">
        <v>0</v>
      </c>
      <c r="H161" s="158">
        <v>3409</v>
      </c>
      <c r="I161" s="157">
        <v>0</v>
      </c>
      <c r="J161" s="158">
        <v>-4481</v>
      </c>
      <c r="K161" s="157">
        <v>3186</v>
      </c>
      <c r="L161" s="158">
        <v>2317</v>
      </c>
      <c r="M161" s="157">
        <v>10521</v>
      </c>
      <c r="N161" s="158">
        <v>3366</v>
      </c>
      <c r="O161" s="157">
        <v>1084697</v>
      </c>
      <c r="P161" s="158">
        <v>2088122</v>
      </c>
      <c r="Q161" s="157">
        <v>1131018</v>
      </c>
      <c r="R161" s="158">
        <v>2001621</v>
      </c>
      <c r="S161" s="157">
        <v>-50255</v>
      </c>
      <c r="T161" s="158">
        <v>139492</v>
      </c>
      <c r="U161" s="157">
        <v>6587</v>
      </c>
      <c r="V161" s="158">
        <v>56357</v>
      </c>
      <c r="W161" s="157">
        <v>24652.860000000015</v>
      </c>
      <c r="X161" s="158">
        <v>56545.609999999986</v>
      </c>
      <c r="Y161" s="157">
        <v>0</v>
      </c>
      <c r="Z161" s="158">
        <v>0</v>
      </c>
      <c r="AA161" s="157">
        <v>872410.6</v>
      </c>
      <c r="AB161" s="158">
        <v>3954843.5999999996</v>
      </c>
      <c r="AC161" s="157">
        <v>0</v>
      </c>
      <c r="AD161" s="158">
        <v>0</v>
      </c>
      <c r="AE161" s="154">
        <v>9.2983859686019614E-4</v>
      </c>
      <c r="AF161" s="156">
        <v>1.8106055029197515E-3</v>
      </c>
      <c r="AG161" s="154">
        <v>0</v>
      </c>
      <c r="AH161" s="156">
        <v>0</v>
      </c>
    </row>
    <row r="162" spans="1:34" x14ac:dyDescent="0.2">
      <c r="A162" s="152">
        <v>6614</v>
      </c>
      <c r="B162" s="153" t="s">
        <v>197</v>
      </c>
      <c r="C162" s="157">
        <v>0</v>
      </c>
      <c r="D162" s="158">
        <v>0</v>
      </c>
      <c r="E162" s="157">
        <v>4190</v>
      </c>
      <c r="F162" s="158">
        <v>230041</v>
      </c>
      <c r="G162" s="157">
        <v>0</v>
      </c>
      <c r="H162" s="158">
        <v>233203</v>
      </c>
      <c r="I162" s="157">
        <v>0</v>
      </c>
      <c r="J162" s="158">
        <v>0</v>
      </c>
      <c r="K162" s="157">
        <v>-4190</v>
      </c>
      <c r="L162" s="158">
        <v>3162</v>
      </c>
      <c r="M162" s="157">
        <v>0</v>
      </c>
      <c r="N162" s="158">
        <v>0</v>
      </c>
      <c r="O162" s="157">
        <v>314353</v>
      </c>
      <c r="P162" s="158">
        <v>610095</v>
      </c>
      <c r="Q162" s="157">
        <v>366708</v>
      </c>
      <c r="R162" s="158">
        <v>578128</v>
      </c>
      <c r="S162" s="157">
        <v>9844</v>
      </c>
      <c r="T162" s="158">
        <v>54091</v>
      </c>
      <c r="U162" s="157">
        <v>62199</v>
      </c>
      <c r="V162" s="158">
        <v>22124</v>
      </c>
      <c r="W162" s="157">
        <v>303280.25</v>
      </c>
      <c r="X162" s="158">
        <v>57299.069999999949</v>
      </c>
      <c r="Y162" s="157">
        <v>0</v>
      </c>
      <c r="Z162" s="158">
        <v>0</v>
      </c>
      <c r="AA162" s="157">
        <v>283602.86</v>
      </c>
      <c r="AB162" s="158">
        <v>465647.19999999995</v>
      </c>
      <c r="AC162" s="157">
        <v>0</v>
      </c>
      <c r="AD162" s="158">
        <v>0</v>
      </c>
      <c r="AE162" s="154">
        <v>8.897919837166559E-3</v>
      </c>
      <c r="AF162" s="156">
        <v>1.8647410727570624E-3</v>
      </c>
      <c r="AG162" s="154">
        <v>0</v>
      </c>
      <c r="AH162" s="156">
        <v>0</v>
      </c>
    </row>
    <row r="163" spans="1:34" x14ac:dyDescent="0.2">
      <c r="A163" s="152">
        <v>6615</v>
      </c>
      <c r="B163" s="153" t="s">
        <v>198</v>
      </c>
      <c r="C163" s="157">
        <v>0</v>
      </c>
      <c r="D163" s="158">
        <v>0</v>
      </c>
      <c r="E163" s="157">
        <v>479900</v>
      </c>
      <c r="F163" s="158">
        <v>2182063</v>
      </c>
      <c r="G163" s="157">
        <v>479900</v>
      </c>
      <c r="H163" s="158">
        <v>2182063</v>
      </c>
      <c r="I163" s="157">
        <v>0</v>
      </c>
      <c r="J163" s="158">
        <v>0</v>
      </c>
      <c r="K163" s="157">
        <v>0</v>
      </c>
      <c r="L163" s="158">
        <v>0</v>
      </c>
      <c r="M163" s="157">
        <v>0</v>
      </c>
      <c r="N163" s="158">
        <v>0</v>
      </c>
      <c r="O163" s="157">
        <v>1612649</v>
      </c>
      <c r="P163" s="158">
        <v>1833244</v>
      </c>
      <c r="Q163" s="157">
        <v>2460674</v>
      </c>
      <c r="R163" s="158">
        <v>1652927</v>
      </c>
      <c r="S163" s="157">
        <v>-904227</v>
      </c>
      <c r="T163" s="158">
        <v>259841</v>
      </c>
      <c r="U163" s="157">
        <v>-56202</v>
      </c>
      <c r="V163" s="158">
        <v>79524</v>
      </c>
      <c r="W163" s="157">
        <v>500161.87999999983</v>
      </c>
      <c r="X163" s="158">
        <v>21217.79000000027</v>
      </c>
      <c r="Y163" s="157">
        <v>0</v>
      </c>
      <c r="Z163" s="158">
        <v>0</v>
      </c>
      <c r="AA163" s="157">
        <v>3604389.2199999997</v>
      </c>
      <c r="AB163" s="158">
        <v>2339214.3500000006</v>
      </c>
      <c r="AC163" s="157">
        <v>0</v>
      </c>
      <c r="AD163" s="158">
        <v>0</v>
      </c>
      <c r="AE163" s="154">
        <v>3.0256917260261432E-2</v>
      </c>
      <c r="AF163" s="156">
        <v>9.8696401969334451E-4</v>
      </c>
      <c r="AG163" s="154">
        <v>0</v>
      </c>
      <c r="AH163" s="156">
        <v>0</v>
      </c>
    </row>
    <row r="164" spans="1:34" x14ac:dyDescent="0.2">
      <c r="A164" s="152">
        <v>6616</v>
      </c>
      <c r="B164" s="153" t="s">
        <v>199</v>
      </c>
      <c r="C164" s="157">
        <v>0</v>
      </c>
      <c r="D164" s="158">
        <v>0</v>
      </c>
      <c r="E164" s="157">
        <v>67259</v>
      </c>
      <c r="F164" s="158">
        <v>1742761</v>
      </c>
      <c r="G164" s="157">
        <v>-21762</v>
      </c>
      <c r="H164" s="158">
        <v>1840803</v>
      </c>
      <c r="I164" s="157">
        <v>65000</v>
      </c>
      <c r="J164" s="158">
        <v>-65000</v>
      </c>
      <c r="K164" s="157">
        <v>-24021</v>
      </c>
      <c r="L164" s="158">
        <v>33042</v>
      </c>
      <c r="M164" s="157">
        <v>0</v>
      </c>
      <c r="N164" s="158">
        <v>0</v>
      </c>
      <c r="O164" s="157">
        <v>8920654</v>
      </c>
      <c r="P164" s="158">
        <v>3217920</v>
      </c>
      <c r="Q164" s="157">
        <v>8950548</v>
      </c>
      <c r="R164" s="158">
        <v>2982662</v>
      </c>
      <c r="S164" s="157">
        <v>-5368</v>
      </c>
      <c r="T164" s="158">
        <v>184641</v>
      </c>
      <c r="U164" s="157">
        <v>24526</v>
      </c>
      <c r="V164" s="158">
        <v>-50617</v>
      </c>
      <c r="W164" s="157">
        <v>122031.83999999911</v>
      </c>
      <c r="X164" s="158">
        <v>450184.53000000049</v>
      </c>
      <c r="Y164" s="157">
        <v>0</v>
      </c>
      <c r="Z164" s="158">
        <v>0</v>
      </c>
      <c r="AA164" s="157">
        <v>4335127.0599999996</v>
      </c>
      <c r="AB164" s="158">
        <v>3716902.5</v>
      </c>
      <c r="AC164" s="157">
        <v>0</v>
      </c>
      <c r="AD164" s="158">
        <v>0</v>
      </c>
      <c r="AE164" s="154">
        <v>4.8632688062255564E-3</v>
      </c>
      <c r="AF164" s="156">
        <v>1.7187607271134601E-2</v>
      </c>
      <c r="AG164" s="154">
        <v>0</v>
      </c>
      <c r="AH164" s="156">
        <v>0</v>
      </c>
    </row>
    <row r="165" spans="1:34" x14ac:dyDescent="0.2">
      <c r="A165" s="152">
        <v>6617</v>
      </c>
      <c r="B165" s="153" t="s">
        <v>200</v>
      </c>
      <c r="C165" s="157">
        <v>0</v>
      </c>
      <c r="D165" s="158">
        <v>0</v>
      </c>
      <c r="E165" s="157">
        <v>0</v>
      </c>
      <c r="F165" s="158">
        <v>165095</v>
      </c>
      <c r="G165" s="157">
        <v>0</v>
      </c>
      <c r="H165" s="158">
        <v>168320</v>
      </c>
      <c r="I165" s="157">
        <v>0</v>
      </c>
      <c r="J165" s="158">
        <v>-3225</v>
      </c>
      <c r="K165" s="157">
        <v>0</v>
      </c>
      <c r="L165" s="158">
        <v>0</v>
      </c>
      <c r="M165" s="157">
        <v>0</v>
      </c>
      <c r="N165" s="158">
        <v>0</v>
      </c>
      <c r="O165" s="157">
        <v>294882</v>
      </c>
      <c r="P165" s="158">
        <v>515110</v>
      </c>
      <c r="Q165" s="157">
        <v>175564</v>
      </c>
      <c r="R165" s="158">
        <v>564710</v>
      </c>
      <c r="S165" s="157">
        <v>119296</v>
      </c>
      <c r="T165" s="158">
        <v>-47025</v>
      </c>
      <c r="U165" s="157">
        <v>-22</v>
      </c>
      <c r="V165" s="158">
        <v>2575</v>
      </c>
      <c r="W165" s="157">
        <v>10730.350000000006</v>
      </c>
      <c r="X165" s="158">
        <v>96472.199999999983</v>
      </c>
      <c r="Y165" s="157">
        <v>0</v>
      </c>
      <c r="Z165" s="158">
        <v>0</v>
      </c>
      <c r="AA165" s="157">
        <v>503187.02</v>
      </c>
      <c r="AB165" s="158">
        <v>218766.99</v>
      </c>
      <c r="AC165" s="157">
        <v>0</v>
      </c>
      <c r="AD165" s="158">
        <v>0</v>
      </c>
      <c r="AE165" s="154">
        <v>8.2061228221503679E-4</v>
      </c>
      <c r="AF165" s="156">
        <v>7.6974233967451325E-3</v>
      </c>
      <c r="AG165" s="154">
        <v>0</v>
      </c>
      <c r="AH165" s="156">
        <v>0</v>
      </c>
    </row>
    <row r="166" spans="1:34" x14ac:dyDescent="0.2">
      <c r="A166" s="152">
        <v>6618</v>
      </c>
      <c r="B166" s="153" t="s">
        <v>201</v>
      </c>
      <c r="C166" s="157">
        <v>0</v>
      </c>
      <c r="D166" s="158">
        <v>0</v>
      </c>
      <c r="E166" s="157">
        <v>0</v>
      </c>
      <c r="F166" s="158">
        <v>0</v>
      </c>
      <c r="G166" s="157">
        <v>0</v>
      </c>
      <c r="H166" s="158">
        <v>0</v>
      </c>
      <c r="I166" s="157">
        <v>0</v>
      </c>
      <c r="J166" s="158">
        <v>0</v>
      </c>
      <c r="K166" s="157">
        <v>0</v>
      </c>
      <c r="L166" s="158">
        <v>0</v>
      </c>
      <c r="M166" s="157">
        <v>0</v>
      </c>
      <c r="N166" s="158">
        <v>0</v>
      </c>
      <c r="O166" s="157">
        <v>266633</v>
      </c>
      <c r="P166" s="158">
        <v>343652</v>
      </c>
      <c r="Q166" s="157">
        <v>351434</v>
      </c>
      <c r="R166" s="158">
        <v>365614</v>
      </c>
      <c r="S166" s="157">
        <v>-60721</v>
      </c>
      <c r="T166" s="158">
        <v>49029</v>
      </c>
      <c r="U166" s="157">
        <v>24080</v>
      </c>
      <c r="V166" s="158">
        <v>70991</v>
      </c>
      <c r="W166" s="157">
        <v>10970.060000000012</v>
      </c>
      <c r="X166" s="158">
        <v>5837.4799999999959</v>
      </c>
      <c r="Y166" s="157">
        <v>0</v>
      </c>
      <c r="Z166" s="158">
        <v>0</v>
      </c>
      <c r="AA166" s="157">
        <v>219303.78000000003</v>
      </c>
      <c r="AB166" s="158">
        <v>653661.85</v>
      </c>
      <c r="AC166" s="157">
        <v>0</v>
      </c>
      <c r="AD166" s="158">
        <v>0</v>
      </c>
      <c r="AE166" s="154">
        <v>7.0044330092539813E-4</v>
      </c>
      <c r="AF166" s="156">
        <v>3.8576435760382619E-4</v>
      </c>
      <c r="AG166" s="154">
        <v>0</v>
      </c>
      <c r="AH166" s="156">
        <v>0</v>
      </c>
    </row>
    <row r="167" spans="1:34" x14ac:dyDescent="0.2">
      <c r="A167" s="152">
        <v>6701</v>
      </c>
      <c r="B167" s="153" t="s">
        <v>203</v>
      </c>
      <c r="C167" s="157">
        <v>20767</v>
      </c>
      <c r="D167" s="158">
        <v>16191</v>
      </c>
      <c r="E167" s="157">
        <v>154984</v>
      </c>
      <c r="F167" s="158">
        <v>70110</v>
      </c>
      <c r="G167" s="157">
        <v>134217</v>
      </c>
      <c r="H167" s="158">
        <v>70110</v>
      </c>
      <c r="I167" s="157">
        <v>0</v>
      </c>
      <c r="J167" s="158">
        <v>0</v>
      </c>
      <c r="K167" s="157">
        <v>0</v>
      </c>
      <c r="L167" s="158">
        <v>16191</v>
      </c>
      <c r="M167" s="157">
        <v>0</v>
      </c>
      <c r="N167" s="158">
        <v>0</v>
      </c>
      <c r="O167" s="157">
        <v>711625</v>
      </c>
      <c r="P167" s="158">
        <v>660956</v>
      </c>
      <c r="Q167" s="157">
        <v>767023</v>
      </c>
      <c r="R167" s="158">
        <v>688502</v>
      </c>
      <c r="S167" s="157">
        <v>15363</v>
      </c>
      <c r="T167" s="158">
        <v>-26372</v>
      </c>
      <c r="U167" s="157">
        <v>70761</v>
      </c>
      <c r="V167" s="158">
        <v>1174</v>
      </c>
      <c r="W167" s="157">
        <v>1434.7199999999721</v>
      </c>
      <c r="X167" s="158">
        <v>228611.11000000002</v>
      </c>
      <c r="Y167" s="157">
        <v>0</v>
      </c>
      <c r="Z167" s="158">
        <v>0</v>
      </c>
      <c r="AA167" s="157">
        <v>100828.51000000001</v>
      </c>
      <c r="AB167" s="158">
        <v>125449.31</v>
      </c>
      <c r="AC167" s="157">
        <v>0</v>
      </c>
      <c r="AD167" s="158">
        <v>0</v>
      </c>
      <c r="AE167" s="154">
        <v>1.0122981182397195E-4</v>
      </c>
      <c r="AF167" s="156">
        <v>1.4857008888751693E-2</v>
      </c>
      <c r="AG167" s="154">
        <v>0</v>
      </c>
      <c r="AH167" s="156">
        <v>0</v>
      </c>
    </row>
    <row r="168" spans="1:34" x14ac:dyDescent="0.2">
      <c r="A168" s="152">
        <v>6702</v>
      </c>
      <c r="B168" s="153" t="s">
        <v>204</v>
      </c>
      <c r="C168" s="157">
        <v>43336</v>
      </c>
      <c r="D168" s="158">
        <v>45046</v>
      </c>
      <c r="E168" s="157">
        <v>1101867</v>
      </c>
      <c r="F168" s="158">
        <v>1476280</v>
      </c>
      <c r="G168" s="157">
        <v>607912</v>
      </c>
      <c r="H168" s="158">
        <v>1095100</v>
      </c>
      <c r="I168" s="157">
        <v>547658</v>
      </c>
      <c r="J168" s="158">
        <v>244094</v>
      </c>
      <c r="K168" s="157">
        <v>97039</v>
      </c>
      <c r="L168" s="158">
        <v>-92040</v>
      </c>
      <c r="M168" s="157">
        <v>0</v>
      </c>
      <c r="N168" s="158">
        <v>0</v>
      </c>
      <c r="O168" s="157">
        <v>1144007</v>
      </c>
      <c r="P168" s="158">
        <v>3452222</v>
      </c>
      <c r="Q168" s="157">
        <v>1518051</v>
      </c>
      <c r="R168" s="158">
        <v>3351203</v>
      </c>
      <c r="S168" s="157">
        <v>-197231</v>
      </c>
      <c r="T168" s="158">
        <v>98266</v>
      </c>
      <c r="U168" s="157">
        <v>176813</v>
      </c>
      <c r="V168" s="158">
        <v>-2753</v>
      </c>
      <c r="W168" s="157">
        <v>7537.3999999999942</v>
      </c>
      <c r="X168" s="158">
        <v>111669.71999999927</v>
      </c>
      <c r="Y168" s="157">
        <v>0</v>
      </c>
      <c r="Z168" s="158">
        <v>0</v>
      </c>
      <c r="AA168" s="157">
        <v>1006269.9500000002</v>
      </c>
      <c r="AB168" s="158">
        <v>1608390.1000000006</v>
      </c>
      <c r="AC168" s="157">
        <v>0</v>
      </c>
      <c r="AD168" s="158">
        <v>0</v>
      </c>
      <c r="AE168" s="154">
        <v>1.9329185903896125E-4</v>
      </c>
      <c r="AF168" s="156">
        <v>2.3806817012909432E-3</v>
      </c>
      <c r="AG168" s="154">
        <v>0</v>
      </c>
      <c r="AH168" s="156">
        <v>0</v>
      </c>
    </row>
    <row r="169" spans="1:34" x14ac:dyDescent="0.2">
      <c r="A169" s="152">
        <v>6703</v>
      </c>
      <c r="B169" s="153" t="s">
        <v>205</v>
      </c>
      <c r="C169" s="157">
        <v>0</v>
      </c>
      <c r="D169" s="158">
        <v>0</v>
      </c>
      <c r="E169" s="157">
        <v>157783</v>
      </c>
      <c r="F169" s="158">
        <v>206694</v>
      </c>
      <c r="G169" s="157">
        <v>103548</v>
      </c>
      <c r="H169" s="158">
        <v>206694</v>
      </c>
      <c r="I169" s="157">
        <v>-9999</v>
      </c>
      <c r="J169" s="158">
        <v>0</v>
      </c>
      <c r="K169" s="157">
        <v>-64234</v>
      </c>
      <c r="L169" s="158">
        <v>0</v>
      </c>
      <c r="M169" s="157">
        <v>0</v>
      </c>
      <c r="N169" s="158">
        <v>0</v>
      </c>
      <c r="O169" s="157">
        <v>1402510</v>
      </c>
      <c r="P169" s="158">
        <v>1735721</v>
      </c>
      <c r="Q169" s="157">
        <v>1622928</v>
      </c>
      <c r="R169" s="158">
        <v>1555662</v>
      </c>
      <c r="S169" s="157">
        <v>-97899</v>
      </c>
      <c r="T169" s="158">
        <v>142055</v>
      </c>
      <c r="U169" s="157">
        <v>122519</v>
      </c>
      <c r="V169" s="158">
        <v>-38004</v>
      </c>
      <c r="W169" s="157">
        <v>20221.02999999997</v>
      </c>
      <c r="X169" s="158">
        <v>134005.81000000003</v>
      </c>
      <c r="Y169" s="157">
        <v>0</v>
      </c>
      <c r="Z169" s="158">
        <v>0</v>
      </c>
      <c r="AA169" s="157">
        <v>75034.42</v>
      </c>
      <c r="AB169" s="158">
        <v>2117827.33</v>
      </c>
      <c r="AC169" s="157">
        <v>0</v>
      </c>
      <c r="AD169" s="158">
        <v>0</v>
      </c>
      <c r="AE169" s="154">
        <v>7.5085676673706007E-4</v>
      </c>
      <c r="AF169" s="156">
        <v>4.5226491706681663E-3</v>
      </c>
      <c r="AG169" s="154">
        <v>0</v>
      </c>
      <c r="AH169" s="156">
        <v>0</v>
      </c>
    </row>
    <row r="170" spans="1:34" x14ac:dyDescent="0.2">
      <c r="A170" s="152">
        <v>6704</v>
      </c>
      <c r="B170" s="153" t="s">
        <v>206</v>
      </c>
      <c r="C170" s="157">
        <v>0</v>
      </c>
      <c r="D170" s="158">
        <v>0</v>
      </c>
      <c r="E170" s="157">
        <v>0</v>
      </c>
      <c r="F170" s="158">
        <v>0</v>
      </c>
      <c r="G170" s="157">
        <v>0</v>
      </c>
      <c r="H170" s="158">
        <v>0</v>
      </c>
      <c r="I170" s="157">
        <v>0</v>
      </c>
      <c r="J170" s="158">
        <v>0</v>
      </c>
      <c r="K170" s="157">
        <v>0</v>
      </c>
      <c r="L170" s="158">
        <v>0</v>
      </c>
      <c r="M170" s="157">
        <v>0</v>
      </c>
      <c r="N170" s="158">
        <v>0</v>
      </c>
      <c r="O170" s="157">
        <v>1358743</v>
      </c>
      <c r="P170" s="158">
        <v>1300953</v>
      </c>
      <c r="Q170" s="157">
        <v>956504</v>
      </c>
      <c r="R170" s="158">
        <v>1347158</v>
      </c>
      <c r="S170" s="157">
        <v>117735</v>
      </c>
      <c r="T170" s="158">
        <v>-36814</v>
      </c>
      <c r="U170" s="157">
        <v>-284504</v>
      </c>
      <c r="V170" s="158">
        <v>9391</v>
      </c>
      <c r="W170" s="157">
        <v>24294.639999999898</v>
      </c>
      <c r="X170" s="158">
        <v>76607.559999999939</v>
      </c>
      <c r="Y170" s="157">
        <v>0</v>
      </c>
      <c r="Z170" s="158">
        <v>0</v>
      </c>
      <c r="AA170" s="157">
        <v>-1.4551915228366852E-11</v>
      </c>
      <c r="AB170" s="158">
        <v>92157.950000000012</v>
      </c>
      <c r="AC170" s="157">
        <v>0</v>
      </c>
      <c r="AD170" s="158">
        <v>0</v>
      </c>
      <c r="AE170" s="154">
        <v>1.6860937573630989E-3</v>
      </c>
      <c r="AF170" s="156">
        <v>4.3032820128654278E-3</v>
      </c>
      <c r="AG170" s="154">
        <v>0</v>
      </c>
      <c r="AH170" s="156">
        <v>0</v>
      </c>
    </row>
    <row r="171" spans="1:34" x14ac:dyDescent="0.2">
      <c r="A171" s="152">
        <v>6705</v>
      </c>
      <c r="B171" s="153" t="s">
        <v>202</v>
      </c>
      <c r="C171" s="157">
        <v>32713</v>
      </c>
      <c r="D171" s="158">
        <v>24027</v>
      </c>
      <c r="E171" s="157">
        <v>38078</v>
      </c>
      <c r="F171" s="158">
        <v>23827</v>
      </c>
      <c r="G171" s="157">
        <v>1246</v>
      </c>
      <c r="H171" s="158">
        <v>0</v>
      </c>
      <c r="I171" s="157">
        <v>0</v>
      </c>
      <c r="J171" s="158">
        <v>0</v>
      </c>
      <c r="K171" s="157">
        <v>-4119</v>
      </c>
      <c r="L171" s="158">
        <v>200</v>
      </c>
      <c r="M171" s="157">
        <v>0</v>
      </c>
      <c r="N171" s="158">
        <v>0</v>
      </c>
      <c r="O171" s="157">
        <v>10767325</v>
      </c>
      <c r="P171" s="158">
        <v>6085418</v>
      </c>
      <c r="Q171" s="157">
        <v>12601388</v>
      </c>
      <c r="R171" s="158">
        <v>3896074</v>
      </c>
      <c r="S171" s="157">
        <v>551409</v>
      </c>
      <c r="T171" s="158">
        <v>-1122826</v>
      </c>
      <c r="U171" s="157">
        <v>2385472</v>
      </c>
      <c r="V171" s="158">
        <v>-3312170</v>
      </c>
      <c r="W171" s="157">
        <v>69237.059999998659</v>
      </c>
      <c r="X171" s="158">
        <v>405269.88000000012</v>
      </c>
      <c r="Y171" s="157">
        <v>0</v>
      </c>
      <c r="Z171" s="158">
        <v>0</v>
      </c>
      <c r="AA171" s="157">
        <v>1550130.8800000004</v>
      </c>
      <c r="AB171" s="158">
        <v>10743481.16</v>
      </c>
      <c r="AC171" s="157">
        <v>0</v>
      </c>
      <c r="AD171" s="158">
        <v>0</v>
      </c>
      <c r="AE171" s="154">
        <v>7.7465627867112055E-4</v>
      </c>
      <c r="AF171" s="156">
        <v>3.8963264025517357E-3</v>
      </c>
      <c r="AG171" s="154">
        <v>0</v>
      </c>
      <c r="AH171" s="156">
        <v>0</v>
      </c>
    </row>
    <row r="172" spans="1:34" x14ac:dyDescent="0.2">
      <c r="A172" s="152">
        <v>6706</v>
      </c>
      <c r="B172" s="153" t="s">
        <v>207</v>
      </c>
      <c r="C172" s="157">
        <v>0</v>
      </c>
      <c r="D172" s="158">
        <v>0</v>
      </c>
      <c r="E172" s="157">
        <v>86243</v>
      </c>
      <c r="F172" s="158">
        <v>1160921</v>
      </c>
      <c r="G172" s="157">
        <v>86243</v>
      </c>
      <c r="H172" s="158">
        <v>1163824</v>
      </c>
      <c r="I172" s="157">
        <v>0</v>
      </c>
      <c r="J172" s="158">
        <v>0</v>
      </c>
      <c r="K172" s="157">
        <v>0</v>
      </c>
      <c r="L172" s="158">
        <v>2903</v>
      </c>
      <c r="M172" s="157">
        <v>0</v>
      </c>
      <c r="N172" s="158">
        <v>0</v>
      </c>
      <c r="O172" s="157">
        <v>1063111</v>
      </c>
      <c r="P172" s="158">
        <v>1001308</v>
      </c>
      <c r="Q172" s="157">
        <v>1232083</v>
      </c>
      <c r="R172" s="158">
        <v>886197</v>
      </c>
      <c r="S172" s="157">
        <v>-117539</v>
      </c>
      <c r="T172" s="158">
        <v>96000</v>
      </c>
      <c r="U172" s="157">
        <v>51433</v>
      </c>
      <c r="V172" s="158">
        <v>-19111</v>
      </c>
      <c r="W172" s="157">
        <v>158.65999999997439</v>
      </c>
      <c r="X172" s="158">
        <v>-5.8207660913467407E-11</v>
      </c>
      <c r="Y172" s="157">
        <v>0</v>
      </c>
      <c r="Z172" s="158">
        <v>0</v>
      </c>
      <c r="AA172" s="157">
        <v>61400</v>
      </c>
      <c r="AB172" s="158">
        <v>1184793.8399999999</v>
      </c>
      <c r="AC172" s="157">
        <v>0</v>
      </c>
      <c r="AD172" s="158">
        <v>0</v>
      </c>
      <c r="AE172" s="154">
        <v>1.0562559832978567E-5</v>
      </c>
      <c r="AF172" s="156">
        <v>-3.2751267010956506E-18</v>
      </c>
      <c r="AG172" s="154">
        <v>0</v>
      </c>
      <c r="AH172" s="156">
        <v>0</v>
      </c>
    </row>
    <row r="173" spans="1:34" x14ac:dyDescent="0.2">
      <c r="A173" s="152">
        <v>6707</v>
      </c>
      <c r="B173" s="153" t="s">
        <v>208</v>
      </c>
      <c r="C173" s="157">
        <v>0</v>
      </c>
      <c r="D173" s="158">
        <v>0</v>
      </c>
      <c r="E173" s="157">
        <v>-3676</v>
      </c>
      <c r="F173" s="158">
        <v>0</v>
      </c>
      <c r="G173" s="157">
        <v>0</v>
      </c>
      <c r="H173" s="158">
        <v>0</v>
      </c>
      <c r="I173" s="157">
        <v>0</v>
      </c>
      <c r="J173" s="158">
        <v>0</v>
      </c>
      <c r="K173" s="157">
        <v>3676</v>
      </c>
      <c r="L173" s="158">
        <v>0</v>
      </c>
      <c r="M173" s="157">
        <v>0</v>
      </c>
      <c r="N173" s="158">
        <v>0</v>
      </c>
      <c r="O173" s="157">
        <v>393340</v>
      </c>
      <c r="P173" s="158">
        <v>581363</v>
      </c>
      <c r="Q173" s="157">
        <v>464101</v>
      </c>
      <c r="R173" s="158">
        <v>436974</v>
      </c>
      <c r="S173" s="157">
        <v>-5469</v>
      </c>
      <c r="T173" s="158">
        <v>146569</v>
      </c>
      <c r="U173" s="157">
        <v>65292</v>
      </c>
      <c r="V173" s="158">
        <v>2180</v>
      </c>
      <c r="W173" s="157">
        <v>0</v>
      </c>
      <c r="X173" s="158">
        <v>406.11999999999534</v>
      </c>
      <c r="Y173" s="157">
        <v>0</v>
      </c>
      <c r="Z173" s="158">
        <v>0</v>
      </c>
      <c r="AA173" s="157">
        <v>0</v>
      </c>
      <c r="AB173" s="158">
        <v>0</v>
      </c>
      <c r="AC173" s="157">
        <v>0</v>
      </c>
      <c r="AD173" s="158">
        <v>0</v>
      </c>
      <c r="AE173" s="154">
        <v>0</v>
      </c>
      <c r="AF173" s="156">
        <v>3.14573460633388E-5</v>
      </c>
      <c r="AG173" s="154">
        <v>0</v>
      </c>
      <c r="AH173" s="156">
        <v>0</v>
      </c>
    </row>
    <row r="174" spans="1:34" x14ac:dyDescent="0.2">
      <c r="A174" s="152">
        <v>6801</v>
      </c>
      <c r="B174" s="153" t="s">
        <v>210</v>
      </c>
      <c r="C174" s="157">
        <v>0</v>
      </c>
      <c r="D174" s="158">
        <v>0</v>
      </c>
      <c r="E174" s="157">
        <v>0</v>
      </c>
      <c r="F174" s="158">
        <v>1756296</v>
      </c>
      <c r="G174" s="157">
        <v>1750968</v>
      </c>
      <c r="H174" s="158">
        <v>2738</v>
      </c>
      <c r="I174" s="157">
        <v>0</v>
      </c>
      <c r="J174" s="158">
        <v>0</v>
      </c>
      <c r="K174" s="157">
        <v>1750968</v>
      </c>
      <c r="L174" s="158">
        <v>-1753558</v>
      </c>
      <c r="M174" s="157">
        <v>0</v>
      </c>
      <c r="N174" s="158">
        <v>0</v>
      </c>
      <c r="O174" s="157">
        <v>257736</v>
      </c>
      <c r="P174" s="158">
        <v>364834</v>
      </c>
      <c r="Q174" s="157">
        <v>225392</v>
      </c>
      <c r="R174" s="158">
        <v>347085</v>
      </c>
      <c r="S174" s="157">
        <v>3474</v>
      </c>
      <c r="T174" s="158">
        <v>15633</v>
      </c>
      <c r="U174" s="157">
        <v>-28870</v>
      </c>
      <c r="V174" s="158">
        <v>-2116</v>
      </c>
      <c r="W174" s="157">
        <v>36615.78</v>
      </c>
      <c r="X174" s="158">
        <v>34095.780000000028</v>
      </c>
      <c r="Y174" s="157">
        <v>0</v>
      </c>
      <c r="Z174" s="158">
        <v>0</v>
      </c>
      <c r="AA174" s="157">
        <v>3410754.8</v>
      </c>
      <c r="AB174" s="158">
        <v>1769778.8099999998</v>
      </c>
      <c r="AC174" s="157">
        <v>34096</v>
      </c>
      <c r="AD174" s="158">
        <v>34096</v>
      </c>
      <c r="AE174" s="154">
        <v>2.7882501082075379E-3</v>
      </c>
      <c r="AF174" s="156">
        <v>3.2935568605407905E-3</v>
      </c>
      <c r="AG174" s="154">
        <v>2.5963717197733933E-3</v>
      </c>
      <c r="AH174" s="156">
        <v>3.2935781119246632E-3</v>
      </c>
    </row>
    <row r="175" spans="1:34" x14ac:dyDescent="0.2">
      <c r="A175" s="152">
        <v>6802</v>
      </c>
      <c r="B175" s="153" t="s">
        <v>69</v>
      </c>
      <c r="C175" s="157">
        <v>0</v>
      </c>
      <c r="D175" s="158">
        <v>0</v>
      </c>
      <c r="E175" s="157">
        <v>0</v>
      </c>
      <c r="F175" s="158">
        <v>3221650</v>
      </c>
      <c r="G175" s="157">
        <v>1756912</v>
      </c>
      <c r="H175" s="158">
        <v>1464738</v>
      </c>
      <c r="I175" s="157">
        <v>0</v>
      </c>
      <c r="J175" s="158">
        <v>0</v>
      </c>
      <c r="K175" s="157">
        <v>1756912</v>
      </c>
      <c r="L175" s="158">
        <v>-1756912</v>
      </c>
      <c r="M175" s="157">
        <v>0</v>
      </c>
      <c r="N175" s="158">
        <v>0</v>
      </c>
      <c r="O175" s="157">
        <v>11886693</v>
      </c>
      <c r="P175" s="158">
        <v>1543306</v>
      </c>
      <c r="Q175" s="157">
        <v>9916437</v>
      </c>
      <c r="R175" s="158">
        <v>3559021</v>
      </c>
      <c r="S175" s="157">
        <v>1945978</v>
      </c>
      <c r="T175" s="158">
        <v>-2001500</v>
      </c>
      <c r="U175" s="157">
        <v>-24278</v>
      </c>
      <c r="V175" s="158">
        <v>14215</v>
      </c>
      <c r="W175" s="157">
        <v>21107.61999999918</v>
      </c>
      <c r="X175" s="158">
        <v>292173.53000000003</v>
      </c>
      <c r="Y175" s="157">
        <v>0</v>
      </c>
      <c r="Z175" s="158">
        <v>0</v>
      </c>
      <c r="AA175" s="157">
        <v>4076622.8600000008</v>
      </c>
      <c r="AB175" s="158">
        <v>605479.17000000027</v>
      </c>
      <c r="AC175" s="157">
        <v>11597</v>
      </c>
      <c r="AD175" s="158">
        <v>11597</v>
      </c>
      <c r="AE175" s="154">
        <v>1.163411109144576E-3</v>
      </c>
      <c r="AF175" s="156">
        <v>8.9640640698408665E-3</v>
      </c>
      <c r="AG175" s="154">
        <v>6.3920416573494171E-4</v>
      </c>
      <c r="AH175" s="156">
        <v>3.5580311131519856E-4</v>
      </c>
    </row>
    <row r="176" spans="1:34" x14ac:dyDescent="0.2">
      <c r="A176" s="152">
        <v>6803</v>
      </c>
      <c r="B176" s="153" t="s">
        <v>211</v>
      </c>
      <c r="C176" s="157">
        <v>0</v>
      </c>
      <c r="D176" s="158">
        <v>0</v>
      </c>
      <c r="E176" s="157">
        <v>66799</v>
      </c>
      <c r="F176" s="158">
        <v>1161601</v>
      </c>
      <c r="G176" s="157">
        <v>1044696</v>
      </c>
      <c r="H176" s="158">
        <v>195579</v>
      </c>
      <c r="I176" s="157">
        <v>0</v>
      </c>
      <c r="J176" s="158">
        <v>0</v>
      </c>
      <c r="K176" s="157">
        <v>977897</v>
      </c>
      <c r="L176" s="158">
        <v>-966022</v>
      </c>
      <c r="M176" s="157">
        <v>0</v>
      </c>
      <c r="N176" s="158">
        <v>0</v>
      </c>
      <c r="O176" s="157">
        <v>976737</v>
      </c>
      <c r="P176" s="158">
        <v>1310937</v>
      </c>
      <c r="Q176" s="157">
        <v>1274190</v>
      </c>
      <c r="R176" s="158">
        <v>1080602</v>
      </c>
      <c r="S176" s="157">
        <v>-196667</v>
      </c>
      <c r="T176" s="158">
        <v>157291</v>
      </c>
      <c r="U176" s="157">
        <v>100786</v>
      </c>
      <c r="V176" s="158">
        <v>-73044</v>
      </c>
      <c r="W176" s="157">
        <v>0</v>
      </c>
      <c r="X176" s="158">
        <v>1205608.1100000001</v>
      </c>
      <c r="Y176" s="157">
        <v>0</v>
      </c>
      <c r="Z176" s="158">
        <v>0</v>
      </c>
      <c r="AA176" s="157">
        <v>3576404.76</v>
      </c>
      <c r="AB176" s="158">
        <v>547873.97999999986</v>
      </c>
      <c r="AC176" s="157">
        <v>0</v>
      </c>
      <c r="AD176" s="158">
        <v>0</v>
      </c>
      <c r="AE176" s="154">
        <v>0</v>
      </c>
      <c r="AF176" s="156">
        <v>3.8130769568700443E-2</v>
      </c>
      <c r="AG176" s="154">
        <v>0</v>
      </c>
      <c r="AH176" s="156">
        <v>0</v>
      </c>
    </row>
    <row r="177" spans="1:34" x14ac:dyDescent="0.2">
      <c r="A177" s="152">
        <v>6804</v>
      </c>
      <c r="B177" s="153" t="s">
        <v>212</v>
      </c>
      <c r="C177" s="157">
        <v>0</v>
      </c>
      <c r="D177" s="158">
        <v>0</v>
      </c>
      <c r="E177" s="157">
        <v>0</v>
      </c>
      <c r="F177" s="158">
        <v>0</v>
      </c>
      <c r="G177" s="157">
        <v>0</v>
      </c>
      <c r="H177" s="158">
        <v>0</v>
      </c>
      <c r="I177" s="157">
        <v>0</v>
      </c>
      <c r="J177" s="158">
        <v>0</v>
      </c>
      <c r="K177" s="157">
        <v>0</v>
      </c>
      <c r="L177" s="158">
        <v>0</v>
      </c>
      <c r="M177" s="157">
        <v>0</v>
      </c>
      <c r="N177" s="158">
        <v>0</v>
      </c>
      <c r="O177" s="157">
        <v>333607</v>
      </c>
      <c r="P177" s="158">
        <v>948591</v>
      </c>
      <c r="Q177" s="157">
        <v>187054</v>
      </c>
      <c r="R177" s="158">
        <v>999888</v>
      </c>
      <c r="S177" s="157">
        <v>100300</v>
      </c>
      <c r="T177" s="158">
        <v>-36932</v>
      </c>
      <c r="U177" s="157">
        <v>-46253</v>
      </c>
      <c r="V177" s="158">
        <v>14365</v>
      </c>
      <c r="W177" s="157">
        <v>0</v>
      </c>
      <c r="X177" s="158">
        <v>0</v>
      </c>
      <c r="Y177" s="157">
        <v>0</v>
      </c>
      <c r="Z177" s="158">
        <v>0</v>
      </c>
      <c r="AA177" s="157">
        <v>1298.5</v>
      </c>
      <c r="AB177" s="158">
        <v>62960</v>
      </c>
      <c r="AC177" s="157">
        <v>0</v>
      </c>
      <c r="AD177" s="158">
        <v>0</v>
      </c>
      <c r="AE177" s="154">
        <v>0</v>
      </c>
      <c r="AF177" s="156">
        <v>0</v>
      </c>
      <c r="AG177" s="154">
        <v>0</v>
      </c>
      <c r="AH177" s="156">
        <v>0</v>
      </c>
    </row>
    <row r="178" spans="1:34" x14ac:dyDescent="0.2">
      <c r="A178" s="152">
        <v>6805</v>
      </c>
      <c r="B178" s="153" t="s">
        <v>213</v>
      </c>
      <c r="C178" s="157">
        <v>0</v>
      </c>
      <c r="D178" s="158">
        <v>0</v>
      </c>
      <c r="E178" s="157">
        <v>0</v>
      </c>
      <c r="F178" s="158">
        <v>543022</v>
      </c>
      <c r="G178" s="157">
        <v>0</v>
      </c>
      <c r="H178" s="158">
        <v>543022</v>
      </c>
      <c r="I178" s="157">
        <v>0</v>
      </c>
      <c r="J178" s="158">
        <v>0</v>
      </c>
      <c r="K178" s="157">
        <v>0</v>
      </c>
      <c r="L178" s="158">
        <v>0</v>
      </c>
      <c r="M178" s="157">
        <v>0</v>
      </c>
      <c r="N178" s="158">
        <v>0</v>
      </c>
      <c r="O178" s="157">
        <v>205891</v>
      </c>
      <c r="P178" s="158">
        <v>210172</v>
      </c>
      <c r="Q178" s="157">
        <v>169044</v>
      </c>
      <c r="R178" s="158">
        <v>253473</v>
      </c>
      <c r="S178" s="157">
        <v>0</v>
      </c>
      <c r="T178" s="158">
        <v>0</v>
      </c>
      <c r="U178" s="157">
        <v>-36847</v>
      </c>
      <c r="V178" s="158">
        <v>43301</v>
      </c>
      <c r="W178" s="157">
        <v>0</v>
      </c>
      <c r="X178" s="158">
        <v>0</v>
      </c>
      <c r="Y178" s="157">
        <v>0</v>
      </c>
      <c r="Z178" s="158">
        <v>0</v>
      </c>
      <c r="AA178" s="157">
        <v>251711.48000000004</v>
      </c>
      <c r="AB178" s="158">
        <v>679817.24</v>
      </c>
      <c r="AC178" s="157">
        <v>0</v>
      </c>
      <c r="AD178" s="158">
        <v>0</v>
      </c>
      <c r="AE178" s="154">
        <v>0</v>
      </c>
      <c r="AF178" s="156">
        <v>0</v>
      </c>
      <c r="AG178" s="154">
        <v>0</v>
      </c>
      <c r="AH178" s="156">
        <v>0</v>
      </c>
    </row>
    <row r="179" spans="1:34" x14ac:dyDescent="0.2">
      <c r="A179" s="152">
        <v>6806</v>
      </c>
      <c r="B179" s="153" t="s">
        <v>209</v>
      </c>
      <c r="C179" s="157">
        <v>38914</v>
      </c>
      <c r="D179" s="158">
        <v>32441</v>
      </c>
      <c r="E179" s="157">
        <v>46610</v>
      </c>
      <c r="F179" s="158">
        <v>64409</v>
      </c>
      <c r="G179" s="157">
        <v>0</v>
      </c>
      <c r="H179" s="158">
        <v>4148</v>
      </c>
      <c r="I179" s="157">
        <v>0</v>
      </c>
      <c r="J179" s="158">
        <v>27820</v>
      </c>
      <c r="K179" s="157">
        <v>-7696</v>
      </c>
      <c r="L179" s="158">
        <v>0</v>
      </c>
      <c r="M179" s="157">
        <v>3319</v>
      </c>
      <c r="N179" s="158">
        <v>0</v>
      </c>
      <c r="O179" s="157">
        <v>52485329</v>
      </c>
      <c r="P179" s="158">
        <v>4257309</v>
      </c>
      <c r="Q179" s="157">
        <v>15652087</v>
      </c>
      <c r="R179" s="158">
        <v>35217524</v>
      </c>
      <c r="S179" s="157">
        <v>25230175</v>
      </c>
      <c r="T179" s="158">
        <v>-30549497</v>
      </c>
      <c r="U179" s="157">
        <v>-11599748</v>
      </c>
      <c r="V179" s="158">
        <v>410718</v>
      </c>
      <c r="W179" s="157">
        <v>10731.619999997318</v>
      </c>
      <c r="X179" s="158">
        <v>11754.820000000065</v>
      </c>
      <c r="Y179" s="157">
        <v>0</v>
      </c>
      <c r="Z179" s="158">
        <v>0</v>
      </c>
      <c r="AA179" s="157">
        <v>3208629.9199999976</v>
      </c>
      <c r="AB179" s="158">
        <v>7639804.0800000001</v>
      </c>
      <c r="AC179" s="157">
        <v>0</v>
      </c>
      <c r="AD179" s="158">
        <v>0</v>
      </c>
      <c r="AE179" s="154">
        <v>5.084143710199932E-5</v>
      </c>
      <c r="AF179" s="156">
        <v>4.5907382446997126E-5</v>
      </c>
      <c r="AG179" s="154">
        <v>0</v>
      </c>
      <c r="AH179" s="156">
        <v>0</v>
      </c>
    </row>
    <row r="180" spans="1:34" x14ac:dyDescent="0.2">
      <c r="A180" s="152">
        <v>6807</v>
      </c>
      <c r="B180" s="153" t="s">
        <v>214</v>
      </c>
      <c r="C180" s="157">
        <v>0</v>
      </c>
      <c r="D180" s="158">
        <v>0</v>
      </c>
      <c r="E180" s="157">
        <v>658301</v>
      </c>
      <c r="F180" s="158">
        <v>1266920</v>
      </c>
      <c r="G180" s="157">
        <v>718068</v>
      </c>
      <c r="H180" s="158">
        <v>2393901</v>
      </c>
      <c r="I180" s="157">
        <v>0</v>
      </c>
      <c r="J180" s="158">
        <v>26384</v>
      </c>
      <c r="K180" s="157">
        <v>59767</v>
      </c>
      <c r="L180" s="158">
        <v>1153365</v>
      </c>
      <c r="M180" s="157">
        <v>0</v>
      </c>
      <c r="N180" s="158">
        <v>0</v>
      </c>
      <c r="O180" s="157">
        <v>735992</v>
      </c>
      <c r="P180" s="158">
        <v>808707</v>
      </c>
      <c r="Q180" s="157">
        <v>794311</v>
      </c>
      <c r="R180" s="158">
        <v>790806</v>
      </c>
      <c r="S180" s="157">
        <v>-153385</v>
      </c>
      <c r="T180" s="158">
        <v>14993</v>
      </c>
      <c r="U180" s="157">
        <v>-95066</v>
      </c>
      <c r="V180" s="158">
        <v>-2908</v>
      </c>
      <c r="W180" s="157">
        <v>0</v>
      </c>
      <c r="X180" s="158">
        <v>26611.75</v>
      </c>
      <c r="Y180" s="157">
        <v>0</v>
      </c>
      <c r="Z180" s="158">
        <v>0</v>
      </c>
      <c r="AA180" s="157">
        <v>3469169.43</v>
      </c>
      <c r="AB180" s="158">
        <v>3763426.13</v>
      </c>
      <c r="AC180" s="157">
        <v>0</v>
      </c>
      <c r="AD180" s="158">
        <v>0</v>
      </c>
      <c r="AE180" s="154">
        <v>0</v>
      </c>
      <c r="AF180" s="156">
        <v>1.4223884506018429E-3</v>
      </c>
      <c r="AG180" s="154">
        <v>0</v>
      </c>
      <c r="AH180" s="156">
        <v>0</v>
      </c>
    </row>
    <row r="181" spans="1:34" x14ac:dyDescent="0.2">
      <c r="A181" s="152">
        <v>6808</v>
      </c>
      <c r="B181" s="153" t="s">
        <v>215</v>
      </c>
      <c r="C181" s="157">
        <v>0</v>
      </c>
      <c r="D181" s="158">
        <v>0</v>
      </c>
      <c r="E181" s="157">
        <v>1184547</v>
      </c>
      <c r="F181" s="158">
        <v>1153468</v>
      </c>
      <c r="G181" s="157">
        <v>1169007</v>
      </c>
      <c r="H181" s="158">
        <v>1169008</v>
      </c>
      <c r="I181" s="157">
        <v>15540</v>
      </c>
      <c r="J181" s="158">
        <v>-15540</v>
      </c>
      <c r="K181" s="157">
        <v>0</v>
      </c>
      <c r="L181" s="158">
        <v>0</v>
      </c>
      <c r="M181" s="157">
        <v>0</v>
      </c>
      <c r="N181" s="158">
        <v>0</v>
      </c>
      <c r="O181" s="157">
        <v>163724</v>
      </c>
      <c r="P181" s="158">
        <v>210914</v>
      </c>
      <c r="Q181" s="157">
        <v>140116</v>
      </c>
      <c r="R181" s="158">
        <v>202233</v>
      </c>
      <c r="S181" s="157">
        <v>0</v>
      </c>
      <c r="T181" s="158">
        <v>31549</v>
      </c>
      <c r="U181" s="157">
        <v>-23608</v>
      </c>
      <c r="V181" s="158">
        <v>22868</v>
      </c>
      <c r="W181" s="157">
        <v>1117827.05</v>
      </c>
      <c r="X181" s="158">
        <v>9000.0000000000018</v>
      </c>
      <c r="Y181" s="157">
        <v>0</v>
      </c>
      <c r="Z181" s="158">
        <v>0</v>
      </c>
      <c r="AA181" s="157">
        <v>1153467.0799999998</v>
      </c>
      <c r="AB181" s="158">
        <v>289345.80000000005</v>
      </c>
      <c r="AC181" s="157">
        <v>0</v>
      </c>
      <c r="AD181" s="158">
        <v>0</v>
      </c>
      <c r="AE181" s="154">
        <v>7.6814854773067348E-2</v>
      </c>
      <c r="AF181" s="156">
        <v>6.3388879364905423E-4</v>
      </c>
      <c r="AG181" s="154">
        <v>0</v>
      </c>
      <c r="AH181" s="156">
        <v>0</v>
      </c>
    </row>
    <row r="182" spans="1:34" x14ac:dyDescent="0.2">
      <c r="A182" s="152">
        <v>6901</v>
      </c>
      <c r="B182" s="153" t="s">
        <v>217</v>
      </c>
      <c r="C182" s="157">
        <v>0</v>
      </c>
      <c r="D182" s="158">
        <v>0</v>
      </c>
      <c r="E182" s="157">
        <v>658615</v>
      </c>
      <c r="F182" s="158">
        <v>692599</v>
      </c>
      <c r="G182" s="157">
        <v>651819</v>
      </c>
      <c r="H182" s="158">
        <v>700295</v>
      </c>
      <c r="I182" s="157">
        <v>53093</v>
      </c>
      <c r="J182" s="158">
        <v>-53093</v>
      </c>
      <c r="K182" s="157">
        <v>46297</v>
      </c>
      <c r="L182" s="158">
        <v>-45397</v>
      </c>
      <c r="M182" s="157">
        <v>0</v>
      </c>
      <c r="N182" s="158">
        <v>0</v>
      </c>
      <c r="O182" s="157">
        <v>599053</v>
      </c>
      <c r="P182" s="158">
        <v>535839</v>
      </c>
      <c r="Q182" s="157">
        <v>570550</v>
      </c>
      <c r="R182" s="158">
        <v>916652</v>
      </c>
      <c r="S182" s="157">
        <v>-10517</v>
      </c>
      <c r="T182" s="158">
        <v>-19956</v>
      </c>
      <c r="U182" s="157">
        <v>-39020</v>
      </c>
      <c r="V182" s="158">
        <v>360857</v>
      </c>
      <c r="W182" s="157">
        <v>692598.98</v>
      </c>
      <c r="X182" s="158">
        <v>0</v>
      </c>
      <c r="Y182" s="157">
        <v>0</v>
      </c>
      <c r="Z182" s="158">
        <v>0</v>
      </c>
      <c r="AA182" s="157">
        <v>470904.47000000009</v>
      </c>
      <c r="AB182" s="158">
        <v>1765068.76</v>
      </c>
      <c r="AC182" s="157">
        <v>0</v>
      </c>
      <c r="AD182" s="158">
        <v>0</v>
      </c>
      <c r="AE182" s="154">
        <v>7.1008394504602432E-2</v>
      </c>
      <c r="AF182" s="156">
        <v>0</v>
      </c>
      <c r="AG182" s="154">
        <v>0</v>
      </c>
      <c r="AH182" s="156">
        <v>0</v>
      </c>
    </row>
    <row r="183" spans="1:34" x14ac:dyDescent="0.2">
      <c r="A183" s="152">
        <v>6902</v>
      </c>
      <c r="B183" s="153" t="s">
        <v>218</v>
      </c>
      <c r="C183" s="157">
        <v>201593</v>
      </c>
      <c r="D183" s="158">
        <v>132101</v>
      </c>
      <c r="E183" s="157">
        <v>387317</v>
      </c>
      <c r="F183" s="158">
        <v>2393092</v>
      </c>
      <c r="G183" s="157">
        <v>253947</v>
      </c>
      <c r="H183" s="158">
        <v>2827315</v>
      </c>
      <c r="I183" s="157">
        <v>-68223</v>
      </c>
      <c r="J183" s="158">
        <v>-480</v>
      </c>
      <c r="K183" s="157">
        <v>0</v>
      </c>
      <c r="L183" s="158">
        <v>565844</v>
      </c>
      <c r="M183" s="157">
        <v>0</v>
      </c>
      <c r="N183" s="158">
        <v>0</v>
      </c>
      <c r="O183" s="157">
        <v>1174786</v>
      </c>
      <c r="P183" s="158">
        <v>881016</v>
      </c>
      <c r="Q183" s="157">
        <v>1106109</v>
      </c>
      <c r="R183" s="158">
        <v>882669</v>
      </c>
      <c r="S183" s="157">
        <v>-142506</v>
      </c>
      <c r="T183" s="158">
        <v>16816</v>
      </c>
      <c r="U183" s="157">
        <v>-211183</v>
      </c>
      <c r="V183" s="158">
        <v>18469</v>
      </c>
      <c r="W183" s="157">
        <v>4081352.2300000004</v>
      </c>
      <c r="X183" s="158">
        <v>4517066.5200000005</v>
      </c>
      <c r="Y183" s="157">
        <v>0</v>
      </c>
      <c r="Z183" s="158">
        <v>0</v>
      </c>
      <c r="AA183" s="157">
        <v>408091.44000000006</v>
      </c>
      <c r="AB183" s="158">
        <v>1906552.4</v>
      </c>
      <c r="AC183" s="157">
        <v>0</v>
      </c>
      <c r="AD183" s="158">
        <v>0</v>
      </c>
      <c r="AE183" s="154">
        <v>0.17059498235721104</v>
      </c>
      <c r="AF183" s="156">
        <v>0.2035430808560616</v>
      </c>
      <c r="AG183" s="154">
        <v>0</v>
      </c>
      <c r="AH183" s="156">
        <v>0</v>
      </c>
    </row>
    <row r="184" spans="1:34" x14ac:dyDescent="0.2">
      <c r="A184" s="152">
        <v>6903</v>
      </c>
      <c r="B184" s="153" t="s">
        <v>219</v>
      </c>
      <c r="C184" s="157">
        <v>0</v>
      </c>
      <c r="D184" s="158">
        <v>0</v>
      </c>
      <c r="E184" s="157">
        <v>0</v>
      </c>
      <c r="F184" s="158">
        <v>-7678</v>
      </c>
      <c r="G184" s="157">
        <v>0</v>
      </c>
      <c r="H184" s="158">
        <v>0</v>
      </c>
      <c r="I184" s="157">
        <v>0</v>
      </c>
      <c r="J184" s="158">
        <v>-7700</v>
      </c>
      <c r="K184" s="157">
        <v>0</v>
      </c>
      <c r="L184" s="158">
        <v>-22</v>
      </c>
      <c r="M184" s="157">
        <v>0</v>
      </c>
      <c r="N184" s="158">
        <v>0</v>
      </c>
      <c r="O184" s="157">
        <v>1495109</v>
      </c>
      <c r="P184" s="158">
        <v>1953953</v>
      </c>
      <c r="Q184" s="157">
        <v>1452242</v>
      </c>
      <c r="R184" s="158">
        <v>1985814</v>
      </c>
      <c r="S184" s="157">
        <v>-29940</v>
      </c>
      <c r="T184" s="158">
        <v>-19673</v>
      </c>
      <c r="U184" s="157">
        <v>-72807</v>
      </c>
      <c r="V184" s="158">
        <v>12188</v>
      </c>
      <c r="W184" s="157">
        <v>39036.609999999957</v>
      </c>
      <c r="X184" s="158">
        <v>39036.589999999997</v>
      </c>
      <c r="Y184" s="157">
        <v>0</v>
      </c>
      <c r="Z184" s="158">
        <v>0</v>
      </c>
      <c r="AA184" s="157">
        <v>1116117.69</v>
      </c>
      <c r="AB184" s="158">
        <v>954282.37</v>
      </c>
      <c r="AC184" s="157">
        <v>39037</v>
      </c>
      <c r="AD184" s="158">
        <v>39037</v>
      </c>
      <c r="AE184" s="154">
        <v>9.1047932829525129E-4</v>
      </c>
      <c r="AF184" s="156">
        <v>7.9029064991536016E-4</v>
      </c>
      <c r="AG184" s="154">
        <v>9.1048842454971796E-4</v>
      </c>
      <c r="AH184" s="156">
        <v>7.9029895031164138E-4</v>
      </c>
    </row>
    <row r="185" spans="1:34" x14ac:dyDescent="0.2">
      <c r="A185" s="152">
        <v>6904</v>
      </c>
      <c r="B185" s="153" t="s">
        <v>220</v>
      </c>
      <c r="C185" s="157">
        <v>32553</v>
      </c>
      <c r="D185" s="158">
        <v>29016</v>
      </c>
      <c r="E185" s="157">
        <v>120079</v>
      </c>
      <c r="F185" s="158">
        <v>1402624</v>
      </c>
      <c r="G185" s="157">
        <v>47652</v>
      </c>
      <c r="H185" s="158">
        <v>1475043</v>
      </c>
      <c r="I185" s="157">
        <v>20537</v>
      </c>
      <c r="J185" s="158">
        <v>-19757</v>
      </c>
      <c r="K185" s="157">
        <v>-19337</v>
      </c>
      <c r="L185" s="158">
        <v>81678</v>
      </c>
      <c r="M185" s="157">
        <v>0</v>
      </c>
      <c r="N185" s="158">
        <v>0</v>
      </c>
      <c r="O185" s="157">
        <v>554720</v>
      </c>
      <c r="P185" s="158">
        <v>1835710</v>
      </c>
      <c r="Q185" s="157">
        <v>328933</v>
      </c>
      <c r="R185" s="158">
        <v>1462898</v>
      </c>
      <c r="S185" s="157">
        <v>159840</v>
      </c>
      <c r="T185" s="158">
        <v>381899</v>
      </c>
      <c r="U185" s="157">
        <v>-65947</v>
      </c>
      <c r="V185" s="158">
        <v>9087</v>
      </c>
      <c r="W185" s="157">
        <v>0</v>
      </c>
      <c r="X185" s="158">
        <v>59127.280000000028</v>
      </c>
      <c r="Y185" s="157">
        <v>0</v>
      </c>
      <c r="Z185" s="158">
        <v>0</v>
      </c>
      <c r="AA185" s="157">
        <v>412217.66999999993</v>
      </c>
      <c r="AB185" s="158">
        <v>1815197.9400000002</v>
      </c>
      <c r="AC185" s="157">
        <v>0</v>
      </c>
      <c r="AD185" s="158">
        <v>0</v>
      </c>
      <c r="AE185" s="154">
        <v>0</v>
      </c>
      <c r="AF185" s="156">
        <v>3.6795352607235277E-3</v>
      </c>
      <c r="AG185" s="154">
        <v>0</v>
      </c>
      <c r="AH185" s="156">
        <v>0</v>
      </c>
    </row>
    <row r="186" spans="1:34" x14ac:dyDescent="0.2">
      <c r="A186" s="152">
        <v>6905</v>
      </c>
      <c r="B186" s="153" t="s">
        <v>216</v>
      </c>
      <c r="C186" s="157">
        <v>23816</v>
      </c>
      <c r="D186" s="158">
        <v>18621</v>
      </c>
      <c r="E186" s="157">
        <v>25131</v>
      </c>
      <c r="F186" s="158">
        <v>18634</v>
      </c>
      <c r="G186" s="157">
        <v>1239</v>
      </c>
      <c r="H186" s="158">
        <v>0</v>
      </c>
      <c r="I186" s="157">
        <v>0</v>
      </c>
      <c r="J186" s="158">
        <v>0</v>
      </c>
      <c r="K186" s="157">
        <v>-76</v>
      </c>
      <c r="L186" s="158">
        <v>-13</v>
      </c>
      <c r="M186" s="157">
        <v>0</v>
      </c>
      <c r="N186" s="158">
        <v>20204</v>
      </c>
      <c r="O186" s="157">
        <v>3830378</v>
      </c>
      <c r="P186" s="158">
        <v>4511610</v>
      </c>
      <c r="Q186" s="157">
        <v>3544014</v>
      </c>
      <c r="R186" s="158">
        <v>3555363</v>
      </c>
      <c r="S186" s="157">
        <v>-119543</v>
      </c>
      <c r="T186" s="158">
        <v>1168107</v>
      </c>
      <c r="U186" s="157">
        <v>-405907</v>
      </c>
      <c r="V186" s="158">
        <v>232064</v>
      </c>
      <c r="W186" s="157">
        <v>2240.4199999999255</v>
      </c>
      <c r="X186" s="158">
        <v>51377.749999999767</v>
      </c>
      <c r="Y186" s="157">
        <v>0</v>
      </c>
      <c r="Z186" s="158">
        <v>0</v>
      </c>
      <c r="AA186" s="157">
        <v>834366.33000000007</v>
      </c>
      <c r="AB186" s="158">
        <v>4803773.1499999994</v>
      </c>
      <c r="AC186" s="157">
        <v>0</v>
      </c>
      <c r="AD186" s="158">
        <v>0</v>
      </c>
      <c r="AE186" s="154">
        <v>2.8202796487999258E-5</v>
      </c>
      <c r="AF186" s="156">
        <v>5.1813560593918086E-4</v>
      </c>
      <c r="AG186" s="154">
        <v>0</v>
      </c>
      <c r="AH186" s="156">
        <v>0</v>
      </c>
    </row>
    <row r="187" spans="1:34" x14ac:dyDescent="0.2">
      <c r="A187" s="152">
        <v>6906</v>
      </c>
      <c r="B187" s="153" t="s">
        <v>221</v>
      </c>
      <c r="C187" s="157">
        <v>227042</v>
      </c>
      <c r="D187" s="158">
        <v>145045</v>
      </c>
      <c r="E187" s="157">
        <v>43434</v>
      </c>
      <c r="F187" s="158">
        <v>1385403</v>
      </c>
      <c r="G187" s="157">
        <v>-103523</v>
      </c>
      <c r="H187" s="158">
        <v>1202777</v>
      </c>
      <c r="I187" s="157">
        <v>-60165</v>
      </c>
      <c r="J187" s="158">
        <v>7848</v>
      </c>
      <c r="K187" s="157">
        <v>19920</v>
      </c>
      <c r="L187" s="158">
        <v>-29733</v>
      </c>
      <c r="M187" s="157">
        <v>0</v>
      </c>
      <c r="N187" s="158">
        <v>0</v>
      </c>
      <c r="O187" s="157">
        <v>466382</v>
      </c>
      <c r="P187" s="158">
        <v>845069</v>
      </c>
      <c r="Q187" s="157">
        <v>506826</v>
      </c>
      <c r="R187" s="158">
        <v>881358</v>
      </c>
      <c r="S187" s="157">
        <v>-35008</v>
      </c>
      <c r="T187" s="158">
        <v>-5430</v>
      </c>
      <c r="U187" s="157">
        <v>5436</v>
      </c>
      <c r="V187" s="158">
        <v>30859</v>
      </c>
      <c r="W187" s="157">
        <v>9280.4199999999837</v>
      </c>
      <c r="X187" s="158">
        <v>264845.82999999978</v>
      </c>
      <c r="Y187" s="157">
        <v>0</v>
      </c>
      <c r="Z187" s="158">
        <v>0</v>
      </c>
      <c r="AA187" s="157">
        <v>17664131.739999998</v>
      </c>
      <c r="AB187" s="158">
        <v>16148569.889999999</v>
      </c>
      <c r="AC187" s="157">
        <v>0</v>
      </c>
      <c r="AD187" s="158">
        <v>0</v>
      </c>
      <c r="AE187" s="154">
        <v>8.0821372732433738E-4</v>
      </c>
      <c r="AF187" s="156">
        <v>2.0332845905463852E-2</v>
      </c>
      <c r="AG187" s="154">
        <v>0</v>
      </c>
      <c r="AH187" s="156">
        <v>0</v>
      </c>
    </row>
    <row r="188" spans="1:34" x14ac:dyDescent="0.2">
      <c r="A188" s="152">
        <v>6907</v>
      </c>
      <c r="B188" s="153" t="s">
        <v>222</v>
      </c>
      <c r="C188" s="157">
        <v>0</v>
      </c>
      <c r="D188" s="158">
        <v>0</v>
      </c>
      <c r="E188" s="157">
        <v>450096</v>
      </c>
      <c r="F188" s="158">
        <v>751870</v>
      </c>
      <c r="G188" s="157">
        <v>199163</v>
      </c>
      <c r="H188" s="158">
        <v>1065412</v>
      </c>
      <c r="I188" s="157">
        <v>243693</v>
      </c>
      <c r="J188" s="158">
        <v>-233020</v>
      </c>
      <c r="K188" s="157">
        <v>-7240</v>
      </c>
      <c r="L188" s="158">
        <v>80522</v>
      </c>
      <c r="M188" s="157">
        <v>1047</v>
      </c>
      <c r="N188" s="158">
        <v>0</v>
      </c>
      <c r="O188" s="157">
        <v>5171013</v>
      </c>
      <c r="P188" s="158">
        <v>1386970</v>
      </c>
      <c r="Q188" s="157">
        <v>7473439</v>
      </c>
      <c r="R188" s="158">
        <v>567868</v>
      </c>
      <c r="S188" s="157">
        <v>66943</v>
      </c>
      <c r="T188" s="158">
        <v>-883672</v>
      </c>
      <c r="U188" s="157">
        <v>2370416</v>
      </c>
      <c r="V188" s="158">
        <v>-1702774</v>
      </c>
      <c r="W188" s="157">
        <v>288392.19000000024</v>
      </c>
      <c r="X188" s="158">
        <v>231803.30000000005</v>
      </c>
      <c r="Y188" s="157">
        <v>0</v>
      </c>
      <c r="Z188" s="158">
        <v>0</v>
      </c>
      <c r="AA188" s="157">
        <v>1590326.4099999997</v>
      </c>
      <c r="AB188" s="158">
        <v>3614365.59</v>
      </c>
      <c r="AC188" s="157">
        <v>0</v>
      </c>
      <c r="AD188" s="158">
        <v>0</v>
      </c>
      <c r="AE188" s="154">
        <v>1.0216636102722493E-2</v>
      </c>
      <c r="AF188" s="156">
        <v>7.1201478979260558E-3</v>
      </c>
      <c r="AG188" s="154">
        <v>0</v>
      </c>
      <c r="AH188" s="156">
        <v>0</v>
      </c>
    </row>
    <row r="189" spans="1:34" x14ac:dyDescent="0.2">
      <c r="A189" s="152">
        <v>7001</v>
      </c>
      <c r="B189" s="153" t="s">
        <v>224</v>
      </c>
      <c r="C189" s="157">
        <v>-270</v>
      </c>
      <c r="D189" s="158">
        <v>-27</v>
      </c>
      <c r="E189" s="157">
        <v>6379410</v>
      </c>
      <c r="F189" s="158">
        <v>222824</v>
      </c>
      <c r="G189" s="157">
        <v>5625507</v>
      </c>
      <c r="H189" s="158">
        <v>275762</v>
      </c>
      <c r="I189" s="157">
        <v>-31438</v>
      </c>
      <c r="J189" s="158">
        <v>91295</v>
      </c>
      <c r="K189" s="157">
        <v>-785611</v>
      </c>
      <c r="L189" s="158">
        <v>144206</v>
      </c>
      <c r="M189" s="157">
        <v>202</v>
      </c>
      <c r="N189" s="158">
        <v>0</v>
      </c>
      <c r="O189" s="157">
        <v>2622786</v>
      </c>
      <c r="P189" s="158">
        <v>2843020</v>
      </c>
      <c r="Q189" s="157">
        <v>2769770</v>
      </c>
      <c r="R189" s="158">
        <v>2784976</v>
      </c>
      <c r="S189" s="157">
        <v>45569</v>
      </c>
      <c r="T189" s="158">
        <v>10620</v>
      </c>
      <c r="U189" s="157">
        <v>192755</v>
      </c>
      <c r="V189" s="158">
        <v>-47424</v>
      </c>
      <c r="W189" s="157">
        <v>1071.25</v>
      </c>
      <c r="X189" s="158">
        <v>105837.85999999996</v>
      </c>
      <c r="Y189" s="157">
        <v>0</v>
      </c>
      <c r="Z189" s="158">
        <v>0</v>
      </c>
      <c r="AA189" s="157">
        <v>3256472.4499999993</v>
      </c>
      <c r="AB189" s="158">
        <v>7823703.2300000004</v>
      </c>
      <c r="AC189" s="157">
        <v>0</v>
      </c>
      <c r="AD189" s="158">
        <v>0</v>
      </c>
      <c r="AE189" s="154">
        <v>3.3470437409953977E-5</v>
      </c>
      <c r="AF189" s="156">
        <v>3.1733930677289939E-3</v>
      </c>
      <c r="AG189" s="154">
        <v>0</v>
      </c>
      <c r="AH189" s="156">
        <v>0</v>
      </c>
    </row>
    <row r="190" spans="1:34" x14ac:dyDescent="0.2">
      <c r="A190" s="152">
        <v>7002</v>
      </c>
      <c r="B190" s="153" t="s">
        <v>225</v>
      </c>
      <c r="C190" s="157">
        <v>0</v>
      </c>
      <c r="D190" s="158">
        <v>0</v>
      </c>
      <c r="E190" s="157">
        <v>331963</v>
      </c>
      <c r="F190" s="158">
        <v>0</v>
      </c>
      <c r="G190" s="157">
        <v>1049148</v>
      </c>
      <c r="H190" s="158">
        <v>0</v>
      </c>
      <c r="I190" s="157">
        <v>-718500</v>
      </c>
      <c r="J190" s="158">
        <v>0</v>
      </c>
      <c r="K190" s="157">
        <v>-1315</v>
      </c>
      <c r="L190" s="158">
        <v>0</v>
      </c>
      <c r="M190" s="157">
        <v>0</v>
      </c>
      <c r="N190" s="158">
        <v>0</v>
      </c>
      <c r="O190" s="157">
        <v>1928215</v>
      </c>
      <c r="P190" s="158">
        <v>2491627</v>
      </c>
      <c r="Q190" s="157">
        <v>2548225</v>
      </c>
      <c r="R190" s="158">
        <v>3080956</v>
      </c>
      <c r="S190" s="157">
        <v>-438979</v>
      </c>
      <c r="T190" s="158">
        <v>-444923</v>
      </c>
      <c r="U190" s="157">
        <v>181031</v>
      </c>
      <c r="V190" s="158">
        <v>144406</v>
      </c>
      <c r="W190" s="157">
        <v>10944</v>
      </c>
      <c r="X190" s="158">
        <v>238324.69999999995</v>
      </c>
      <c r="Y190" s="157">
        <v>0</v>
      </c>
      <c r="Z190" s="158">
        <v>0</v>
      </c>
      <c r="AA190" s="157">
        <v>283659.59000000003</v>
      </c>
      <c r="AB190" s="158">
        <v>6432043.2000000002</v>
      </c>
      <c r="AC190" s="157">
        <v>0</v>
      </c>
      <c r="AD190" s="158">
        <v>0</v>
      </c>
      <c r="AE190" s="154">
        <v>2.0236985754227134E-4</v>
      </c>
      <c r="AF190" s="156">
        <v>4.3229536785747424E-3</v>
      </c>
      <c r="AG190" s="154">
        <v>0</v>
      </c>
      <c r="AH190" s="156">
        <v>0</v>
      </c>
    </row>
    <row r="191" spans="1:34" x14ac:dyDescent="0.2">
      <c r="A191" s="152">
        <v>7003</v>
      </c>
      <c r="B191" s="153" t="s">
        <v>223</v>
      </c>
      <c r="C191" s="157">
        <v>0</v>
      </c>
      <c r="D191" s="158">
        <v>0</v>
      </c>
      <c r="E191" s="157">
        <v>0</v>
      </c>
      <c r="F191" s="158">
        <v>0</v>
      </c>
      <c r="G191" s="157">
        <v>0</v>
      </c>
      <c r="H191" s="158">
        <v>0</v>
      </c>
      <c r="I191" s="157">
        <v>0</v>
      </c>
      <c r="J191" s="158">
        <v>0</v>
      </c>
      <c r="K191" s="157">
        <v>0</v>
      </c>
      <c r="L191" s="158">
        <v>0</v>
      </c>
      <c r="M191" s="157">
        <v>347</v>
      </c>
      <c r="N191" s="158">
        <v>253</v>
      </c>
      <c r="O191" s="157">
        <v>21471015</v>
      </c>
      <c r="P191" s="158">
        <v>9961517</v>
      </c>
      <c r="Q191" s="157">
        <v>14593914</v>
      </c>
      <c r="R191" s="158">
        <v>16905727</v>
      </c>
      <c r="S191" s="157">
        <v>6339211</v>
      </c>
      <c r="T191" s="158">
        <v>-5920936</v>
      </c>
      <c r="U191" s="157">
        <v>-537543</v>
      </c>
      <c r="V191" s="158">
        <v>1023527</v>
      </c>
      <c r="W191" s="157">
        <v>86144.519999999553</v>
      </c>
      <c r="X191" s="158">
        <v>248042.04999999981</v>
      </c>
      <c r="Y191" s="157">
        <v>0</v>
      </c>
      <c r="Z191" s="158">
        <v>0</v>
      </c>
      <c r="AA191" s="157">
        <v>8178792.8800000008</v>
      </c>
      <c r="AB191" s="158">
        <v>13466961.399999999</v>
      </c>
      <c r="AC191" s="157">
        <v>0</v>
      </c>
      <c r="AD191" s="158">
        <v>0</v>
      </c>
      <c r="AE191" s="154">
        <v>4.9771846422032306E-4</v>
      </c>
      <c r="AF191" s="156">
        <v>1.2492330732256553E-3</v>
      </c>
      <c r="AG191" s="154">
        <v>0</v>
      </c>
      <c r="AH191" s="156">
        <v>0</v>
      </c>
    </row>
    <row r="192" spans="1:34" x14ac:dyDescent="0.2">
      <c r="A192" s="152">
        <v>7004</v>
      </c>
      <c r="B192" s="153" t="s">
        <v>226</v>
      </c>
      <c r="C192" s="157">
        <v>0</v>
      </c>
      <c r="D192" s="158">
        <v>0</v>
      </c>
      <c r="E192" s="157">
        <v>1731157</v>
      </c>
      <c r="F192" s="158">
        <v>5270117</v>
      </c>
      <c r="G192" s="157">
        <v>1731157</v>
      </c>
      <c r="H192" s="158">
        <v>5441001</v>
      </c>
      <c r="I192" s="157">
        <v>0</v>
      </c>
      <c r="J192" s="158">
        <v>0</v>
      </c>
      <c r="K192" s="157">
        <v>0</v>
      </c>
      <c r="L192" s="158">
        <v>170884</v>
      </c>
      <c r="M192" s="157">
        <v>0</v>
      </c>
      <c r="N192" s="158">
        <v>0</v>
      </c>
      <c r="O192" s="157">
        <v>1194084</v>
      </c>
      <c r="P192" s="158">
        <v>2850819</v>
      </c>
      <c r="Q192" s="157">
        <v>1317988</v>
      </c>
      <c r="R192" s="158">
        <v>2601209</v>
      </c>
      <c r="S192" s="157">
        <v>22834</v>
      </c>
      <c r="T192" s="158">
        <v>266843</v>
      </c>
      <c r="U192" s="157">
        <v>146738</v>
      </c>
      <c r="V192" s="158">
        <v>17233</v>
      </c>
      <c r="W192" s="157">
        <v>3.9999999920837581E-2</v>
      </c>
      <c r="X192" s="158">
        <v>223886.80999999982</v>
      </c>
      <c r="Y192" s="157">
        <v>0</v>
      </c>
      <c r="Z192" s="158">
        <v>0</v>
      </c>
      <c r="AA192" s="157">
        <v>2840814.78</v>
      </c>
      <c r="AB192" s="158">
        <v>1648081.3800000001</v>
      </c>
      <c r="AC192" s="157">
        <v>0</v>
      </c>
      <c r="AD192" s="158">
        <v>0</v>
      </c>
      <c r="AE192" s="154">
        <v>1.3612038432650537E-9</v>
      </c>
      <c r="AF192" s="156">
        <v>6.7815259501942489E-3</v>
      </c>
      <c r="AG192" s="154">
        <v>0</v>
      </c>
      <c r="AH192" s="156">
        <v>0</v>
      </c>
    </row>
    <row r="193" spans="1:34" x14ac:dyDescent="0.2">
      <c r="A193" s="152">
        <v>7101</v>
      </c>
      <c r="B193" s="153" t="s">
        <v>228</v>
      </c>
      <c r="C193" s="157">
        <v>0</v>
      </c>
      <c r="D193" s="158">
        <v>0</v>
      </c>
      <c r="E193" s="157">
        <v>1732945</v>
      </c>
      <c r="F193" s="158">
        <v>3042955</v>
      </c>
      <c r="G193" s="157">
        <v>1976237</v>
      </c>
      <c r="H193" s="158">
        <v>3003892</v>
      </c>
      <c r="I193" s="157">
        <v>0</v>
      </c>
      <c r="J193" s="158">
        <v>-204228</v>
      </c>
      <c r="K193" s="157">
        <v>243292</v>
      </c>
      <c r="L193" s="158">
        <v>-243291</v>
      </c>
      <c r="M193" s="157">
        <v>14370</v>
      </c>
      <c r="N193" s="158">
        <v>0</v>
      </c>
      <c r="O193" s="157">
        <v>447304</v>
      </c>
      <c r="P193" s="158">
        <v>666373</v>
      </c>
      <c r="Q193" s="157">
        <v>434649</v>
      </c>
      <c r="R193" s="158">
        <v>641647</v>
      </c>
      <c r="S193" s="157">
        <v>74523</v>
      </c>
      <c r="T193" s="158">
        <v>-42652</v>
      </c>
      <c r="U193" s="157">
        <v>76238</v>
      </c>
      <c r="V193" s="158">
        <v>-67378</v>
      </c>
      <c r="W193" s="157">
        <v>4314.6900000000023</v>
      </c>
      <c r="X193" s="158">
        <v>2540897.96</v>
      </c>
      <c r="Y193" s="157">
        <v>0</v>
      </c>
      <c r="Z193" s="158">
        <v>0</v>
      </c>
      <c r="AA193" s="157">
        <v>9607908.040000001</v>
      </c>
      <c r="AB193" s="158">
        <v>5129257.3599999994</v>
      </c>
      <c r="AC193" s="157">
        <v>0</v>
      </c>
      <c r="AD193" s="158">
        <v>0</v>
      </c>
      <c r="AE193" s="154">
        <v>5.0269663986939929E-4</v>
      </c>
      <c r="AF193" s="156">
        <v>0.21367071171686561</v>
      </c>
      <c r="AG193" s="154">
        <v>0</v>
      </c>
      <c r="AH193" s="156">
        <v>0</v>
      </c>
    </row>
    <row r="194" spans="1:34" x14ac:dyDescent="0.2">
      <c r="A194" s="152">
        <v>7102</v>
      </c>
      <c r="B194" s="153" t="s">
        <v>229</v>
      </c>
      <c r="C194" s="157">
        <v>0</v>
      </c>
      <c r="D194" s="158">
        <v>0</v>
      </c>
      <c r="E194" s="157">
        <v>0</v>
      </c>
      <c r="F194" s="158">
        <v>284761</v>
      </c>
      <c r="G194" s="157">
        <v>0</v>
      </c>
      <c r="H194" s="158">
        <v>284761</v>
      </c>
      <c r="I194" s="157">
        <v>0</v>
      </c>
      <c r="J194" s="158">
        <v>0</v>
      </c>
      <c r="K194" s="157">
        <v>0</v>
      </c>
      <c r="L194" s="158">
        <v>0</v>
      </c>
      <c r="M194" s="157">
        <v>0</v>
      </c>
      <c r="N194" s="158">
        <v>0</v>
      </c>
      <c r="O194" s="157">
        <v>430381</v>
      </c>
      <c r="P194" s="158">
        <v>531991</v>
      </c>
      <c r="Q194" s="157">
        <v>429431</v>
      </c>
      <c r="R194" s="158">
        <v>456305</v>
      </c>
      <c r="S194" s="157">
        <v>7182</v>
      </c>
      <c r="T194" s="158">
        <v>69638</v>
      </c>
      <c r="U194" s="157">
        <v>6232</v>
      </c>
      <c r="V194" s="158">
        <v>-6048</v>
      </c>
      <c r="W194" s="157">
        <v>0</v>
      </c>
      <c r="X194" s="158">
        <v>195269.73000000004</v>
      </c>
      <c r="Y194" s="157">
        <v>0</v>
      </c>
      <c r="Z194" s="158">
        <v>0</v>
      </c>
      <c r="AA194" s="157">
        <v>825252.48</v>
      </c>
      <c r="AB194" s="158">
        <v>553198.55999999994</v>
      </c>
      <c r="AC194" s="157">
        <v>0</v>
      </c>
      <c r="AD194" s="158">
        <v>0</v>
      </c>
      <c r="AE194" s="154">
        <v>0</v>
      </c>
      <c r="AF194" s="156">
        <v>2.2472660067143026E-2</v>
      </c>
      <c r="AG194" s="154">
        <v>0</v>
      </c>
      <c r="AH194" s="156">
        <v>0</v>
      </c>
    </row>
    <row r="195" spans="1:34" x14ac:dyDescent="0.2">
      <c r="A195" s="152">
        <v>7103</v>
      </c>
      <c r="B195" s="153" t="s">
        <v>230</v>
      </c>
      <c r="C195" s="157">
        <v>0</v>
      </c>
      <c r="D195" s="158">
        <v>0</v>
      </c>
      <c r="E195" s="157">
        <v>309486</v>
      </c>
      <c r="F195" s="158">
        <v>0</v>
      </c>
      <c r="G195" s="157">
        <v>0</v>
      </c>
      <c r="H195" s="158">
        <v>263107</v>
      </c>
      <c r="I195" s="157">
        <v>309486</v>
      </c>
      <c r="J195" s="158">
        <v>-263107</v>
      </c>
      <c r="K195" s="157">
        <v>0</v>
      </c>
      <c r="L195" s="158">
        <v>0</v>
      </c>
      <c r="M195" s="157">
        <v>0</v>
      </c>
      <c r="N195" s="158">
        <v>0</v>
      </c>
      <c r="O195" s="157">
        <v>4195219</v>
      </c>
      <c r="P195" s="158">
        <v>1318413</v>
      </c>
      <c r="Q195" s="157">
        <v>3077494</v>
      </c>
      <c r="R195" s="158">
        <v>2395204</v>
      </c>
      <c r="S195" s="157">
        <v>1161175</v>
      </c>
      <c r="T195" s="158">
        <v>-1225419</v>
      </c>
      <c r="U195" s="157">
        <v>43450</v>
      </c>
      <c r="V195" s="158">
        <v>-148628</v>
      </c>
      <c r="W195" s="157">
        <v>5340.3099999995902</v>
      </c>
      <c r="X195" s="158">
        <v>36624.429999999993</v>
      </c>
      <c r="Y195" s="157">
        <v>0</v>
      </c>
      <c r="Z195" s="158">
        <v>0</v>
      </c>
      <c r="AA195" s="157">
        <v>27450.790000000037</v>
      </c>
      <c r="AB195" s="158">
        <v>5397142.1099999994</v>
      </c>
      <c r="AC195" s="157">
        <v>0</v>
      </c>
      <c r="AD195" s="158">
        <v>0</v>
      </c>
      <c r="AE195" s="154">
        <v>2.1668827269583923E-4</v>
      </c>
      <c r="AF195" s="156">
        <v>1.4800183900955989E-3</v>
      </c>
      <c r="AG195" s="154">
        <v>0</v>
      </c>
      <c r="AH195" s="156">
        <v>0</v>
      </c>
    </row>
    <row r="196" spans="1:34" x14ac:dyDescent="0.2">
      <c r="A196" s="152">
        <v>7104</v>
      </c>
      <c r="B196" s="153" t="s">
        <v>231</v>
      </c>
      <c r="C196" s="157">
        <v>0</v>
      </c>
      <c r="D196" s="158">
        <v>0</v>
      </c>
      <c r="E196" s="157">
        <v>461748</v>
      </c>
      <c r="F196" s="158">
        <v>288279</v>
      </c>
      <c r="G196" s="157">
        <v>0</v>
      </c>
      <c r="H196" s="158">
        <v>522168</v>
      </c>
      <c r="I196" s="157">
        <v>113787</v>
      </c>
      <c r="J196" s="158">
        <v>-113623</v>
      </c>
      <c r="K196" s="157">
        <v>-347961</v>
      </c>
      <c r="L196" s="158">
        <v>120266</v>
      </c>
      <c r="M196" s="157">
        <v>0</v>
      </c>
      <c r="N196" s="158">
        <v>0</v>
      </c>
      <c r="O196" s="157">
        <v>393278</v>
      </c>
      <c r="P196" s="158">
        <v>818828</v>
      </c>
      <c r="Q196" s="157">
        <v>400135</v>
      </c>
      <c r="R196" s="158">
        <v>709741</v>
      </c>
      <c r="S196" s="157">
        <v>-30939</v>
      </c>
      <c r="T196" s="158">
        <v>83123</v>
      </c>
      <c r="U196" s="157">
        <v>-24082</v>
      </c>
      <c r="V196" s="158">
        <v>-25964</v>
      </c>
      <c r="W196" s="157">
        <v>264386.66000000003</v>
      </c>
      <c r="X196" s="158">
        <v>589382.61</v>
      </c>
      <c r="Y196" s="157">
        <v>0</v>
      </c>
      <c r="Z196" s="158">
        <v>0</v>
      </c>
      <c r="AA196" s="157">
        <v>6051261.4500000002</v>
      </c>
      <c r="AB196" s="158">
        <v>6382736.6200000001</v>
      </c>
      <c r="AC196" s="157">
        <v>0</v>
      </c>
      <c r="AD196" s="158">
        <v>0</v>
      </c>
      <c r="AE196" s="154">
        <v>1.6586662721802915E-2</v>
      </c>
      <c r="AF196" s="156">
        <v>3.4960954567806617E-2</v>
      </c>
      <c r="AG196" s="154">
        <v>0</v>
      </c>
      <c r="AH196" s="156">
        <v>0</v>
      </c>
    </row>
    <row r="197" spans="1:34" x14ac:dyDescent="0.2">
      <c r="A197" s="152">
        <v>7105</v>
      </c>
      <c r="B197" s="153" t="s">
        <v>232</v>
      </c>
      <c r="C197" s="157">
        <v>0</v>
      </c>
      <c r="D197" s="158">
        <v>0</v>
      </c>
      <c r="E197" s="157">
        <v>475982</v>
      </c>
      <c r="F197" s="158">
        <v>227193</v>
      </c>
      <c r="G197" s="157">
        <v>418904</v>
      </c>
      <c r="H197" s="158">
        <v>225607</v>
      </c>
      <c r="I197" s="157">
        <v>0</v>
      </c>
      <c r="J197" s="158">
        <v>0</v>
      </c>
      <c r="K197" s="157">
        <v>-57078</v>
      </c>
      <c r="L197" s="158">
        <v>-1586</v>
      </c>
      <c r="M197" s="157">
        <v>173</v>
      </c>
      <c r="N197" s="158">
        <v>0</v>
      </c>
      <c r="O197" s="157">
        <v>667589</v>
      </c>
      <c r="P197" s="158">
        <v>1219944</v>
      </c>
      <c r="Q197" s="157">
        <v>755215</v>
      </c>
      <c r="R197" s="158">
        <v>1373380</v>
      </c>
      <c r="S197" s="157">
        <v>4950</v>
      </c>
      <c r="T197" s="158">
        <v>-127187</v>
      </c>
      <c r="U197" s="157">
        <v>92749</v>
      </c>
      <c r="V197" s="158">
        <v>26249</v>
      </c>
      <c r="W197" s="157">
        <v>214153.72999999998</v>
      </c>
      <c r="X197" s="158">
        <v>59738.029999999912</v>
      </c>
      <c r="Y197" s="157">
        <v>0</v>
      </c>
      <c r="Z197" s="158">
        <v>0</v>
      </c>
      <c r="AA197" s="157">
        <v>334220.26000000007</v>
      </c>
      <c r="AB197" s="158">
        <v>181988.53000000003</v>
      </c>
      <c r="AC197" s="157">
        <v>1500</v>
      </c>
      <c r="AD197" s="158">
        <v>0</v>
      </c>
      <c r="AE197" s="154">
        <v>1.0336770110761522E-2</v>
      </c>
      <c r="AF197" s="156">
        <v>2.8897367040880682E-3</v>
      </c>
      <c r="AG197" s="154">
        <v>7.2401985088666373E-5</v>
      </c>
      <c r="AH197" s="156">
        <v>0</v>
      </c>
    </row>
    <row r="198" spans="1:34" x14ac:dyDescent="0.2">
      <c r="A198" s="152">
        <v>7106</v>
      </c>
      <c r="B198" s="153" t="s">
        <v>233</v>
      </c>
      <c r="C198" s="157">
        <v>0</v>
      </c>
      <c r="D198" s="158">
        <v>0</v>
      </c>
      <c r="E198" s="157">
        <v>0</v>
      </c>
      <c r="F198" s="158">
        <v>582143</v>
      </c>
      <c r="G198" s="157">
        <v>0</v>
      </c>
      <c r="H198" s="158">
        <v>582143</v>
      </c>
      <c r="I198" s="157">
        <v>0</v>
      </c>
      <c r="J198" s="158">
        <v>0</v>
      </c>
      <c r="K198" s="157">
        <v>0</v>
      </c>
      <c r="L198" s="158">
        <v>0</v>
      </c>
      <c r="M198" s="157">
        <v>0</v>
      </c>
      <c r="N198" s="158">
        <v>0</v>
      </c>
      <c r="O198" s="157">
        <v>802822</v>
      </c>
      <c r="P198" s="158">
        <v>1319275</v>
      </c>
      <c r="Q198" s="157">
        <v>932621</v>
      </c>
      <c r="R198" s="158">
        <v>1260040</v>
      </c>
      <c r="S198" s="157">
        <v>-78293</v>
      </c>
      <c r="T198" s="158">
        <v>45836</v>
      </c>
      <c r="U198" s="157">
        <v>51506</v>
      </c>
      <c r="V198" s="158">
        <v>-13399</v>
      </c>
      <c r="W198" s="157">
        <v>264.36000000001513</v>
      </c>
      <c r="X198" s="158">
        <v>591388.75999999989</v>
      </c>
      <c r="Y198" s="157">
        <v>0</v>
      </c>
      <c r="Z198" s="158">
        <v>0</v>
      </c>
      <c r="AA198" s="157">
        <v>210817.44</v>
      </c>
      <c r="AB198" s="158">
        <v>1581162.3499999999</v>
      </c>
      <c r="AC198" s="157">
        <v>0</v>
      </c>
      <c r="AD198" s="158">
        <v>0</v>
      </c>
      <c r="AE198" s="154">
        <v>1.1109699074915208E-5</v>
      </c>
      <c r="AF198" s="156">
        <v>2.20351687082436E-2</v>
      </c>
      <c r="AG198" s="154">
        <v>0</v>
      </c>
      <c r="AH198" s="156">
        <v>0</v>
      </c>
    </row>
    <row r="199" spans="1:34" x14ac:dyDescent="0.2">
      <c r="A199" s="152">
        <v>7107</v>
      </c>
      <c r="B199" s="153" t="s">
        <v>234</v>
      </c>
      <c r="C199" s="157">
        <v>0</v>
      </c>
      <c r="D199" s="158">
        <v>0</v>
      </c>
      <c r="E199" s="157">
        <v>0</v>
      </c>
      <c r="F199" s="158">
        <v>83729</v>
      </c>
      <c r="G199" s="157">
        <v>402378</v>
      </c>
      <c r="H199" s="158">
        <v>83729</v>
      </c>
      <c r="I199" s="157">
        <v>-402389</v>
      </c>
      <c r="J199" s="158">
        <v>0</v>
      </c>
      <c r="K199" s="157">
        <v>-11</v>
      </c>
      <c r="L199" s="158">
        <v>0</v>
      </c>
      <c r="M199" s="157">
        <v>0</v>
      </c>
      <c r="N199" s="158">
        <v>0</v>
      </c>
      <c r="O199" s="157">
        <v>518964</v>
      </c>
      <c r="P199" s="158">
        <v>859358</v>
      </c>
      <c r="Q199" s="157">
        <v>542423</v>
      </c>
      <c r="R199" s="158">
        <v>686218</v>
      </c>
      <c r="S199" s="157">
        <v>-23403</v>
      </c>
      <c r="T199" s="158">
        <v>173085</v>
      </c>
      <c r="U199" s="157">
        <v>56</v>
      </c>
      <c r="V199" s="158">
        <v>-55</v>
      </c>
      <c r="W199" s="157">
        <v>258983.82999999996</v>
      </c>
      <c r="X199" s="158">
        <v>301324.07</v>
      </c>
      <c r="Y199" s="157">
        <v>0</v>
      </c>
      <c r="Z199" s="158">
        <v>0</v>
      </c>
      <c r="AA199" s="157">
        <v>172187.4</v>
      </c>
      <c r="AB199" s="158">
        <v>193414.86</v>
      </c>
      <c r="AC199" s="157">
        <v>0</v>
      </c>
      <c r="AD199" s="158">
        <v>0</v>
      </c>
      <c r="AE199" s="154">
        <v>2.1857949734717382E-2</v>
      </c>
      <c r="AF199" s="156">
        <v>2.3146197233017498E-2</v>
      </c>
      <c r="AG199" s="154">
        <v>0</v>
      </c>
      <c r="AH199" s="156">
        <v>0</v>
      </c>
    </row>
    <row r="200" spans="1:34" x14ac:dyDescent="0.2">
      <c r="A200" s="152">
        <v>7108</v>
      </c>
      <c r="B200" s="153" t="s">
        <v>235</v>
      </c>
      <c r="C200" s="157">
        <v>0</v>
      </c>
      <c r="D200" s="158">
        <v>0</v>
      </c>
      <c r="E200" s="157">
        <v>31354</v>
      </c>
      <c r="F200" s="158">
        <v>569354</v>
      </c>
      <c r="G200" s="157">
        <v>154</v>
      </c>
      <c r="H200" s="158">
        <v>586274</v>
      </c>
      <c r="I200" s="157">
        <v>31200</v>
      </c>
      <c r="J200" s="158">
        <v>-15100</v>
      </c>
      <c r="K200" s="157">
        <v>0</v>
      </c>
      <c r="L200" s="158">
        <v>1820</v>
      </c>
      <c r="M200" s="157">
        <v>0</v>
      </c>
      <c r="N200" s="158">
        <v>3304</v>
      </c>
      <c r="O200" s="157">
        <v>999648</v>
      </c>
      <c r="P200" s="158">
        <v>1048232</v>
      </c>
      <c r="Q200" s="157">
        <v>1025796</v>
      </c>
      <c r="R200" s="158">
        <v>1019035</v>
      </c>
      <c r="S200" s="157">
        <v>9297</v>
      </c>
      <c r="T200" s="158">
        <v>1625</v>
      </c>
      <c r="U200" s="157">
        <v>35445</v>
      </c>
      <c r="V200" s="158">
        <v>-24268</v>
      </c>
      <c r="W200" s="157">
        <v>0</v>
      </c>
      <c r="X200" s="158">
        <v>12627.110000000044</v>
      </c>
      <c r="Y200" s="157">
        <v>0</v>
      </c>
      <c r="Z200" s="158">
        <v>0</v>
      </c>
      <c r="AA200" s="157">
        <v>525327.14</v>
      </c>
      <c r="AB200" s="158">
        <v>919065.82000000007</v>
      </c>
      <c r="AC200" s="157">
        <v>0</v>
      </c>
      <c r="AD200" s="158">
        <v>0</v>
      </c>
      <c r="AE200" s="154">
        <v>0</v>
      </c>
      <c r="AF200" s="156">
        <v>6.1176841877094994E-4</v>
      </c>
      <c r="AG200" s="154">
        <v>0</v>
      </c>
      <c r="AH200" s="156">
        <v>0</v>
      </c>
    </row>
    <row r="201" spans="1:34" x14ac:dyDescent="0.2">
      <c r="A201" s="152">
        <v>7109</v>
      </c>
      <c r="B201" s="153" t="s">
        <v>227</v>
      </c>
      <c r="C201" s="157">
        <v>0</v>
      </c>
      <c r="D201" s="158">
        <v>0</v>
      </c>
      <c r="E201" s="157">
        <v>0</v>
      </c>
      <c r="F201" s="158">
        <v>0</v>
      </c>
      <c r="G201" s="157">
        <v>0</v>
      </c>
      <c r="H201" s="158">
        <v>0</v>
      </c>
      <c r="I201" s="157">
        <v>0</v>
      </c>
      <c r="J201" s="158">
        <v>0</v>
      </c>
      <c r="K201" s="157">
        <v>0</v>
      </c>
      <c r="L201" s="158">
        <v>0</v>
      </c>
      <c r="M201" s="157">
        <v>0</v>
      </c>
      <c r="N201" s="158">
        <v>0</v>
      </c>
      <c r="O201" s="157">
        <v>20327218</v>
      </c>
      <c r="P201" s="158">
        <v>4450442</v>
      </c>
      <c r="Q201" s="157">
        <v>13398958</v>
      </c>
      <c r="R201" s="158">
        <v>10423586</v>
      </c>
      <c r="S201" s="157">
        <v>6305451</v>
      </c>
      <c r="T201" s="158">
        <v>-4769075</v>
      </c>
      <c r="U201" s="157">
        <v>-622809</v>
      </c>
      <c r="V201" s="158">
        <v>1204069</v>
      </c>
      <c r="W201" s="157">
        <v>1062594.460000003</v>
      </c>
      <c r="X201" s="158">
        <v>69060.149999999907</v>
      </c>
      <c r="Y201" s="157">
        <v>0</v>
      </c>
      <c r="Z201" s="158">
        <v>0</v>
      </c>
      <c r="AA201" s="157">
        <v>835534.0900000016</v>
      </c>
      <c r="AB201" s="158">
        <v>12015513.630000001</v>
      </c>
      <c r="AC201" s="157">
        <v>0</v>
      </c>
      <c r="AD201" s="158">
        <v>0</v>
      </c>
      <c r="AE201" s="154">
        <v>1.5695911387270303E-2</v>
      </c>
      <c r="AF201" s="156">
        <v>7.8745682295020371E-4</v>
      </c>
      <c r="AG201" s="154">
        <v>0</v>
      </c>
      <c r="AH201" s="156">
        <v>0</v>
      </c>
    </row>
    <row r="202" spans="1:34" x14ac:dyDescent="0.2">
      <c r="A202" s="152">
        <v>7110</v>
      </c>
      <c r="B202" s="153" t="s">
        <v>236</v>
      </c>
      <c r="C202" s="157">
        <v>5</v>
      </c>
      <c r="D202" s="158">
        <v>0</v>
      </c>
      <c r="E202" s="157">
        <v>165064</v>
      </c>
      <c r="F202" s="158">
        <v>15600</v>
      </c>
      <c r="G202" s="157">
        <v>130384</v>
      </c>
      <c r="H202" s="158">
        <v>43503</v>
      </c>
      <c r="I202" s="157">
        <v>34680</v>
      </c>
      <c r="J202" s="158">
        <v>-28080</v>
      </c>
      <c r="K202" s="157">
        <v>5</v>
      </c>
      <c r="L202" s="158">
        <v>-177</v>
      </c>
      <c r="M202" s="157">
        <v>14532</v>
      </c>
      <c r="N202" s="158">
        <v>3376</v>
      </c>
      <c r="O202" s="157">
        <v>529126</v>
      </c>
      <c r="P202" s="158">
        <v>1018760</v>
      </c>
      <c r="Q202" s="157">
        <v>607178</v>
      </c>
      <c r="R202" s="158">
        <v>541931</v>
      </c>
      <c r="S202" s="157">
        <v>-22464</v>
      </c>
      <c r="T202" s="158">
        <v>455808</v>
      </c>
      <c r="U202" s="157">
        <v>70120</v>
      </c>
      <c r="V202" s="158">
        <v>-17645</v>
      </c>
      <c r="W202" s="157">
        <v>0</v>
      </c>
      <c r="X202" s="158">
        <v>42870.180000000051</v>
      </c>
      <c r="Y202" s="157">
        <v>0</v>
      </c>
      <c r="Z202" s="158">
        <v>0</v>
      </c>
      <c r="AA202" s="157">
        <v>321837.11000000004</v>
      </c>
      <c r="AB202" s="158">
        <v>1683280.49</v>
      </c>
      <c r="AC202" s="157">
        <v>0</v>
      </c>
      <c r="AD202" s="158">
        <v>0</v>
      </c>
      <c r="AE202" s="154">
        <v>0</v>
      </c>
      <c r="AF202" s="156">
        <v>2.4443711193205628E-3</v>
      </c>
      <c r="AG202" s="154">
        <v>0</v>
      </c>
      <c r="AH202" s="156">
        <v>0</v>
      </c>
    </row>
    <row r="203" spans="1:34" x14ac:dyDescent="0.2">
      <c r="A203" s="152">
        <v>7200</v>
      </c>
      <c r="B203" s="153" t="s">
        <v>238</v>
      </c>
      <c r="C203" s="157">
        <v>13725</v>
      </c>
      <c r="D203" s="158">
        <v>16002</v>
      </c>
      <c r="E203" s="157">
        <v>15177</v>
      </c>
      <c r="F203" s="158">
        <v>13724</v>
      </c>
      <c r="G203" s="157">
        <v>2</v>
      </c>
      <c r="H203" s="158">
        <v>4349</v>
      </c>
      <c r="I203" s="157">
        <v>0</v>
      </c>
      <c r="J203" s="158">
        <v>0</v>
      </c>
      <c r="K203" s="157">
        <v>-1450</v>
      </c>
      <c r="L203" s="158">
        <v>6627</v>
      </c>
      <c r="M203" s="157">
        <v>674</v>
      </c>
      <c r="N203" s="158">
        <v>10304</v>
      </c>
      <c r="O203" s="157">
        <v>271421473</v>
      </c>
      <c r="P203" s="158">
        <v>15246897</v>
      </c>
      <c r="Q203" s="157">
        <v>106220968</v>
      </c>
      <c r="R203" s="158">
        <v>48203059</v>
      </c>
      <c r="S203" s="157">
        <v>52719602</v>
      </c>
      <c r="T203" s="158">
        <v>-43473569</v>
      </c>
      <c r="U203" s="157">
        <v>-112480229</v>
      </c>
      <c r="V203" s="158">
        <v>-10507103</v>
      </c>
      <c r="W203" s="157">
        <v>244228.56999997096</v>
      </c>
      <c r="X203" s="158">
        <v>788814.89000000048</v>
      </c>
      <c r="Y203" s="157">
        <v>6251176.7200000007</v>
      </c>
      <c r="Z203" s="158">
        <v>27646001.349999998</v>
      </c>
      <c r="AA203" s="157">
        <v>25909238.199999996</v>
      </c>
      <c r="AB203" s="158">
        <v>57434175.590000004</v>
      </c>
      <c r="AC203" s="157">
        <v>0</v>
      </c>
      <c r="AD203" s="158">
        <v>48840</v>
      </c>
      <c r="AE203" s="154">
        <v>1.0986932445357876E-4</v>
      </c>
      <c r="AF203" s="156">
        <v>3.0050835381053594E-4</v>
      </c>
      <c r="AG203" s="154">
        <v>0</v>
      </c>
      <c r="AH203" s="156">
        <v>1.8606175144724469E-5</v>
      </c>
    </row>
    <row r="204" spans="1:34" x14ac:dyDescent="0.2">
      <c r="A204" s="152">
        <v>7301</v>
      </c>
      <c r="B204" s="153" t="s">
        <v>240</v>
      </c>
      <c r="C204" s="157">
        <v>0</v>
      </c>
      <c r="D204" s="158">
        <v>0</v>
      </c>
      <c r="E204" s="157">
        <v>700281</v>
      </c>
      <c r="F204" s="158">
        <v>0</v>
      </c>
      <c r="G204" s="157">
        <v>570988</v>
      </c>
      <c r="H204" s="158">
        <v>0</v>
      </c>
      <c r="I204" s="157">
        <v>0</v>
      </c>
      <c r="J204" s="158">
        <v>0</v>
      </c>
      <c r="K204" s="157">
        <v>-129293</v>
      </c>
      <c r="L204" s="158">
        <v>0</v>
      </c>
      <c r="M204" s="157">
        <v>15380</v>
      </c>
      <c r="N204" s="158">
        <v>0</v>
      </c>
      <c r="O204" s="157">
        <v>126706</v>
      </c>
      <c r="P204" s="158">
        <v>255211</v>
      </c>
      <c r="Q204" s="157">
        <v>144787</v>
      </c>
      <c r="R204" s="158">
        <v>257641</v>
      </c>
      <c r="S204" s="157">
        <v>0</v>
      </c>
      <c r="T204" s="158">
        <v>0</v>
      </c>
      <c r="U204" s="157">
        <v>33461</v>
      </c>
      <c r="V204" s="158">
        <v>2430</v>
      </c>
      <c r="W204" s="157">
        <v>0</v>
      </c>
      <c r="X204" s="158">
        <v>5282.7199999999993</v>
      </c>
      <c r="Y204" s="157">
        <v>0</v>
      </c>
      <c r="Z204" s="158">
        <v>0</v>
      </c>
      <c r="AA204" s="157">
        <v>618189.02</v>
      </c>
      <c r="AB204" s="158">
        <v>0</v>
      </c>
      <c r="AC204" s="157">
        <v>0</v>
      </c>
      <c r="AD204" s="158">
        <v>5283</v>
      </c>
      <c r="AE204" s="154">
        <v>0</v>
      </c>
      <c r="AF204" s="156">
        <v>1.2062227312540357E-3</v>
      </c>
      <c r="AG204" s="154">
        <v>0</v>
      </c>
      <c r="AH204" s="156">
        <v>1.2062866646755973E-3</v>
      </c>
    </row>
    <row r="205" spans="1:34" x14ac:dyDescent="0.2">
      <c r="A205" s="152">
        <v>7302</v>
      </c>
      <c r="B205" s="153" t="s">
        <v>241</v>
      </c>
      <c r="C205" s="157">
        <v>0</v>
      </c>
      <c r="D205" s="158">
        <v>0</v>
      </c>
      <c r="E205" s="157">
        <v>0</v>
      </c>
      <c r="F205" s="158">
        <v>0</v>
      </c>
      <c r="G205" s="157">
        <v>0</v>
      </c>
      <c r="H205" s="158">
        <v>0</v>
      </c>
      <c r="I205" s="157">
        <v>0</v>
      </c>
      <c r="J205" s="158">
        <v>0</v>
      </c>
      <c r="K205" s="157">
        <v>0</v>
      </c>
      <c r="L205" s="158">
        <v>0</v>
      </c>
      <c r="M205" s="157">
        <v>0</v>
      </c>
      <c r="N205" s="158">
        <v>0</v>
      </c>
      <c r="O205" s="157">
        <v>16309</v>
      </c>
      <c r="P205" s="158">
        <v>37736</v>
      </c>
      <c r="Q205" s="157">
        <v>27957</v>
      </c>
      <c r="R205" s="158">
        <v>37664</v>
      </c>
      <c r="S205" s="157">
        <v>0</v>
      </c>
      <c r="T205" s="158">
        <v>0</v>
      </c>
      <c r="U205" s="157">
        <v>11648</v>
      </c>
      <c r="V205" s="158">
        <v>-72</v>
      </c>
      <c r="W205" s="157">
        <v>0</v>
      </c>
      <c r="X205" s="158">
        <v>0</v>
      </c>
      <c r="Y205" s="157">
        <v>0</v>
      </c>
      <c r="Z205" s="158">
        <v>0</v>
      </c>
      <c r="AA205" s="157">
        <v>0</v>
      </c>
      <c r="AB205" s="158">
        <v>2919480</v>
      </c>
      <c r="AC205" s="157">
        <v>0</v>
      </c>
      <c r="AD205" s="158">
        <v>0</v>
      </c>
      <c r="AE205" s="154">
        <v>0</v>
      </c>
      <c r="AF205" s="156">
        <v>0</v>
      </c>
      <c r="AG205" s="154">
        <v>0</v>
      </c>
      <c r="AH205" s="156">
        <v>0</v>
      </c>
    </row>
    <row r="206" spans="1:34" x14ac:dyDescent="0.2">
      <c r="A206" s="152">
        <v>7303</v>
      </c>
      <c r="B206" s="153" t="s">
        <v>242</v>
      </c>
      <c r="C206" s="157">
        <v>0</v>
      </c>
      <c r="D206" s="158">
        <v>0</v>
      </c>
      <c r="E206" s="157">
        <v>2014031</v>
      </c>
      <c r="F206" s="158">
        <v>1770890</v>
      </c>
      <c r="G206" s="157">
        <v>8838</v>
      </c>
      <c r="H206" s="158">
        <v>502242</v>
      </c>
      <c r="I206" s="157">
        <v>-8838</v>
      </c>
      <c r="J206" s="158">
        <v>0</v>
      </c>
      <c r="K206" s="157">
        <v>-2014031</v>
      </c>
      <c r="L206" s="158">
        <v>-1268648</v>
      </c>
      <c r="M206" s="157">
        <v>0</v>
      </c>
      <c r="N206" s="158">
        <v>0</v>
      </c>
      <c r="O206" s="157">
        <v>4236601</v>
      </c>
      <c r="P206" s="158">
        <v>4044052</v>
      </c>
      <c r="Q206" s="157">
        <v>4016008</v>
      </c>
      <c r="R206" s="158">
        <v>4149355</v>
      </c>
      <c r="S206" s="157">
        <v>70378</v>
      </c>
      <c r="T206" s="158">
        <v>-40831</v>
      </c>
      <c r="U206" s="157">
        <v>-150215</v>
      </c>
      <c r="V206" s="158">
        <v>64472</v>
      </c>
      <c r="W206" s="157">
        <v>-1.4551915228366852E-11</v>
      </c>
      <c r="X206" s="158">
        <v>59384.799999999814</v>
      </c>
      <c r="Y206" s="157">
        <v>0</v>
      </c>
      <c r="Z206" s="158">
        <v>0</v>
      </c>
      <c r="AA206" s="157">
        <v>6563214.830000001</v>
      </c>
      <c r="AB206" s="158">
        <v>28568906.879999999</v>
      </c>
      <c r="AC206" s="157">
        <v>0</v>
      </c>
      <c r="AD206" s="158">
        <v>0</v>
      </c>
      <c r="AE206" s="154">
        <v>-2.4225178454666084E-19</v>
      </c>
      <c r="AF206" s="156">
        <v>7.1686503681295515E-4</v>
      </c>
      <c r="AG206" s="154">
        <v>0</v>
      </c>
      <c r="AH206" s="156">
        <v>0</v>
      </c>
    </row>
    <row r="207" spans="1:34" x14ac:dyDescent="0.2">
      <c r="A207" s="152">
        <v>7304</v>
      </c>
      <c r="B207" s="153" t="s">
        <v>243</v>
      </c>
      <c r="C207" s="157">
        <v>0</v>
      </c>
      <c r="D207" s="158">
        <v>0</v>
      </c>
      <c r="E207" s="157">
        <v>996625</v>
      </c>
      <c r="F207" s="158">
        <v>241289</v>
      </c>
      <c r="G207" s="157">
        <v>913919</v>
      </c>
      <c r="H207" s="158">
        <v>241289</v>
      </c>
      <c r="I207" s="157">
        <v>0</v>
      </c>
      <c r="J207" s="158">
        <v>0</v>
      </c>
      <c r="K207" s="157">
        <v>-82706</v>
      </c>
      <c r="L207" s="158">
        <v>0</v>
      </c>
      <c r="M207" s="157">
        <v>0</v>
      </c>
      <c r="N207" s="158">
        <v>0</v>
      </c>
      <c r="O207" s="157">
        <v>197297</v>
      </c>
      <c r="P207" s="158">
        <v>275681</v>
      </c>
      <c r="Q207" s="157">
        <v>246894</v>
      </c>
      <c r="R207" s="158">
        <v>199675</v>
      </c>
      <c r="S207" s="157">
        <v>-7250</v>
      </c>
      <c r="T207" s="158">
        <v>48800</v>
      </c>
      <c r="U207" s="157">
        <v>42347</v>
      </c>
      <c r="V207" s="158">
        <v>-27206</v>
      </c>
      <c r="W207" s="157">
        <v>0</v>
      </c>
      <c r="X207" s="158">
        <v>7710.109999999986</v>
      </c>
      <c r="Y207" s="157">
        <v>0</v>
      </c>
      <c r="Z207" s="158">
        <v>0</v>
      </c>
      <c r="AA207" s="157">
        <v>33795.899999999965</v>
      </c>
      <c r="AB207" s="158">
        <v>111166.02999999997</v>
      </c>
      <c r="AC207" s="157">
        <v>0</v>
      </c>
      <c r="AD207" s="158">
        <v>0</v>
      </c>
      <c r="AE207" s="154">
        <v>0</v>
      </c>
      <c r="AF207" s="156">
        <v>5.1585184758969733E-4</v>
      </c>
      <c r="AG207" s="154">
        <v>0</v>
      </c>
      <c r="AH207" s="156">
        <v>0</v>
      </c>
    </row>
    <row r="208" spans="1:34" x14ac:dyDescent="0.2">
      <c r="A208" s="152">
        <v>7305</v>
      </c>
      <c r="B208" s="153" t="s">
        <v>244</v>
      </c>
      <c r="C208" s="157">
        <v>0</v>
      </c>
      <c r="D208" s="158">
        <v>0</v>
      </c>
      <c r="E208" s="157">
        <v>841404</v>
      </c>
      <c r="F208" s="158">
        <v>0</v>
      </c>
      <c r="G208" s="157">
        <v>840136</v>
      </c>
      <c r="H208" s="158">
        <v>1063474</v>
      </c>
      <c r="I208" s="157">
        <v>0</v>
      </c>
      <c r="J208" s="158">
        <v>0</v>
      </c>
      <c r="K208" s="157">
        <v>-1268</v>
      </c>
      <c r="L208" s="158">
        <v>1063474</v>
      </c>
      <c r="M208" s="157">
        <v>0</v>
      </c>
      <c r="N208" s="158">
        <v>0</v>
      </c>
      <c r="O208" s="157">
        <v>512326</v>
      </c>
      <c r="P208" s="158">
        <v>486620</v>
      </c>
      <c r="Q208" s="157">
        <v>-30454</v>
      </c>
      <c r="R208" s="158">
        <v>363309</v>
      </c>
      <c r="S208" s="157">
        <v>16246</v>
      </c>
      <c r="T208" s="158">
        <v>52935</v>
      </c>
      <c r="U208" s="157">
        <v>-526534</v>
      </c>
      <c r="V208" s="158">
        <v>-70376</v>
      </c>
      <c r="W208" s="157">
        <v>3931.4599999999627</v>
      </c>
      <c r="X208" s="158">
        <v>-2.9103830456733704E-11</v>
      </c>
      <c r="Y208" s="157">
        <v>11696.1</v>
      </c>
      <c r="Z208" s="158">
        <v>11696.1</v>
      </c>
      <c r="AA208" s="157">
        <v>324558.21999999951</v>
      </c>
      <c r="AB208" s="158">
        <v>578533.59</v>
      </c>
      <c r="AC208" s="157">
        <v>0</v>
      </c>
      <c r="AD208" s="158">
        <v>0</v>
      </c>
      <c r="AE208" s="154">
        <v>2.4778819292216461E-4</v>
      </c>
      <c r="AF208" s="156">
        <v>-1.8329924346886329E-18</v>
      </c>
      <c r="AG208" s="154">
        <v>0</v>
      </c>
      <c r="AH208" s="156">
        <v>0</v>
      </c>
    </row>
    <row r="209" spans="1:34" x14ac:dyDescent="0.2">
      <c r="A209" s="152">
        <v>7306</v>
      </c>
      <c r="B209" s="153" t="s">
        <v>245</v>
      </c>
      <c r="C209" s="157">
        <v>0</v>
      </c>
      <c r="D209" s="158">
        <v>0</v>
      </c>
      <c r="E209" s="157">
        <v>0</v>
      </c>
      <c r="F209" s="158">
        <v>0</v>
      </c>
      <c r="G209" s="157">
        <v>0</v>
      </c>
      <c r="H209" s="158">
        <v>0</v>
      </c>
      <c r="I209" s="157">
        <v>0</v>
      </c>
      <c r="J209" s="158">
        <v>0</v>
      </c>
      <c r="K209" s="157">
        <v>0</v>
      </c>
      <c r="L209" s="158">
        <v>0</v>
      </c>
      <c r="M209" s="157">
        <v>0</v>
      </c>
      <c r="N209" s="158">
        <v>0</v>
      </c>
      <c r="O209" s="157">
        <v>289308</v>
      </c>
      <c r="P209" s="158">
        <v>440886</v>
      </c>
      <c r="Q209" s="157">
        <v>327430</v>
      </c>
      <c r="R209" s="158">
        <v>395086</v>
      </c>
      <c r="S209" s="157">
        <v>-1014314</v>
      </c>
      <c r="T209" s="158">
        <v>51636</v>
      </c>
      <c r="U209" s="157">
        <v>-976192</v>
      </c>
      <c r="V209" s="158">
        <v>5836</v>
      </c>
      <c r="W209" s="157">
        <v>4053.5600000000122</v>
      </c>
      <c r="X209" s="158">
        <v>1922.5899999999965</v>
      </c>
      <c r="Y209" s="157">
        <v>0</v>
      </c>
      <c r="Z209" s="158">
        <v>0</v>
      </c>
      <c r="AA209" s="157">
        <v>571</v>
      </c>
      <c r="AB209" s="158">
        <v>126356.70000000001</v>
      </c>
      <c r="AC209" s="157">
        <v>0</v>
      </c>
      <c r="AD209" s="158">
        <v>0</v>
      </c>
      <c r="AE209" s="154">
        <v>2.7503142442796631E-4</v>
      </c>
      <c r="AF209" s="156">
        <v>9.6332887625643842E-5</v>
      </c>
      <c r="AG209" s="154">
        <v>0</v>
      </c>
      <c r="AH209" s="156">
        <v>0</v>
      </c>
    </row>
    <row r="210" spans="1:34" x14ac:dyDescent="0.2">
      <c r="A210" s="152">
        <v>7307</v>
      </c>
      <c r="B210" s="153" t="s">
        <v>246</v>
      </c>
      <c r="C210" s="157">
        <v>0</v>
      </c>
      <c r="D210" s="158">
        <v>0</v>
      </c>
      <c r="E210" s="157">
        <v>226197</v>
      </c>
      <c r="F210" s="158">
        <v>0</v>
      </c>
      <c r="G210" s="157">
        <v>122761</v>
      </c>
      <c r="H210" s="158">
        <v>0</v>
      </c>
      <c r="I210" s="157">
        <v>-3802</v>
      </c>
      <c r="J210" s="158">
        <v>0</v>
      </c>
      <c r="K210" s="157">
        <v>-107238</v>
      </c>
      <c r="L210" s="158">
        <v>0</v>
      </c>
      <c r="M210" s="157">
        <v>0</v>
      </c>
      <c r="N210" s="158">
        <v>0</v>
      </c>
      <c r="O210" s="157">
        <v>320801</v>
      </c>
      <c r="P210" s="158">
        <v>344056</v>
      </c>
      <c r="Q210" s="157">
        <v>234275</v>
      </c>
      <c r="R210" s="158">
        <v>301867</v>
      </c>
      <c r="S210" s="157">
        <v>24300</v>
      </c>
      <c r="T210" s="158">
        <v>51500</v>
      </c>
      <c r="U210" s="157">
        <v>-62226</v>
      </c>
      <c r="V210" s="158">
        <v>9311</v>
      </c>
      <c r="W210" s="157">
        <v>0</v>
      </c>
      <c r="X210" s="158">
        <v>0</v>
      </c>
      <c r="Y210" s="157">
        <v>0</v>
      </c>
      <c r="Z210" s="158">
        <v>0</v>
      </c>
      <c r="AA210" s="157">
        <v>0</v>
      </c>
      <c r="AB210" s="158">
        <v>416100</v>
      </c>
      <c r="AC210" s="157">
        <v>0</v>
      </c>
      <c r="AD210" s="158">
        <v>0</v>
      </c>
      <c r="AE210" s="154">
        <v>0</v>
      </c>
      <c r="AF210" s="156">
        <v>0</v>
      </c>
      <c r="AG210" s="154">
        <v>0</v>
      </c>
      <c r="AH210" s="156">
        <v>0</v>
      </c>
    </row>
    <row r="211" spans="1:34" x14ac:dyDescent="0.2">
      <c r="A211" s="152">
        <v>7308</v>
      </c>
      <c r="B211" s="153" t="s">
        <v>247</v>
      </c>
      <c r="C211" s="157">
        <v>0</v>
      </c>
      <c r="D211" s="158">
        <v>0</v>
      </c>
      <c r="E211" s="157">
        <v>2413774</v>
      </c>
      <c r="F211" s="158">
        <v>1977670</v>
      </c>
      <c r="G211" s="157">
        <v>2291735</v>
      </c>
      <c r="H211" s="158">
        <v>1637518</v>
      </c>
      <c r="I211" s="157">
        <v>0</v>
      </c>
      <c r="J211" s="158">
        <v>0</v>
      </c>
      <c r="K211" s="157">
        <v>-122039</v>
      </c>
      <c r="L211" s="158">
        <v>-340152</v>
      </c>
      <c r="M211" s="157">
        <v>0</v>
      </c>
      <c r="N211" s="158">
        <v>0</v>
      </c>
      <c r="O211" s="157">
        <v>1336653</v>
      </c>
      <c r="P211" s="158">
        <v>470566</v>
      </c>
      <c r="Q211" s="157">
        <v>889995</v>
      </c>
      <c r="R211" s="158">
        <v>965786</v>
      </c>
      <c r="S211" s="157">
        <v>437198</v>
      </c>
      <c r="T211" s="158">
        <v>-520530</v>
      </c>
      <c r="U211" s="157">
        <v>-9460</v>
      </c>
      <c r="V211" s="158">
        <v>-25310</v>
      </c>
      <c r="W211" s="157">
        <v>377293.91</v>
      </c>
      <c r="X211" s="158">
        <v>14223.279999999999</v>
      </c>
      <c r="Y211" s="157">
        <v>0</v>
      </c>
      <c r="Z211" s="158">
        <v>0</v>
      </c>
      <c r="AA211" s="157">
        <v>3794510.9900000007</v>
      </c>
      <c r="AB211" s="158">
        <v>5264184.92</v>
      </c>
      <c r="AC211" s="157">
        <v>0</v>
      </c>
      <c r="AD211" s="158">
        <v>0</v>
      </c>
      <c r="AE211" s="154">
        <v>8.4330478172704934E-3</v>
      </c>
      <c r="AF211" s="156">
        <v>2.3846991406567219E-4</v>
      </c>
      <c r="AG211" s="154">
        <v>0</v>
      </c>
      <c r="AH211" s="156">
        <v>0</v>
      </c>
    </row>
    <row r="212" spans="1:34" x14ac:dyDescent="0.2">
      <c r="A212" s="152">
        <v>7309</v>
      </c>
      <c r="B212" s="153" t="s">
        <v>248</v>
      </c>
      <c r="C212" s="157">
        <v>0</v>
      </c>
      <c r="D212" s="158">
        <v>0</v>
      </c>
      <c r="E212" s="157">
        <v>1073730</v>
      </c>
      <c r="F212" s="158">
        <v>0</v>
      </c>
      <c r="G212" s="157">
        <v>1073730</v>
      </c>
      <c r="H212" s="158">
        <v>0</v>
      </c>
      <c r="I212" s="157">
        <v>0</v>
      </c>
      <c r="J212" s="158">
        <v>0</v>
      </c>
      <c r="K212" s="157">
        <v>0</v>
      </c>
      <c r="L212" s="158">
        <v>0</v>
      </c>
      <c r="M212" s="157">
        <v>0</v>
      </c>
      <c r="N212" s="158">
        <v>0</v>
      </c>
      <c r="O212" s="157">
        <v>777556</v>
      </c>
      <c r="P212" s="158">
        <v>759642</v>
      </c>
      <c r="Q212" s="157">
        <v>482741</v>
      </c>
      <c r="R212" s="158">
        <v>1471763</v>
      </c>
      <c r="S212" s="157">
        <v>227800</v>
      </c>
      <c r="T212" s="158">
        <v>-105513</v>
      </c>
      <c r="U212" s="157">
        <v>-67015</v>
      </c>
      <c r="V212" s="158">
        <v>606608</v>
      </c>
      <c r="W212" s="157">
        <v>32172.27999999997</v>
      </c>
      <c r="X212" s="158">
        <v>37980.299999999988</v>
      </c>
      <c r="Y212" s="157">
        <v>0</v>
      </c>
      <c r="Z212" s="158">
        <v>0</v>
      </c>
      <c r="AA212" s="157">
        <v>1232991.17</v>
      </c>
      <c r="AB212" s="158">
        <v>1164609.33</v>
      </c>
      <c r="AC212" s="157">
        <v>0</v>
      </c>
      <c r="AD212" s="158">
        <v>0</v>
      </c>
      <c r="AE212" s="154">
        <v>1.1389167166788062E-3</v>
      </c>
      <c r="AF212" s="156">
        <v>1.2407218147585598E-3</v>
      </c>
      <c r="AG212" s="154">
        <v>0</v>
      </c>
      <c r="AH212" s="156">
        <v>0</v>
      </c>
    </row>
    <row r="213" spans="1:34" x14ac:dyDescent="0.2">
      <c r="A213" s="152">
        <v>7310</v>
      </c>
      <c r="B213" s="153" t="s">
        <v>249</v>
      </c>
      <c r="C213" s="157">
        <v>0</v>
      </c>
      <c r="D213" s="158">
        <v>0</v>
      </c>
      <c r="E213" s="157">
        <v>0</v>
      </c>
      <c r="F213" s="158">
        <v>0</v>
      </c>
      <c r="G213" s="157">
        <v>0</v>
      </c>
      <c r="H213" s="158">
        <v>0</v>
      </c>
      <c r="I213" s="157">
        <v>0</v>
      </c>
      <c r="J213" s="158">
        <v>0</v>
      </c>
      <c r="K213" s="157">
        <v>0</v>
      </c>
      <c r="L213" s="158">
        <v>0</v>
      </c>
      <c r="M213" s="157">
        <v>0</v>
      </c>
      <c r="N213" s="158">
        <v>0</v>
      </c>
      <c r="O213" s="157">
        <v>144014</v>
      </c>
      <c r="P213" s="158">
        <v>217673</v>
      </c>
      <c r="Q213" s="157">
        <v>165798</v>
      </c>
      <c r="R213" s="158">
        <v>212838</v>
      </c>
      <c r="S213" s="157">
        <v>7850</v>
      </c>
      <c r="T213" s="158">
        <v>-4675</v>
      </c>
      <c r="U213" s="157">
        <v>29634</v>
      </c>
      <c r="V213" s="158">
        <v>-9510</v>
      </c>
      <c r="W213" s="157">
        <v>17198.429999999993</v>
      </c>
      <c r="X213" s="158">
        <v>182205.12000000002</v>
      </c>
      <c r="Y213" s="157">
        <v>0</v>
      </c>
      <c r="Z213" s="158">
        <v>0</v>
      </c>
      <c r="AA213" s="157">
        <v>51327.789999999994</v>
      </c>
      <c r="AB213" s="158">
        <v>197481.84000000003</v>
      </c>
      <c r="AC213" s="157">
        <v>0</v>
      </c>
      <c r="AD213" s="158">
        <v>0</v>
      </c>
      <c r="AE213" s="154">
        <v>1.29783231652975E-3</v>
      </c>
      <c r="AF213" s="156">
        <v>1.1560041498240792E-2</v>
      </c>
      <c r="AG213" s="154">
        <v>0</v>
      </c>
      <c r="AH213" s="156">
        <v>0</v>
      </c>
    </row>
    <row r="214" spans="1:34" x14ac:dyDescent="0.2">
      <c r="A214" s="152">
        <v>7311</v>
      </c>
      <c r="B214" s="153" t="s">
        <v>250</v>
      </c>
      <c r="C214" s="157">
        <v>0</v>
      </c>
      <c r="D214" s="158">
        <v>0</v>
      </c>
      <c r="E214" s="157">
        <v>30482</v>
      </c>
      <c r="F214" s="158">
        <v>1597715</v>
      </c>
      <c r="G214" s="157">
        <v>0</v>
      </c>
      <c r="H214" s="158">
        <v>1682656</v>
      </c>
      <c r="I214" s="157">
        <v>30482</v>
      </c>
      <c r="J214" s="158">
        <v>0</v>
      </c>
      <c r="K214" s="157">
        <v>0</v>
      </c>
      <c r="L214" s="158">
        <v>84941</v>
      </c>
      <c r="M214" s="157">
        <v>308</v>
      </c>
      <c r="N214" s="158">
        <v>1484</v>
      </c>
      <c r="O214" s="157">
        <v>190711</v>
      </c>
      <c r="P214" s="158">
        <v>816459</v>
      </c>
      <c r="Q214" s="157">
        <v>174372</v>
      </c>
      <c r="R214" s="158">
        <v>693654</v>
      </c>
      <c r="S214" s="157">
        <v>15864</v>
      </c>
      <c r="T214" s="158">
        <v>19286</v>
      </c>
      <c r="U214" s="157">
        <v>-167</v>
      </c>
      <c r="V214" s="158">
        <v>-102035</v>
      </c>
      <c r="W214" s="157">
        <v>0</v>
      </c>
      <c r="X214" s="158">
        <v>0</v>
      </c>
      <c r="Y214" s="157">
        <v>0</v>
      </c>
      <c r="Z214" s="158">
        <v>0</v>
      </c>
      <c r="AA214" s="157">
        <v>1688492.55</v>
      </c>
      <c r="AB214" s="158">
        <v>4607442.62</v>
      </c>
      <c r="AC214" s="157">
        <v>0</v>
      </c>
      <c r="AD214" s="158">
        <v>0</v>
      </c>
      <c r="AE214" s="154">
        <v>0</v>
      </c>
      <c r="AF214" s="156">
        <v>0</v>
      </c>
      <c r="AG214" s="154">
        <v>0</v>
      </c>
      <c r="AH214" s="156">
        <v>0</v>
      </c>
    </row>
    <row r="215" spans="1:34" x14ac:dyDescent="0.2">
      <c r="A215" s="152">
        <v>7312</v>
      </c>
      <c r="B215" s="153" t="s">
        <v>251</v>
      </c>
      <c r="C215" s="157">
        <v>0</v>
      </c>
      <c r="D215" s="158">
        <v>0</v>
      </c>
      <c r="E215" s="157">
        <v>214287</v>
      </c>
      <c r="F215" s="158">
        <v>426636</v>
      </c>
      <c r="G215" s="157">
        <v>141785</v>
      </c>
      <c r="H215" s="158">
        <v>451642</v>
      </c>
      <c r="I215" s="157">
        <v>66428</v>
      </c>
      <c r="J215" s="158">
        <v>10824</v>
      </c>
      <c r="K215" s="157">
        <v>-6074</v>
      </c>
      <c r="L215" s="158">
        <v>35830</v>
      </c>
      <c r="M215" s="157">
        <v>0</v>
      </c>
      <c r="N215" s="158">
        <v>0</v>
      </c>
      <c r="O215" s="157">
        <v>129758</v>
      </c>
      <c r="P215" s="158">
        <v>1089760</v>
      </c>
      <c r="Q215" s="157">
        <v>107733</v>
      </c>
      <c r="R215" s="158">
        <v>1235660</v>
      </c>
      <c r="S215" s="157">
        <v>8495</v>
      </c>
      <c r="T215" s="158">
        <v>-82269</v>
      </c>
      <c r="U215" s="157">
        <v>-13530</v>
      </c>
      <c r="V215" s="158">
        <v>63631</v>
      </c>
      <c r="W215" s="157">
        <v>487471.62000000005</v>
      </c>
      <c r="X215" s="158">
        <v>92671.72</v>
      </c>
      <c r="Y215" s="157">
        <v>0</v>
      </c>
      <c r="Z215" s="158">
        <v>0</v>
      </c>
      <c r="AA215" s="157">
        <v>727927.73</v>
      </c>
      <c r="AB215" s="158">
        <v>1805936.9600000002</v>
      </c>
      <c r="AC215" s="157">
        <v>0</v>
      </c>
      <c r="AD215" s="158">
        <v>0</v>
      </c>
      <c r="AE215" s="154">
        <v>5.0757081519681571E-2</v>
      </c>
      <c r="AF215" s="156">
        <v>1.0716520284283758E-2</v>
      </c>
      <c r="AG215" s="154">
        <v>0</v>
      </c>
      <c r="AH215" s="156">
        <v>0</v>
      </c>
    </row>
    <row r="216" spans="1:34" x14ac:dyDescent="0.2">
      <c r="A216" s="152">
        <v>7313</v>
      </c>
      <c r="B216" s="153" t="s">
        <v>252</v>
      </c>
      <c r="C216" s="157">
        <v>0</v>
      </c>
      <c r="D216" s="158">
        <v>-791</v>
      </c>
      <c r="E216" s="157">
        <v>715247</v>
      </c>
      <c r="F216" s="158">
        <v>1258578</v>
      </c>
      <c r="G216" s="157">
        <v>820137</v>
      </c>
      <c r="H216" s="158">
        <v>849056</v>
      </c>
      <c r="I216" s="157">
        <v>0</v>
      </c>
      <c r="J216" s="158">
        <v>0</v>
      </c>
      <c r="K216" s="157">
        <v>104890</v>
      </c>
      <c r="L216" s="158">
        <v>-410313</v>
      </c>
      <c r="M216" s="157">
        <v>0</v>
      </c>
      <c r="N216" s="158">
        <v>0</v>
      </c>
      <c r="O216" s="157">
        <v>727358</v>
      </c>
      <c r="P216" s="158">
        <v>1101342</v>
      </c>
      <c r="Q216" s="157">
        <v>861125</v>
      </c>
      <c r="R216" s="158">
        <v>949310</v>
      </c>
      <c r="S216" s="157">
        <v>0</v>
      </c>
      <c r="T216" s="158">
        <v>0</v>
      </c>
      <c r="U216" s="157">
        <v>133767</v>
      </c>
      <c r="V216" s="158">
        <v>-152032</v>
      </c>
      <c r="W216" s="157">
        <v>86843.880000000019</v>
      </c>
      <c r="X216" s="158">
        <v>326719.29000000004</v>
      </c>
      <c r="Y216" s="157">
        <v>0</v>
      </c>
      <c r="Z216" s="158">
        <v>0</v>
      </c>
      <c r="AA216" s="157">
        <v>630567.59999999986</v>
      </c>
      <c r="AB216" s="158">
        <v>820132.05</v>
      </c>
      <c r="AC216" s="157">
        <v>0</v>
      </c>
      <c r="AD216" s="158">
        <v>0</v>
      </c>
      <c r="AE216" s="154">
        <v>3.7037271759587163E-3</v>
      </c>
      <c r="AF216" s="156">
        <v>1.2852024772614807E-2</v>
      </c>
      <c r="AG216" s="154">
        <v>0</v>
      </c>
      <c r="AH216" s="156">
        <v>0</v>
      </c>
    </row>
    <row r="217" spans="1:34" x14ac:dyDescent="0.2">
      <c r="A217" s="152">
        <v>7314</v>
      </c>
      <c r="B217" s="153" t="s">
        <v>253</v>
      </c>
      <c r="C217" s="157">
        <v>0</v>
      </c>
      <c r="D217" s="158">
        <v>0</v>
      </c>
      <c r="E217" s="157">
        <v>1051858</v>
      </c>
      <c r="F217" s="158">
        <v>1915357</v>
      </c>
      <c r="G217" s="157">
        <v>1117622</v>
      </c>
      <c r="H217" s="158">
        <v>1912972</v>
      </c>
      <c r="I217" s="157">
        <v>0</v>
      </c>
      <c r="J217" s="158">
        <v>0</v>
      </c>
      <c r="K217" s="157">
        <v>65764</v>
      </c>
      <c r="L217" s="158">
        <v>-2385</v>
      </c>
      <c r="M217" s="157">
        <v>0</v>
      </c>
      <c r="N217" s="158">
        <v>0</v>
      </c>
      <c r="O217" s="157">
        <v>10076931</v>
      </c>
      <c r="P217" s="158">
        <v>1921283</v>
      </c>
      <c r="Q217" s="157">
        <v>5726914</v>
      </c>
      <c r="R217" s="158">
        <v>4093401</v>
      </c>
      <c r="S217" s="157">
        <v>0</v>
      </c>
      <c r="T217" s="158">
        <v>0</v>
      </c>
      <c r="U217" s="157">
        <v>-4350017</v>
      </c>
      <c r="V217" s="158">
        <v>2172118</v>
      </c>
      <c r="W217" s="157">
        <v>93719.569999999949</v>
      </c>
      <c r="X217" s="158">
        <v>2.9103830456733704E-11</v>
      </c>
      <c r="Y217" s="157">
        <v>0</v>
      </c>
      <c r="Z217" s="158">
        <v>0</v>
      </c>
      <c r="AA217" s="157">
        <v>8300414.120000001</v>
      </c>
      <c r="AB217" s="158">
        <v>17201344.179999996</v>
      </c>
      <c r="AC217" s="157">
        <v>0</v>
      </c>
      <c r="AD217" s="158">
        <v>0</v>
      </c>
      <c r="AE217" s="154">
        <v>2.6897334852777587E-3</v>
      </c>
      <c r="AF217" s="156">
        <v>6.4037369439232117E-19</v>
      </c>
      <c r="AG217" s="154">
        <v>0</v>
      </c>
      <c r="AH217" s="156">
        <v>0</v>
      </c>
    </row>
    <row r="218" spans="1:34" x14ac:dyDescent="0.2">
      <c r="A218" s="152">
        <v>7315</v>
      </c>
      <c r="B218" s="153" t="s">
        <v>254</v>
      </c>
      <c r="C218" s="157">
        <v>0</v>
      </c>
      <c r="D218" s="158">
        <v>0</v>
      </c>
      <c r="E218" s="157">
        <v>403393</v>
      </c>
      <c r="F218" s="158">
        <v>370215</v>
      </c>
      <c r="G218" s="157">
        <v>420468</v>
      </c>
      <c r="H218" s="158">
        <v>351218</v>
      </c>
      <c r="I218" s="157">
        <v>0</v>
      </c>
      <c r="J218" s="158">
        <v>9499</v>
      </c>
      <c r="K218" s="157">
        <v>17075</v>
      </c>
      <c r="L218" s="158">
        <v>-9498</v>
      </c>
      <c r="M218" s="157">
        <v>11355</v>
      </c>
      <c r="N218" s="158">
        <v>2759</v>
      </c>
      <c r="O218" s="157">
        <v>129437</v>
      </c>
      <c r="P218" s="158">
        <v>166251</v>
      </c>
      <c r="Q218" s="157">
        <v>163541</v>
      </c>
      <c r="R218" s="158">
        <v>127442</v>
      </c>
      <c r="S218" s="157">
        <v>-10435</v>
      </c>
      <c r="T218" s="158">
        <v>14246</v>
      </c>
      <c r="U218" s="157">
        <v>35024</v>
      </c>
      <c r="V218" s="158">
        <v>-21804</v>
      </c>
      <c r="W218" s="157">
        <v>3271.2999999999956</v>
      </c>
      <c r="X218" s="158">
        <v>67461.950000000012</v>
      </c>
      <c r="Y218" s="157">
        <v>0</v>
      </c>
      <c r="Z218" s="158">
        <v>0</v>
      </c>
      <c r="AA218" s="157">
        <v>461600.04000000004</v>
      </c>
      <c r="AB218" s="158">
        <v>100795.02999999998</v>
      </c>
      <c r="AC218" s="157">
        <v>0</v>
      </c>
      <c r="AD218" s="158">
        <v>0</v>
      </c>
      <c r="AE218" s="154">
        <v>3.7873477139009723E-4</v>
      </c>
      <c r="AF218" s="156">
        <v>6.4513446782295987E-3</v>
      </c>
      <c r="AG218" s="154">
        <v>0</v>
      </c>
      <c r="AH218" s="156">
        <v>0</v>
      </c>
    </row>
    <row r="219" spans="1:34" x14ac:dyDescent="0.2">
      <c r="A219" s="152">
        <v>7316</v>
      </c>
      <c r="B219" s="153" t="s">
        <v>255</v>
      </c>
      <c r="C219" s="157">
        <v>0</v>
      </c>
      <c r="D219" s="158">
        <v>0</v>
      </c>
      <c r="E219" s="157">
        <v>0</v>
      </c>
      <c r="F219" s="158">
        <v>0</v>
      </c>
      <c r="G219" s="157">
        <v>0</v>
      </c>
      <c r="H219" s="158">
        <v>0</v>
      </c>
      <c r="I219" s="157">
        <v>0</v>
      </c>
      <c r="J219" s="158">
        <v>0</v>
      </c>
      <c r="K219" s="157">
        <v>0</v>
      </c>
      <c r="L219" s="158">
        <v>0</v>
      </c>
      <c r="M219" s="157">
        <v>0</v>
      </c>
      <c r="N219" s="158">
        <v>0</v>
      </c>
      <c r="O219" s="157">
        <v>1828431</v>
      </c>
      <c r="P219" s="158">
        <v>455104</v>
      </c>
      <c r="Q219" s="157">
        <v>1951113</v>
      </c>
      <c r="R219" s="158">
        <v>2078186</v>
      </c>
      <c r="S219" s="157">
        <v>-129304</v>
      </c>
      <c r="T219" s="158">
        <v>-1634222</v>
      </c>
      <c r="U219" s="157">
        <v>-6622</v>
      </c>
      <c r="V219" s="158">
        <v>-11140</v>
      </c>
      <c r="W219" s="157">
        <v>0</v>
      </c>
      <c r="X219" s="158">
        <v>253.7599999999984</v>
      </c>
      <c r="Y219" s="157">
        <v>0</v>
      </c>
      <c r="Z219" s="158">
        <v>0</v>
      </c>
      <c r="AA219" s="157">
        <v>108468.77999999997</v>
      </c>
      <c r="AB219" s="158">
        <v>84259.18</v>
      </c>
      <c r="AC219" s="157">
        <v>0</v>
      </c>
      <c r="AD219" s="158">
        <v>0</v>
      </c>
      <c r="AE219" s="154">
        <v>0</v>
      </c>
      <c r="AF219" s="156">
        <v>1.4798154709295709E-5</v>
      </c>
      <c r="AG219" s="154">
        <v>0</v>
      </c>
      <c r="AH219" s="156">
        <v>0</v>
      </c>
    </row>
    <row r="220" spans="1:34" x14ac:dyDescent="0.2">
      <c r="A220" s="152">
        <v>7317</v>
      </c>
      <c r="B220" s="153" t="s">
        <v>256</v>
      </c>
      <c r="C220" s="157">
        <v>0</v>
      </c>
      <c r="D220" s="158">
        <v>0</v>
      </c>
      <c r="E220" s="157">
        <v>208845</v>
      </c>
      <c r="F220" s="158">
        <v>4083</v>
      </c>
      <c r="G220" s="157">
        <v>204945</v>
      </c>
      <c r="H220" s="158">
        <v>3368</v>
      </c>
      <c r="I220" s="157">
        <v>0</v>
      </c>
      <c r="J220" s="158">
        <v>0</v>
      </c>
      <c r="K220" s="157">
        <v>-3900</v>
      </c>
      <c r="L220" s="158">
        <v>-715</v>
      </c>
      <c r="M220" s="157">
        <v>0</v>
      </c>
      <c r="N220" s="158">
        <v>0</v>
      </c>
      <c r="O220" s="157">
        <v>823196</v>
      </c>
      <c r="P220" s="158">
        <v>1832216</v>
      </c>
      <c r="Q220" s="157">
        <v>1093689</v>
      </c>
      <c r="R220" s="158">
        <v>745113</v>
      </c>
      <c r="S220" s="157">
        <v>-75000</v>
      </c>
      <c r="T220" s="158">
        <v>960000</v>
      </c>
      <c r="U220" s="157">
        <v>195493</v>
      </c>
      <c r="V220" s="158">
        <v>-127103</v>
      </c>
      <c r="W220" s="157">
        <v>4083.0499999999884</v>
      </c>
      <c r="X220" s="158">
        <v>9342</v>
      </c>
      <c r="Y220" s="157">
        <v>0</v>
      </c>
      <c r="Z220" s="158">
        <v>0</v>
      </c>
      <c r="AA220" s="157">
        <v>264735.33000000007</v>
      </c>
      <c r="AB220" s="158">
        <v>209368.61999999988</v>
      </c>
      <c r="AC220" s="157">
        <v>0</v>
      </c>
      <c r="AD220" s="158">
        <v>0</v>
      </c>
      <c r="AE220" s="154">
        <v>2.1619912611720648E-4</v>
      </c>
      <c r="AF220" s="156">
        <v>3.8813767827607706E-4</v>
      </c>
      <c r="AG220" s="154">
        <v>0</v>
      </c>
      <c r="AH220" s="156">
        <v>0</v>
      </c>
    </row>
    <row r="221" spans="1:34" x14ac:dyDescent="0.2">
      <c r="A221" s="152">
        <v>7318</v>
      </c>
      <c r="B221" s="153" t="s">
        <v>257</v>
      </c>
      <c r="C221" s="157">
        <v>0</v>
      </c>
      <c r="D221" s="158">
        <v>0</v>
      </c>
      <c r="E221" s="157">
        <v>1720059</v>
      </c>
      <c r="F221" s="158">
        <v>1561996</v>
      </c>
      <c r="G221" s="157">
        <v>180206</v>
      </c>
      <c r="H221" s="158">
        <v>1998187</v>
      </c>
      <c r="I221" s="157">
        <v>1197980</v>
      </c>
      <c r="J221" s="158">
        <v>-318122</v>
      </c>
      <c r="K221" s="157">
        <v>-341873</v>
      </c>
      <c r="L221" s="158">
        <v>118069</v>
      </c>
      <c r="M221" s="157">
        <v>0</v>
      </c>
      <c r="N221" s="158">
        <v>0</v>
      </c>
      <c r="O221" s="157">
        <v>6248034</v>
      </c>
      <c r="P221" s="158">
        <v>3563128</v>
      </c>
      <c r="Q221" s="157">
        <v>4247040</v>
      </c>
      <c r="R221" s="158">
        <v>6003553</v>
      </c>
      <c r="S221" s="157">
        <v>1852946</v>
      </c>
      <c r="T221" s="158">
        <v>-1867294</v>
      </c>
      <c r="U221" s="157">
        <v>-148048</v>
      </c>
      <c r="V221" s="158">
        <v>573131</v>
      </c>
      <c r="W221" s="157">
        <v>271207.26000000047</v>
      </c>
      <c r="X221" s="158">
        <v>95909.100000000035</v>
      </c>
      <c r="Y221" s="157">
        <v>0</v>
      </c>
      <c r="Z221" s="158">
        <v>0</v>
      </c>
      <c r="AA221" s="157">
        <v>3046995.5999999996</v>
      </c>
      <c r="AB221" s="158">
        <v>10083540.91</v>
      </c>
      <c r="AC221" s="157">
        <v>0</v>
      </c>
      <c r="AD221" s="158">
        <v>0</v>
      </c>
      <c r="AE221" s="154">
        <v>4.0707683533190726E-3</v>
      </c>
      <c r="AF221" s="156">
        <v>1.1076571936623216E-3</v>
      </c>
      <c r="AG221" s="154">
        <v>0</v>
      </c>
      <c r="AH221" s="156">
        <v>0</v>
      </c>
    </row>
    <row r="222" spans="1:34" x14ac:dyDescent="0.2">
      <c r="A222" s="152">
        <v>7319</v>
      </c>
      <c r="B222" s="153" t="s">
        <v>258</v>
      </c>
      <c r="C222" s="157">
        <v>3</v>
      </c>
      <c r="D222" s="158">
        <v>1</v>
      </c>
      <c r="E222" s="157">
        <v>344618</v>
      </c>
      <c r="F222" s="158">
        <v>460695</v>
      </c>
      <c r="G222" s="157">
        <v>398400</v>
      </c>
      <c r="H222" s="158">
        <v>469366</v>
      </c>
      <c r="I222" s="157">
        <v>-53214</v>
      </c>
      <c r="J222" s="158">
        <v>477</v>
      </c>
      <c r="K222" s="157">
        <v>571</v>
      </c>
      <c r="L222" s="158">
        <v>9149</v>
      </c>
      <c r="M222" s="157">
        <v>173</v>
      </c>
      <c r="N222" s="158">
        <v>44</v>
      </c>
      <c r="O222" s="157">
        <v>4927248</v>
      </c>
      <c r="P222" s="158">
        <v>1514757</v>
      </c>
      <c r="Q222" s="157">
        <v>5414151</v>
      </c>
      <c r="R222" s="158">
        <v>3356531</v>
      </c>
      <c r="S222" s="157">
        <v>-755697</v>
      </c>
      <c r="T222" s="158">
        <v>-2021309</v>
      </c>
      <c r="U222" s="157">
        <v>-268621</v>
      </c>
      <c r="V222" s="158">
        <v>-179491</v>
      </c>
      <c r="W222" s="157">
        <v>381.85000000009313</v>
      </c>
      <c r="X222" s="158">
        <v>129642.27000000008</v>
      </c>
      <c r="Y222" s="157">
        <v>0</v>
      </c>
      <c r="Z222" s="158">
        <v>0</v>
      </c>
      <c r="AA222" s="157">
        <v>894292.90000000014</v>
      </c>
      <c r="AB222" s="158">
        <v>2062390.4400000004</v>
      </c>
      <c r="AC222" s="157">
        <v>0</v>
      </c>
      <c r="AD222" s="158">
        <v>0</v>
      </c>
      <c r="AE222" s="154">
        <v>1.1195053243570413E-5</v>
      </c>
      <c r="AF222" s="156">
        <v>3.2095638674201022E-3</v>
      </c>
      <c r="AG222" s="154">
        <v>0</v>
      </c>
      <c r="AH222" s="156">
        <v>0</v>
      </c>
    </row>
    <row r="223" spans="1:34" x14ac:dyDescent="0.2">
      <c r="A223" s="152">
        <v>7320</v>
      </c>
      <c r="B223" s="153" t="s">
        <v>259</v>
      </c>
      <c r="C223" s="157">
        <v>0</v>
      </c>
      <c r="D223" s="158">
        <v>0</v>
      </c>
      <c r="E223" s="157">
        <v>147680</v>
      </c>
      <c r="F223" s="158">
        <v>277229</v>
      </c>
      <c r="G223" s="157">
        <v>140327</v>
      </c>
      <c r="H223" s="158">
        <v>252770</v>
      </c>
      <c r="I223" s="157">
        <v>-38609</v>
      </c>
      <c r="J223" s="158">
        <v>24459</v>
      </c>
      <c r="K223" s="157">
        <v>-45962</v>
      </c>
      <c r="L223" s="158">
        <v>0</v>
      </c>
      <c r="M223" s="157">
        <v>18116</v>
      </c>
      <c r="N223" s="158">
        <v>-74</v>
      </c>
      <c r="O223" s="157">
        <v>1642202</v>
      </c>
      <c r="P223" s="158">
        <v>2869987</v>
      </c>
      <c r="Q223" s="157">
        <v>361379</v>
      </c>
      <c r="R223" s="158">
        <v>3176778</v>
      </c>
      <c r="S223" s="157">
        <v>1301842</v>
      </c>
      <c r="T223" s="158">
        <v>-225720</v>
      </c>
      <c r="U223" s="157">
        <v>39135</v>
      </c>
      <c r="V223" s="158">
        <v>80997</v>
      </c>
      <c r="W223" s="157">
        <v>5143.0799999999144</v>
      </c>
      <c r="X223" s="158">
        <v>100593.52000000005</v>
      </c>
      <c r="Y223" s="157">
        <v>0</v>
      </c>
      <c r="Z223" s="158">
        <v>0</v>
      </c>
      <c r="AA223" s="157">
        <v>862629.0199999999</v>
      </c>
      <c r="AB223" s="158">
        <v>4090363.06</v>
      </c>
      <c r="AC223" s="157">
        <v>0</v>
      </c>
      <c r="AD223" s="158">
        <v>0</v>
      </c>
      <c r="AE223" s="154">
        <v>3.0845082130125448E-4</v>
      </c>
      <c r="AF223" s="156">
        <v>3.9090540027852463E-3</v>
      </c>
      <c r="AG223" s="154">
        <v>0</v>
      </c>
      <c r="AH223" s="156">
        <v>0</v>
      </c>
    </row>
    <row r="224" spans="1:34" x14ac:dyDescent="0.2">
      <c r="A224" s="152">
        <v>7321</v>
      </c>
      <c r="B224" s="153" t="s">
        <v>260</v>
      </c>
      <c r="C224" s="157">
        <v>0</v>
      </c>
      <c r="D224" s="158">
        <v>0</v>
      </c>
      <c r="E224" s="157">
        <v>356059</v>
      </c>
      <c r="F224" s="158">
        <v>0</v>
      </c>
      <c r="G224" s="157">
        <v>360996</v>
      </c>
      <c r="H224" s="158">
        <v>0</v>
      </c>
      <c r="I224" s="157">
        <v>-4937</v>
      </c>
      <c r="J224" s="158">
        <v>0</v>
      </c>
      <c r="K224" s="157">
        <v>0</v>
      </c>
      <c r="L224" s="158">
        <v>0</v>
      </c>
      <c r="M224" s="157">
        <v>15383</v>
      </c>
      <c r="N224" s="158">
        <v>0</v>
      </c>
      <c r="O224" s="157">
        <v>83604</v>
      </c>
      <c r="P224" s="158">
        <v>162075</v>
      </c>
      <c r="Q224" s="157">
        <v>81849</v>
      </c>
      <c r="R224" s="158">
        <v>154942</v>
      </c>
      <c r="S224" s="157">
        <v>-7732</v>
      </c>
      <c r="T224" s="158">
        <v>6812</v>
      </c>
      <c r="U224" s="157">
        <v>5896</v>
      </c>
      <c r="V224" s="158">
        <v>-321</v>
      </c>
      <c r="W224" s="157">
        <v>0</v>
      </c>
      <c r="X224" s="158">
        <v>0</v>
      </c>
      <c r="Y224" s="157">
        <v>0</v>
      </c>
      <c r="Z224" s="158">
        <v>0</v>
      </c>
      <c r="AA224" s="157">
        <v>0</v>
      </c>
      <c r="AB224" s="158">
        <v>0</v>
      </c>
      <c r="AC224" s="157">
        <v>0</v>
      </c>
      <c r="AD224" s="158">
        <v>0</v>
      </c>
      <c r="AE224" s="154">
        <v>0</v>
      </c>
      <c r="AF224" s="156">
        <v>0</v>
      </c>
      <c r="AG224" s="154">
        <v>0</v>
      </c>
      <c r="AH224" s="156">
        <v>0</v>
      </c>
    </row>
    <row r="225" spans="1:34" x14ac:dyDescent="0.2">
      <c r="A225" s="152">
        <v>7322</v>
      </c>
      <c r="B225" s="153" t="s">
        <v>261</v>
      </c>
      <c r="C225" s="157">
        <v>0</v>
      </c>
      <c r="D225" s="158">
        <v>0</v>
      </c>
      <c r="E225" s="157">
        <v>0</v>
      </c>
      <c r="F225" s="158">
        <v>1494138</v>
      </c>
      <c r="G225" s="157">
        <v>0</v>
      </c>
      <c r="H225" s="158">
        <v>1495457</v>
      </c>
      <c r="I225" s="157">
        <v>0</v>
      </c>
      <c r="J225" s="158">
        <v>0</v>
      </c>
      <c r="K225" s="157">
        <v>0</v>
      </c>
      <c r="L225" s="158">
        <v>1319</v>
      </c>
      <c r="M225" s="157">
        <v>2599</v>
      </c>
      <c r="N225" s="158">
        <v>0</v>
      </c>
      <c r="O225" s="157">
        <v>83412</v>
      </c>
      <c r="P225" s="158">
        <v>104742</v>
      </c>
      <c r="Q225" s="157">
        <v>77721</v>
      </c>
      <c r="R225" s="158">
        <v>124298</v>
      </c>
      <c r="S225" s="157">
        <v>0</v>
      </c>
      <c r="T225" s="158">
        <v>0</v>
      </c>
      <c r="U225" s="157">
        <v>-3092</v>
      </c>
      <c r="V225" s="158">
        <v>19556</v>
      </c>
      <c r="W225" s="157">
        <v>287309.07999999996</v>
      </c>
      <c r="X225" s="158">
        <v>-5.0931703299283981E-11</v>
      </c>
      <c r="Y225" s="157">
        <v>0</v>
      </c>
      <c r="Z225" s="158">
        <v>0</v>
      </c>
      <c r="AA225" s="157">
        <v>647578.04999999993</v>
      </c>
      <c r="AB225" s="158">
        <v>1907453.0000000002</v>
      </c>
      <c r="AC225" s="157">
        <v>0</v>
      </c>
      <c r="AD225" s="158">
        <v>0</v>
      </c>
      <c r="AE225" s="154">
        <v>2.3616606659804116E-2</v>
      </c>
      <c r="AF225" s="156">
        <v>-3.7933599800040813E-18</v>
      </c>
      <c r="AG225" s="154">
        <v>0</v>
      </c>
      <c r="AH225" s="156">
        <v>0</v>
      </c>
    </row>
    <row r="226" spans="1:34" x14ac:dyDescent="0.2">
      <c r="A226" s="152">
        <v>7401</v>
      </c>
      <c r="B226" s="153" t="s">
        <v>263</v>
      </c>
      <c r="C226" s="157">
        <v>0</v>
      </c>
      <c r="D226" s="158">
        <v>0</v>
      </c>
      <c r="E226" s="157">
        <v>0</v>
      </c>
      <c r="F226" s="158">
        <v>1383476</v>
      </c>
      <c r="G226" s="157">
        <v>572238</v>
      </c>
      <c r="H226" s="158">
        <v>888168</v>
      </c>
      <c r="I226" s="157">
        <v>0</v>
      </c>
      <c r="J226" s="158">
        <v>-81063</v>
      </c>
      <c r="K226" s="157">
        <v>572238</v>
      </c>
      <c r="L226" s="158">
        <v>-576371</v>
      </c>
      <c r="M226" s="157">
        <v>0</v>
      </c>
      <c r="N226" s="158">
        <v>0</v>
      </c>
      <c r="O226" s="157">
        <v>371942</v>
      </c>
      <c r="P226" s="158">
        <v>940082</v>
      </c>
      <c r="Q226" s="157">
        <v>376815</v>
      </c>
      <c r="R226" s="158">
        <v>695205</v>
      </c>
      <c r="S226" s="157">
        <v>64245</v>
      </c>
      <c r="T226" s="158">
        <v>171337</v>
      </c>
      <c r="U226" s="157">
        <v>69118</v>
      </c>
      <c r="V226" s="158">
        <v>-73540</v>
      </c>
      <c r="W226" s="157">
        <v>132.88000000000466</v>
      </c>
      <c r="X226" s="158">
        <v>38488.410000000003</v>
      </c>
      <c r="Y226" s="157">
        <v>0</v>
      </c>
      <c r="Z226" s="158">
        <v>0</v>
      </c>
      <c r="AA226" s="157">
        <v>127016.43</v>
      </c>
      <c r="AB226" s="158">
        <v>331720.22000000003</v>
      </c>
      <c r="AC226" s="157">
        <v>0</v>
      </c>
      <c r="AD226" s="158">
        <v>0</v>
      </c>
      <c r="AE226" s="154">
        <v>9.5692511902515664E-6</v>
      </c>
      <c r="AF226" s="156">
        <v>2.3039553226110684E-3</v>
      </c>
      <c r="AG226" s="154">
        <v>0</v>
      </c>
      <c r="AH226" s="156">
        <v>0</v>
      </c>
    </row>
    <row r="227" spans="1:34" x14ac:dyDescent="0.2">
      <c r="A227" s="152">
        <v>7402</v>
      </c>
      <c r="B227" s="153" t="s">
        <v>264</v>
      </c>
      <c r="C227" s="157">
        <v>0</v>
      </c>
      <c r="D227" s="158">
        <v>0</v>
      </c>
      <c r="E227" s="157">
        <v>24921</v>
      </c>
      <c r="F227" s="158">
        <v>518329</v>
      </c>
      <c r="G227" s="157">
        <v>21201</v>
      </c>
      <c r="H227" s="158">
        <v>518329</v>
      </c>
      <c r="I227" s="157">
        <v>0</v>
      </c>
      <c r="J227" s="158">
        <v>0</v>
      </c>
      <c r="K227" s="157">
        <v>-3720</v>
      </c>
      <c r="L227" s="158">
        <v>0</v>
      </c>
      <c r="M227" s="157">
        <v>0</v>
      </c>
      <c r="N227" s="158">
        <v>0</v>
      </c>
      <c r="O227" s="157">
        <v>232790</v>
      </c>
      <c r="P227" s="158">
        <v>389330</v>
      </c>
      <c r="Q227" s="157">
        <v>348221</v>
      </c>
      <c r="R227" s="158">
        <v>457059</v>
      </c>
      <c r="S227" s="157">
        <v>-35000</v>
      </c>
      <c r="T227" s="158">
        <v>0</v>
      </c>
      <c r="U227" s="157">
        <v>80431</v>
      </c>
      <c r="V227" s="158">
        <v>67729</v>
      </c>
      <c r="W227" s="157">
        <v>575642.05999999994</v>
      </c>
      <c r="X227" s="158">
        <v>4.6611603465862572E-12</v>
      </c>
      <c r="Y227" s="157">
        <v>0</v>
      </c>
      <c r="Z227" s="158">
        <v>0</v>
      </c>
      <c r="AA227" s="157">
        <v>993952.90999999992</v>
      </c>
      <c r="AB227" s="158">
        <v>240126.37999999998</v>
      </c>
      <c r="AC227" s="157">
        <v>0</v>
      </c>
      <c r="AD227" s="158">
        <v>0</v>
      </c>
      <c r="AE227" s="154">
        <v>7.0214525318744669E-2</v>
      </c>
      <c r="AF227" s="156">
        <v>4.7277147509933662E-19</v>
      </c>
      <c r="AG227" s="154">
        <v>0</v>
      </c>
      <c r="AH227" s="156">
        <v>0</v>
      </c>
    </row>
    <row r="228" spans="1:34" x14ac:dyDescent="0.2">
      <c r="A228" s="152">
        <v>7403</v>
      </c>
      <c r="B228" s="153" t="s">
        <v>265</v>
      </c>
      <c r="C228" s="157">
        <v>5</v>
      </c>
      <c r="D228" s="158">
        <v>0</v>
      </c>
      <c r="E228" s="157">
        <v>284838</v>
      </c>
      <c r="F228" s="158">
        <v>62774</v>
      </c>
      <c r="G228" s="157">
        <v>215618</v>
      </c>
      <c r="H228" s="158">
        <v>63426</v>
      </c>
      <c r="I228" s="157">
        <v>-600</v>
      </c>
      <c r="J228" s="158">
        <v>-660</v>
      </c>
      <c r="K228" s="157">
        <v>-69815</v>
      </c>
      <c r="L228" s="158">
        <v>-8</v>
      </c>
      <c r="M228" s="157">
        <v>1</v>
      </c>
      <c r="N228" s="158">
        <v>19</v>
      </c>
      <c r="O228" s="157">
        <v>383990</v>
      </c>
      <c r="P228" s="158">
        <v>430551</v>
      </c>
      <c r="Q228" s="157">
        <v>414019</v>
      </c>
      <c r="R228" s="158">
        <v>1295065</v>
      </c>
      <c r="S228" s="157">
        <v>-42962</v>
      </c>
      <c r="T228" s="158">
        <v>-149147</v>
      </c>
      <c r="U228" s="157">
        <v>-12932</v>
      </c>
      <c r="V228" s="158">
        <v>715386</v>
      </c>
      <c r="W228" s="157">
        <v>64773.390000000014</v>
      </c>
      <c r="X228" s="158">
        <v>22797.72000000003</v>
      </c>
      <c r="Y228" s="157">
        <v>0</v>
      </c>
      <c r="Z228" s="158">
        <v>0</v>
      </c>
      <c r="AA228" s="157">
        <v>150233.60000000001</v>
      </c>
      <c r="AB228" s="158">
        <v>6241862.8399999999</v>
      </c>
      <c r="AC228" s="157">
        <v>0</v>
      </c>
      <c r="AD228" s="158">
        <v>0</v>
      </c>
      <c r="AE228" s="154">
        <v>2.5923167863837857E-3</v>
      </c>
      <c r="AF228" s="156">
        <v>7.7900023567113947E-4</v>
      </c>
      <c r="AG228" s="154">
        <v>0</v>
      </c>
      <c r="AH228" s="156">
        <v>0</v>
      </c>
    </row>
    <row r="229" spans="1:34" x14ac:dyDescent="0.2">
      <c r="A229" s="152">
        <v>7404</v>
      </c>
      <c r="B229" s="153" t="s">
        <v>266</v>
      </c>
      <c r="C229" s="157">
        <v>0</v>
      </c>
      <c r="D229" s="158">
        <v>0</v>
      </c>
      <c r="E229" s="157">
        <v>0</v>
      </c>
      <c r="F229" s="158">
        <v>0</v>
      </c>
      <c r="G229" s="157">
        <v>0</v>
      </c>
      <c r="H229" s="158">
        <v>0</v>
      </c>
      <c r="I229" s="157">
        <v>0</v>
      </c>
      <c r="J229" s="158">
        <v>0</v>
      </c>
      <c r="K229" s="157">
        <v>0</v>
      </c>
      <c r="L229" s="158">
        <v>0</v>
      </c>
      <c r="M229" s="157">
        <v>134</v>
      </c>
      <c r="N229" s="158">
        <v>123927</v>
      </c>
      <c r="O229" s="157">
        <v>6136693</v>
      </c>
      <c r="P229" s="158">
        <v>5046840</v>
      </c>
      <c r="Q229" s="157">
        <v>6714334</v>
      </c>
      <c r="R229" s="158">
        <v>8774317</v>
      </c>
      <c r="S229" s="157">
        <v>-1850945</v>
      </c>
      <c r="T229" s="158">
        <v>-2775680</v>
      </c>
      <c r="U229" s="157">
        <v>-1273170</v>
      </c>
      <c r="V229" s="158">
        <v>1075724</v>
      </c>
      <c r="W229" s="157">
        <v>337975.7799999998</v>
      </c>
      <c r="X229" s="158">
        <v>40324.579999999609</v>
      </c>
      <c r="Y229" s="157">
        <v>166075.44</v>
      </c>
      <c r="Z229" s="158">
        <v>116.44000000000233</v>
      </c>
      <c r="AA229" s="157">
        <v>865626.16999999934</v>
      </c>
      <c r="AB229" s="158">
        <v>16969858.289999999</v>
      </c>
      <c r="AC229" s="157">
        <v>0</v>
      </c>
      <c r="AD229" s="158">
        <v>0</v>
      </c>
      <c r="AE229" s="154">
        <v>3.1591173074128794E-3</v>
      </c>
      <c r="AF229" s="156">
        <v>3.2449460113416012E-4</v>
      </c>
      <c r="AG229" s="154">
        <v>0</v>
      </c>
      <c r="AH229" s="156">
        <v>0</v>
      </c>
    </row>
    <row r="230" spans="1:34" x14ac:dyDescent="0.2">
      <c r="A230" s="152">
        <v>7405</v>
      </c>
      <c r="B230" s="153" t="s">
        <v>267</v>
      </c>
      <c r="C230" s="157">
        <v>12364</v>
      </c>
      <c r="D230" s="158">
        <v>17988</v>
      </c>
      <c r="E230" s="157">
        <v>3292284</v>
      </c>
      <c r="F230" s="158">
        <v>6694495</v>
      </c>
      <c r="G230" s="157">
        <v>3494098</v>
      </c>
      <c r="H230" s="158">
        <v>6946567</v>
      </c>
      <c r="I230" s="157">
        <v>0</v>
      </c>
      <c r="J230" s="158">
        <v>0</v>
      </c>
      <c r="K230" s="157">
        <v>214178</v>
      </c>
      <c r="L230" s="158">
        <v>270060</v>
      </c>
      <c r="M230" s="157">
        <v>0</v>
      </c>
      <c r="N230" s="158">
        <v>0</v>
      </c>
      <c r="O230" s="157">
        <v>1053957</v>
      </c>
      <c r="P230" s="158">
        <v>1216778</v>
      </c>
      <c r="Q230" s="157">
        <v>1202669</v>
      </c>
      <c r="R230" s="158">
        <v>1172993</v>
      </c>
      <c r="S230" s="157">
        <v>31579</v>
      </c>
      <c r="T230" s="158">
        <v>119786</v>
      </c>
      <c r="U230" s="157">
        <v>180291</v>
      </c>
      <c r="V230" s="158">
        <v>76001</v>
      </c>
      <c r="W230" s="157">
        <v>2520</v>
      </c>
      <c r="X230" s="158">
        <v>50167.350000000559</v>
      </c>
      <c r="Y230" s="157">
        <v>0</v>
      </c>
      <c r="Z230" s="158">
        <v>0</v>
      </c>
      <c r="AA230" s="157">
        <v>7354123.0999999996</v>
      </c>
      <c r="AB230" s="158">
        <v>4641918.0500000007</v>
      </c>
      <c r="AC230" s="157">
        <v>0</v>
      </c>
      <c r="AD230" s="158">
        <v>0</v>
      </c>
      <c r="AE230" s="154">
        <v>1.0658230761607987E-4</v>
      </c>
      <c r="AF230" s="156">
        <v>1.8404429593597048E-3</v>
      </c>
      <c r="AG230" s="154">
        <v>0</v>
      </c>
      <c r="AH230" s="156">
        <v>0</v>
      </c>
    </row>
    <row r="231" spans="1:34" x14ac:dyDescent="0.2">
      <c r="A231" s="152">
        <v>7406</v>
      </c>
      <c r="B231" s="153" t="s">
        <v>268</v>
      </c>
      <c r="C231" s="157">
        <v>0</v>
      </c>
      <c r="D231" s="158">
        <v>0</v>
      </c>
      <c r="E231" s="157">
        <v>58489</v>
      </c>
      <c r="F231" s="158">
        <v>621793</v>
      </c>
      <c r="G231" s="157">
        <v>-73098</v>
      </c>
      <c r="H231" s="158">
        <v>1040867</v>
      </c>
      <c r="I231" s="157">
        <v>-6186</v>
      </c>
      <c r="J231" s="158">
        <v>0</v>
      </c>
      <c r="K231" s="157">
        <v>-137773</v>
      </c>
      <c r="L231" s="158">
        <v>419074</v>
      </c>
      <c r="M231" s="157">
        <v>0</v>
      </c>
      <c r="N231" s="158">
        <v>0</v>
      </c>
      <c r="O231" s="157">
        <v>749269</v>
      </c>
      <c r="P231" s="158">
        <v>576894</v>
      </c>
      <c r="Q231" s="157">
        <v>815232</v>
      </c>
      <c r="R231" s="158">
        <v>631832</v>
      </c>
      <c r="S231" s="157">
        <v>-34035</v>
      </c>
      <c r="T231" s="158">
        <v>85494</v>
      </c>
      <c r="U231" s="157">
        <v>31928</v>
      </c>
      <c r="V231" s="158">
        <v>140432</v>
      </c>
      <c r="W231" s="157">
        <v>12204.129999999997</v>
      </c>
      <c r="X231" s="158">
        <v>75356.280000000028</v>
      </c>
      <c r="Y231" s="157">
        <v>2271.7399999999998</v>
      </c>
      <c r="Z231" s="158">
        <v>0</v>
      </c>
      <c r="AA231" s="157">
        <v>701075.11</v>
      </c>
      <c r="AB231" s="158">
        <v>1945468.2699999998</v>
      </c>
      <c r="AC231" s="157">
        <v>0</v>
      </c>
      <c r="AD231" s="158">
        <v>0</v>
      </c>
      <c r="AE231" s="154">
        <v>1.3260028740621429E-3</v>
      </c>
      <c r="AF231" s="156">
        <v>6.5442756081956531E-3</v>
      </c>
      <c r="AG231" s="154">
        <v>0</v>
      </c>
      <c r="AH231" s="156">
        <v>0</v>
      </c>
    </row>
    <row r="232" spans="1:34" x14ac:dyDescent="0.2">
      <c r="A232" s="152">
        <v>7407</v>
      </c>
      <c r="B232" s="153" t="s">
        <v>269</v>
      </c>
      <c r="C232" s="157">
        <v>0</v>
      </c>
      <c r="D232" s="158">
        <v>0</v>
      </c>
      <c r="E232" s="157">
        <v>0</v>
      </c>
      <c r="F232" s="158">
        <v>343281</v>
      </c>
      <c r="G232" s="157">
        <v>0</v>
      </c>
      <c r="H232" s="158">
        <v>343281</v>
      </c>
      <c r="I232" s="157">
        <v>0</v>
      </c>
      <c r="J232" s="158">
        <v>0</v>
      </c>
      <c r="K232" s="157">
        <v>0</v>
      </c>
      <c r="L232" s="158">
        <v>0</v>
      </c>
      <c r="M232" s="157">
        <v>0</v>
      </c>
      <c r="N232" s="158">
        <v>0</v>
      </c>
      <c r="O232" s="157">
        <v>121510</v>
      </c>
      <c r="P232" s="158">
        <v>134747</v>
      </c>
      <c r="Q232" s="157">
        <v>108193</v>
      </c>
      <c r="R232" s="158">
        <v>167290</v>
      </c>
      <c r="S232" s="157">
        <v>57916</v>
      </c>
      <c r="T232" s="158">
        <v>-54044</v>
      </c>
      <c r="U232" s="157">
        <v>44599</v>
      </c>
      <c r="V232" s="158">
        <v>-21501</v>
      </c>
      <c r="W232" s="157">
        <v>5137.6999999999971</v>
      </c>
      <c r="X232" s="158">
        <v>468.59999999999127</v>
      </c>
      <c r="Y232" s="157">
        <v>0</v>
      </c>
      <c r="Z232" s="158">
        <v>0</v>
      </c>
      <c r="AA232" s="157">
        <v>10808.980000000003</v>
      </c>
      <c r="AB232" s="158">
        <v>21015.11</v>
      </c>
      <c r="AC232" s="157">
        <v>0</v>
      </c>
      <c r="AD232" s="158">
        <v>0</v>
      </c>
      <c r="AE232" s="154">
        <v>7.8058019425700654E-4</v>
      </c>
      <c r="AF232" s="156">
        <v>5.744288686423513E-5</v>
      </c>
      <c r="AG232" s="154">
        <v>0</v>
      </c>
      <c r="AH232" s="156">
        <v>0</v>
      </c>
    </row>
    <row r="233" spans="1:34" x14ac:dyDescent="0.2">
      <c r="A233" s="152">
        <v>7408</v>
      </c>
      <c r="B233" s="153" t="s">
        <v>270</v>
      </c>
      <c r="C233" s="157">
        <v>0</v>
      </c>
      <c r="D233" s="158">
        <v>0</v>
      </c>
      <c r="E233" s="157">
        <v>0</v>
      </c>
      <c r="F233" s="158">
        <v>617157</v>
      </c>
      <c r="G233" s="157">
        <v>0</v>
      </c>
      <c r="H233" s="158">
        <v>623879</v>
      </c>
      <c r="I233" s="157">
        <v>0</v>
      </c>
      <c r="J233" s="158">
        <v>0</v>
      </c>
      <c r="K233" s="157">
        <v>0</v>
      </c>
      <c r="L233" s="158">
        <v>6722</v>
      </c>
      <c r="M233" s="157">
        <v>0</v>
      </c>
      <c r="N233" s="158">
        <v>0</v>
      </c>
      <c r="O233" s="157">
        <v>747096</v>
      </c>
      <c r="P233" s="158">
        <v>1091487</v>
      </c>
      <c r="Q233" s="157">
        <v>796590</v>
      </c>
      <c r="R233" s="158">
        <v>943645</v>
      </c>
      <c r="S233" s="157">
        <v>-12631</v>
      </c>
      <c r="T233" s="158">
        <v>78867</v>
      </c>
      <c r="U233" s="157">
        <v>36863</v>
      </c>
      <c r="V233" s="158">
        <v>-68975</v>
      </c>
      <c r="W233" s="157">
        <v>7876.1199999999772</v>
      </c>
      <c r="X233" s="158">
        <v>105482.4699999999</v>
      </c>
      <c r="Y233" s="157">
        <v>0</v>
      </c>
      <c r="Z233" s="158">
        <v>0</v>
      </c>
      <c r="AA233" s="157">
        <v>854024</v>
      </c>
      <c r="AB233" s="158">
        <v>8632781.3100000005</v>
      </c>
      <c r="AC233" s="157">
        <v>0</v>
      </c>
      <c r="AD233" s="158">
        <v>0</v>
      </c>
      <c r="AE233" s="154">
        <v>2.7070780936480003E-4</v>
      </c>
      <c r="AF233" s="156">
        <v>3.1161852876780507E-3</v>
      </c>
      <c r="AG233" s="154">
        <v>0</v>
      </c>
      <c r="AH233" s="156">
        <v>0</v>
      </c>
    </row>
    <row r="234" spans="1:34" x14ac:dyDescent="0.2">
      <c r="A234" s="152">
        <v>7409</v>
      </c>
      <c r="B234" s="153" t="s">
        <v>271</v>
      </c>
      <c r="C234" s="157">
        <v>0</v>
      </c>
      <c r="D234" s="158">
        <v>0</v>
      </c>
      <c r="E234" s="157">
        <v>0</v>
      </c>
      <c r="F234" s="158">
        <v>300007</v>
      </c>
      <c r="G234" s="157">
        <v>0</v>
      </c>
      <c r="H234" s="158">
        <v>561852</v>
      </c>
      <c r="I234" s="157">
        <v>0</v>
      </c>
      <c r="J234" s="158">
        <v>0</v>
      </c>
      <c r="K234" s="157">
        <v>0</v>
      </c>
      <c r="L234" s="158">
        <v>261845</v>
      </c>
      <c r="M234" s="157">
        <v>-1</v>
      </c>
      <c r="N234" s="158">
        <v>0</v>
      </c>
      <c r="O234" s="157">
        <v>505873</v>
      </c>
      <c r="P234" s="158">
        <v>1368225</v>
      </c>
      <c r="Q234" s="157">
        <v>544092</v>
      </c>
      <c r="R234" s="158">
        <v>1286562</v>
      </c>
      <c r="S234" s="157">
        <v>-46586</v>
      </c>
      <c r="T234" s="158">
        <v>41168</v>
      </c>
      <c r="U234" s="157">
        <v>-8368</v>
      </c>
      <c r="V234" s="158">
        <v>-40495</v>
      </c>
      <c r="W234" s="157">
        <v>0</v>
      </c>
      <c r="X234" s="158">
        <v>0</v>
      </c>
      <c r="Y234" s="157">
        <v>0</v>
      </c>
      <c r="Z234" s="158">
        <v>0</v>
      </c>
      <c r="AA234" s="157">
        <v>6631</v>
      </c>
      <c r="AB234" s="158">
        <v>3375859.7199999997</v>
      </c>
      <c r="AC234" s="157">
        <v>0</v>
      </c>
      <c r="AD234" s="158">
        <v>0</v>
      </c>
      <c r="AE234" s="154">
        <v>0</v>
      </c>
      <c r="AF234" s="156">
        <v>0</v>
      </c>
      <c r="AG234" s="154">
        <v>0</v>
      </c>
      <c r="AH234" s="156">
        <v>0</v>
      </c>
    </row>
    <row r="235" spans="1:34" x14ac:dyDescent="0.2">
      <c r="A235" s="152">
        <v>7410</v>
      </c>
      <c r="B235" s="153" t="s">
        <v>262</v>
      </c>
      <c r="C235" s="157">
        <v>0</v>
      </c>
      <c r="D235" s="158">
        <v>0</v>
      </c>
      <c r="E235" s="157">
        <v>0</v>
      </c>
      <c r="F235" s="158">
        <v>0</v>
      </c>
      <c r="G235" s="157">
        <v>0</v>
      </c>
      <c r="H235" s="158">
        <v>0</v>
      </c>
      <c r="I235" s="157">
        <v>0</v>
      </c>
      <c r="J235" s="158">
        <v>0</v>
      </c>
      <c r="K235" s="157">
        <v>0</v>
      </c>
      <c r="L235" s="158">
        <v>0</v>
      </c>
      <c r="M235" s="157">
        <v>0</v>
      </c>
      <c r="N235" s="158">
        <v>0</v>
      </c>
      <c r="O235" s="157">
        <v>28391661</v>
      </c>
      <c r="P235" s="158">
        <v>2918458</v>
      </c>
      <c r="Q235" s="157">
        <v>10926823</v>
      </c>
      <c r="R235" s="158">
        <v>12009349</v>
      </c>
      <c r="S235" s="157">
        <v>4454926</v>
      </c>
      <c r="T235" s="158">
        <v>-7502997</v>
      </c>
      <c r="U235" s="157">
        <v>-13009912</v>
      </c>
      <c r="V235" s="158">
        <v>1587894</v>
      </c>
      <c r="W235" s="157">
        <v>19875</v>
      </c>
      <c r="X235" s="158">
        <v>284461.68999999994</v>
      </c>
      <c r="Y235" s="157">
        <v>13014.330000000016</v>
      </c>
      <c r="Z235" s="158">
        <v>0</v>
      </c>
      <c r="AA235" s="157">
        <v>1724227.8399999999</v>
      </c>
      <c r="AB235" s="158">
        <v>2814759.6</v>
      </c>
      <c r="AC235" s="157">
        <v>0</v>
      </c>
      <c r="AD235" s="158">
        <v>0</v>
      </c>
      <c r="AE235" s="154">
        <v>8.6608982368119409E-5</v>
      </c>
      <c r="AF235" s="156">
        <v>1.0227697702116833E-3</v>
      </c>
      <c r="AG235" s="154">
        <v>0</v>
      </c>
      <c r="AH235" s="156">
        <v>0</v>
      </c>
    </row>
    <row r="236" spans="1:34" x14ac:dyDescent="0.2">
      <c r="A236" s="152">
        <v>7411</v>
      </c>
      <c r="B236" s="153" t="s">
        <v>272</v>
      </c>
      <c r="C236" s="157">
        <v>4973</v>
      </c>
      <c r="D236" s="158">
        <v>4427</v>
      </c>
      <c r="E236" s="157">
        <v>130691</v>
      </c>
      <c r="F236" s="158">
        <v>1299482</v>
      </c>
      <c r="G236" s="157">
        <v>125718</v>
      </c>
      <c r="H236" s="158">
        <v>1326900</v>
      </c>
      <c r="I236" s="157">
        <v>0</v>
      </c>
      <c r="J236" s="158">
        <v>5864</v>
      </c>
      <c r="K236" s="157">
        <v>0</v>
      </c>
      <c r="L236" s="158">
        <v>37709</v>
      </c>
      <c r="M236" s="157">
        <v>0</v>
      </c>
      <c r="N236" s="158">
        <v>0</v>
      </c>
      <c r="O236" s="157">
        <v>1871138</v>
      </c>
      <c r="P236" s="158">
        <v>1199847</v>
      </c>
      <c r="Q236" s="157">
        <v>1938300</v>
      </c>
      <c r="R236" s="158">
        <v>1119247</v>
      </c>
      <c r="S236" s="157">
        <v>-175996</v>
      </c>
      <c r="T236" s="158">
        <v>-108535</v>
      </c>
      <c r="U236" s="157">
        <v>-108834</v>
      </c>
      <c r="V236" s="158">
        <v>-189135</v>
      </c>
      <c r="W236" s="157">
        <v>71571.259999999951</v>
      </c>
      <c r="X236" s="158">
        <v>177606.71000000014</v>
      </c>
      <c r="Y236" s="157">
        <v>0</v>
      </c>
      <c r="Z236" s="158">
        <v>0</v>
      </c>
      <c r="AA236" s="157">
        <v>12669.209999999963</v>
      </c>
      <c r="AB236" s="158">
        <v>170523.96000000005</v>
      </c>
      <c r="AC236" s="157">
        <v>0</v>
      </c>
      <c r="AD236" s="158">
        <v>0</v>
      </c>
      <c r="AE236" s="154">
        <v>1.9185217076091957E-3</v>
      </c>
      <c r="AF236" s="156">
        <v>4.4173287248606384E-3</v>
      </c>
      <c r="AG236" s="154">
        <v>0</v>
      </c>
      <c r="AH236" s="156">
        <v>0</v>
      </c>
    </row>
    <row r="237" spans="1:34" x14ac:dyDescent="0.2">
      <c r="A237" s="152">
        <v>7501</v>
      </c>
      <c r="B237" s="153" t="s">
        <v>274</v>
      </c>
      <c r="C237" s="157">
        <v>0</v>
      </c>
      <c r="D237" s="158">
        <v>0</v>
      </c>
      <c r="E237" s="157">
        <v>281641</v>
      </c>
      <c r="F237" s="158">
        <v>1052920</v>
      </c>
      <c r="G237" s="157">
        <v>269762</v>
      </c>
      <c r="H237" s="158">
        <v>1062529</v>
      </c>
      <c r="I237" s="157">
        <v>11879</v>
      </c>
      <c r="J237" s="158">
        <v>-9609</v>
      </c>
      <c r="K237" s="157">
        <v>0</v>
      </c>
      <c r="L237" s="158">
        <v>0</v>
      </c>
      <c r="M237" s="157">
        <v>0</v>
      </c>
      <c r="N237" s="158">
        <v>0</v>
      </c>
      <c r="O237" s="157">
        <v>921074</v>
      </c>
      <c r="P237" s="158">
        <v>1716947</v>
      </c>
      <c r="Q237" s="157">
        <v>997415</v>
      </c>
      <c r="R237" s="158">
        <v>1428791</v>
      </c>
      <c r="S237" s="157">
        <v>-8807</v>
      </c>
      <c r="T237" s="158">
        <v>228011</v>
      </c>
      <c r="U237" s="157">
        <v>67534</v>
      </c>
      <c r="V237" s="158">
        <v>-60145</v>
      </c>
      <c r="W237" s="157">
        <v>27723.159999999974</v>
      </c>
      <c r="X237" s="158">
        <v>32578.620000000112</v>
      </c>
      <c r="Y237" s="157">
        <v>0</v>
      </c>
      <c r="Z237" s="158">
        <v>0</v>
      </c>
      <c r="AA237" s="157">
        <v>811939.1</v>
      </c>
      <c r="AB237" s="158">
        <v>1872624.2899999998</v>
      </c>
      <c r="AC237" s="157">
        <v>0</v>
      </c>
      <c r="AD237" s="158">
        <v>0</v>
      </c>
      <c r="AE237" s="154">
        <v>2.2395336355443573E-3</v>
      </c>
      <c r="AF237" s="156">
        <v>2.6398216707910656E-3</v>
      </c>
      <c r="AG237" s="154">
        <v>0</v>
      </c>
      <c r="AH237" s="156">
        <v>0</v>
      </c>
    </row>
    <row r="238" spans="1:34" x14ac:dyDescent="0.2">
      <c r="A238" s="152">
        <v>7502</v>
      </c>
      <c r="B238" s="153" t="s">
        <v>275</v>
      </c>
      <c r="C238" s="157">
        <v>0</v>
      </c>
      <c r="D238" s="158">
        <v>0</v>
      </c>
      <c r="E238" s="157">
        <v>6556903</v>
      </c>
      <c r="F238" s="158">
        <v>0</v>
      </c>
      <c r="G238" s="157">
        <v>6560479</v>
      </c>
      <c r="H238" s="158">
        <v>-662</v>
      </c>
      <c r="I238" s="157">
        <v>-123259</v>
      </c>
      <c r="J238" s="158">
        <v>-4415</v>
      </c>
      <c r="K238" s="157">
        <v>-119683</v>
      </c>
      <c r="L238" s="158">
        <v>-5077</v>
      </c>
      <c r="M238" s="157">
        <v>0</v>
      </c>
      <c r="N238" s="158">
        <v>0</v>
      </c>
      <c r="O238" s="157">
        <v>1899656</v>
      </c>
      <c r="P238" s="158">
        <v>2390763</v>
      </c>
      <c r="Q238" s="157">
        <v>1907335</v>
      </c>
      <c r="R238" s="158">
        <v>2441857</v>
      </c>
      <c r="S238" s="157">
        <v>296208</v>
      </c>
      <c r="T238" s="158">
        <v>-146404</v>
      </c>
      <c r="U238" s="157">
        <v>303887</v>
      </c>
      <c r="V238" s="158">
        <v>-95310</v>
      </c>
      <c r="W238" s="157">
        <v>94331.29999999993</v>
      </c>
      <c r="X238" s="158">
        <v>128447.78000000003</v>
      </c>
      <c r="Y238" s="157">
        <v>0</v>
      </c>
      <c r="Z238" s="158">
        <v>0</v>
      </c>
      <c r="AA238" s="157">
        <v>2490.5300000000279</v>
      </c>
      <c r="AB238" s="158">
        <v>5055839.42</v>
      </c>
      <c r="AC238" s="157">
        <v>0</v>
      </c>
      <c r="AD238" s="158">
        <v>0</v>
      </c>
      <c r="AE238" s="154">
        <v>3.4525296705571512E-3</v>
      </c>
      <c r="AF238" s="156">
        <v>4.1613476144051025E-3</v>
      </c>
      <c r="AG238" s="154">
        <v>0</v>
      </c>
      <c r="AH238" s="156">
        <v>0</v>
      </c>
    </row>
    <row r="239" spans="1:34" x14ac:dyDescent="0.2">
      <c r="A239" s="152">
        <v>7503</v>
      </c>
      <c r="B239" s="153" t="s">
        <v>276</v>
      </c>
      <c r="C239" s="157">
        <v>0</v>
      </c>
      <c r="D239" s="158">
        <v>0</v>
      </c>
      <c r="E239" s="157">
        <v>0</v>
      </c>
      <c r="F239" s="158">
        <v>0</v>
      </c>
      <c r="G239" s="157">
        <v>0</v>
      </c>
      <c r="H239" s="158">
        <v>0</v>
      </c>
      <c r="I239" s="157">
        <v>0</v>
      </c>
      <c r="J239" s="158">
        <v>0</v>
      </c>
      <c r="K239" s="157">
        <v>0</v>
      </c>
      <c r="L239" s="158">
        <v>0</v>
      </c>
      <c r="M239" s="157">
        <v>0</v>
      </c>
      <c r="N239" s="158">
        <v>0</v>
      </c>
      <c r="O239" s="157">
        <v>587465</v>
      </c>
      <c r="P239" s="158">
        <v>827258</v>
      </c>
      <c r="Q239" s="157">
        <v>634779</v>
      </c>
      <c r="R239" s="158">
        <v>751421</v>
      </c>
      <c r="S239" s="157">
        <v>26252</v>
      </c>
      <c r="T239" s="158">
        <v>-22333</v>
      </c>
      <c r="U239" s="157">
        <v>73566</v>
      </c>
      <c r="V239" s="158">
        <v>-98170</v>
      </c>
      <c r="W239" s="157">
        <v>22620.5</v>
      </c>
      <c r="X239" s="158">
        <v>567102.85</v>
      </c>
      <c r="Y239" s="157">
        <v>0</v>
      </c>
      <c r="Z239" s="158">
        <v>0</v>
      </c>
      <c r="AA239" s="157">
        <v>960638.38</v>
      </c>
      <c r="AB239" s="158">
        <v>3142225.6399999997</v>
      </c>
      <c r="AC239" s="157">
        <v>0</v>
      </c>
      <c r="AD239" s="158">
        <v>438981</v>
      </c>
      <c r="AE239" s="154">
        <v>2.5644740671308241E-3</v>
      </c>
      <c r="AF239" s="156">
        <v>5.1266097188858342E-2</v>
      </c>
      <c r="AG239" s="154">
        <v>0</v>
      </c>
      <c r="AH239" s="156">
        <v>3.9683882050781841E-2</v>
      </c>
    </row>
    <row r="240" spans="1:34" x14ac:dyDescent="0.2">
      <c r="A240" s="152">
        <v>7504</v>
      </c>
      <c r="B240" s="153" t="s">
        <v>277</v>
      </c>
      <c r="C240" s="157">
        <v>13763</v>
      </c>
      <c r="D240" s="158">
        <v>44272</v>
      </c>
      <c r="E240" s="157">
        <v>165731</v>
      </c>
      <c r="F240" s="158">
        <v>3392850</v>
      </c>
      <c r="G240" s="157">
        <v>1302438</v>
      </c>
      <c r="H240" s="158">
        <v>2390250</v>
      </c>
      <c r="I240" s="157">
        <v>50901</v>
      </c>
      <c r="J240" s="158">
        <v>-49893</v>
      </c>
      <c r="K240" s="157">
        <v>1201371</v>
      </c>
      <c r="L240" s="158">
        <v>-1008221</v>
      </c>
      <c r="M240" s="157">
        <v>0</v>
      </c>
      <c r="N240" s="158">
        <v>0</v>
      </c>
      <c r="O240" s="157">
        <v>1562885</v>
      </c>
      <c r="P240" s="158">
        <v>3510367</v>
      </c>
      <c r="Q240" s="157">
        <v>1461763</v>
      </c>
      <c r="R240" s="158">
        <v>3836545</v>
      </c>
      <c r="S240" s="157">
        <v>65514</v>
      </c>
      <c r="T240" s="158">
        <v>-281977</v>
      </c>
      <c r="U240" s="157">
        <v>-35608</v>
      </c>
      <c r="V240" s="158">
        <v>44201</v>
      </c>
      <c r="W240" s="157">
        <v>14741.899999999965</v>
      </c>
      <c r="X240" s="158">
        <v>636234.24999999953</v>
      </c>
      <c r="Y240" s="157">
        <v>0</v>
      </c>
      <c r="Z240" s="158">
        <v>0</v>
      </c>
      <c r="AA240" s="157">
        <v>3740719.85</v>
      </c>
      <c r="AB240" s="158">
        <v>6948225.5700000012</v>
      </c>
      <c r="AC240" s="157">
        <v>0</v>
      </c>
      <c r="AD240" s="158">
        <v>0</v>
      </c>
      <c r="AE240" s="154">
        <v>3.0547046780709538E-4</v>
      </c>
      <c r="AF240" s="156">
        <v>1.361840479913976E-2</v>
      </c>
      <c r="AG240" s="154">
        <v>0</v>
      </c>
      <c r="AH240" s="156">
        <v>0</v>
      </c>
    </row>
    <row r="241" spans="1:34" x14ac:dyDescent="0.2">
      <c r="A241" s="152">
        <v>7505</v>
      </c>
      <c r="B241" s="153" t="s">
        <v>273</v>
      </c>
      <c r="C241" s="157">
        <v>0</v>
      </c>
      <c r="D241" s="158">
        <v>0</v>
      </c>
      <c r="E241" s="157">
        <v>0</v>
      </c>
      <c r="F241" s="158">
        <v>0</v>
      </c>
      <c r="G241" s="157">
        <v>0</v>
      </c>
      <c r="H241" s="158">
        <v>0</v>
      </c>
      <c r="I241" s="157">
        <v>0</v>
      </c>
      <c r="J241" s="158">
        <v>0</v>
      </c>
      <c r="K241" s="157">
        <v>0</v>
      </c>
      <c r="L241" s="158">
        <v>0</v>
      </c>
      <c r="M241" s="157">
        <v>0</v>
      </c>
      <c r="N241" s="158">
        <v>0</v>
      </c>
      <c r="O241" s="157">
        <v>3099269</v>
      </c>
      <c r="P241" s="158">
        <v>7637784</v>
      </c>
      <c r="Q241" s="157">
        <v>3690335</v>
      </c>
      <c r="R241" s="158">
        <v>8154072</v>
      </c>
      <c r="S241" s="157">
        <v>-586906</v>
      </c>
      <c r="T241" s="158">
        <v>-327480</v>
      </c>
      <c r="U241" s="157">
        <v>4160</v>
      </c>
      <c r="V241" s="158">
        <v>188808</v>
      </c>
      <c r="W241" s="157">
        <v>0</v>
      </c>
      <c r="X241" s="158">
        <v>9180</v>
      </c>
      <c r="Y241" s="157">
        <v>0</v>
      </c>
      <c r="Z241" s="158">
        <v>0</v>
      </c>
      <c r="AA241" s="157">
        <v>516.42999999999302</v>
      </c>
      <c r="AB241" s="158">
        <v>11334760.850000001</v>
      </c>
      <c r="AC241" s="157">
        <v>0</v>
      </c>
      <c r="AD241" s="158">
        <v>0</v>
      </c>
      <c r="AE241" s="154">
        <v>0</v>
      </c>
      <c r="AF241" s="156">
        <v>8.4402763699540831E-5</v>
      </c>
      <c r="AG241" s="154">
        <v>0</v>
      </c>
      <c r="AH241" s="156">
        <v>0</v>
      </c>
    </row>
    <row r="242" spans="1:34" x14ac:dyDescent="0.2">
      <c r="A242" s="152">
        <v>7601</v>
      </c>
      <c r="B242" s="153" t="s">
        <v>279</v>
      </c>
      <c r="C242" s="157">
        <v>0</v>
      </c>
      <c r="D242" s="158">
        <v>0</v>
      </c>
      <c r="E242" s="157">
        <v>0</v>
      </c>
      <c r="F242" s="158">
        <v>0</v>
      </c>
      <c r="G242" s="157">
        <v>0</v>
      </c>
      <c r="H242" s="158">
        <v>0</v>
      </c>
      <c r="I242" s="157">
        <v>0</v>
      </c>
      <c r="J242" s="158">
        <v>0</v>
      </c>
      <c r="K242" s="157">
        <v>0</v>
      </c>
      <c r="L242" s="158">
        <v>0</v>
      </c>
      <c r="M242" s="157">
        <v>0</v>
      </c>
      <c r="N242" s="158">
        <v>0</v>
      </c>
      <c r="O242" s="157">
        <v>17575431</v>
      </c>
      <c r="P242" s="158">
        <v>2471859</v>
      </c>
      <c r="Q242" s="157">
        <v>12341042</v>
      </c>
      <c r="R242" s="158">
        <v>9863914</v>
      </c>
      <c r="S242" s="157">
        <v>2962999</v>
      </c>
      <c r="T242" s="158">
        <v>-4493529</v>
      </c>
      <c r="U242" s="157">
        <v>-2271390</v>
      </c>
      <c r="V242" s="158">
        <v>2898526</v>
      </c>
      <c r="W242" s="157">
        <v>0</v>
      </c>
      <c r="X242" s="158">
        <v>170600.99</v>
      </c>
      <c r="Y242" s="157">
        <v>0</v>
      </c>
      <c r="Z242" s="158">
        <v>0</v>
      </c>
      <c r="AA242" s="157">
        <v>1046506.4899999988</v>
      </c>
      <c r="AB242" s="158">
        <v>6310141.4100000001</v>
      </c>
      <c r="AC242" s="157">
        <v>0</v>
      </c>
      <c r="AD242" s="158">
        <v>0</v>
      </c>
      <c r="AE242" s="154">
        <v>0</v>
      </c>
      <c r="AF242" s="156">
        <v>2.1660361709689912E-3</v>
      </c>
      <c r="AG242" s="154">
        <v>0</v>
      </c>
      <c r="AH242" s="156">
        <v>0</v>
      </c>
    </row>
    <row r="243" spans="1:34" x14ac:dyDescent="0.2">
      <c r="A243" s="152">
        <v>7602</v>
      </c>
      <c r="B243" s="153" t="s">
        <v>280</v>
      </c>
      <c r="C243" s="157">
        <v>0</v>
      </c>
      <c r="D243" s="158">
        <v>0</v>
      </c>
      <c r="E243" s="157">
        <v>132270</v>
      </c>
      <c r="F243" s="158">
        <v>824689</v>
      </c>
      <c r="G243" s="157">
        <v>180487</v>
      </c>
      <c r="H243" s="158">
        <v>777006</v>
      </c>
      <c r="I243" s="157">
        <v>29741</v>
      </c>
      <c r="J243" s="158">
        <v>159396</v>
      </c>
      <c r="K243" s="157">
        <v>77958</v>
      </c>
      <c r="L243" s="158">
        <v>111713</v>
      </c>
      <c r="M243" s="157">
        <v>0</v>
      </c>
      <c r="N243" s="158">
        <v>0</v>
      </c>
      <c r="O243" s="157">
        <v>5521639</v>
      </c>
      <c r="P243" s="158">
        <v>1007512</v>
      </c>
      <c r="Q243" s="157">
        <v>4632797</v>
      </c>
      <c r="R243" s="158">
        <v>1077210</v>
      </c>
      <c r="S243" s="157">
        <v>892739</v>
      </c>
      <c r="T243" s="158">
        <v>-114798</v>
      </c>
      <c r="U243" s="157">
        <v>3897</v>
      </c>
      <c r="V243" s="158">
        <v>-45100</v>
      </c>
      <c r="W243" s="157">
        <v>66936.959999999075</v>
      </c>
      <c r="X243" s="158">
        <v>154104.16999999993</v>
      </c>
      <c r="Y243" s="157">
        <v>0</v>
      </c>
      <c r="Z243" s="158">
        <v>0</v>
      </c>
      <c r="AA243" s="157">
        <v>2036441.9000000006</v>
      </c>
      <c r="AB243" s="158">
        <v>490999.82999999996</v>
      </c>
      <c r="AC243" s="157">
        <v>0</v>
      </c>
      <c r="AD243" s="158">
        <v>0</v>
      </c>
      <c r="AE243" s="154">
        <v>4.0297730311174779E-3</v>
      </c>
      <c r="AF243" s="156">
        <v>8.923872624285881E-3</v>
      </c>
      <c r="AG243" s="154">
        <v>0</v>
      </c>
      <c r="AH243" s="156">
        <v>0</v>
      </c>
    </row>
    <row r="244" spans="1:34" x14ac:dyDescent="0.2">
      <c r="A244" s="152">
        <v>7603</v>
      </c>
      <c r="B244" s="153" t="s">
        <v>281</v>
      </c>
      <c r="C244" s="157">
        <v>0</v>
      </c>
      <c r="D244" s="158">
        <v>0</v>
      </c>
      <c r="E244" s="157">
        <v>0</v>
      </c>
      <c r="F244" s="158">
        <v>2188166</v>
      </c>
      <c r="G244" s="157">
        <v>0</v>
      </c>
      <c r="H244" s="158">
        <v>2200320</v>
      </c>
      <c r="I244" s="157">
        <v>0</v>
      </c>
      <c r="J244" s="158">
        <v>16000</v>
      </c>
      <c r="K244" s="157">
        <v>0</v>
      </c>
      <c r="L244" s="158">
        <v>28154</v>
      </c>
      <c r="M244" s="157">
        <v>0</v>
      </c>
      <c r="N244" s="158">
        <v>0</v>
      </c>
      <c r="O244" s="157">
        <v>198269</v>
      </c>
      <c r="P244" s="158">
        <v>715485</v>
      </c>
      <c r="Q244" s="157">
        <v>174054</v>
      </c>
      <c r="R244" s="158">
        <v>188356</v>
      </c>
      <c r="S244" s="157">
        <v>3218</v>
      </c>
      <c r="T244" s="158">
        <v>543853</v>
      </c>
      <c r="U244" s="157">
        <v>-20997</v>
      </c>
      <c r="V244" s="158">
        <v>16724</v>
      </c>
      <c r="W244" s="157">
        <v>471</v>
      </c>
      <c r="X244" s="158">
        <v>455963.54</v>
      </c>
      <c r="Y244" s="157">
        <v>0</v>
      </c>
      <c r="Z244" s="158">
        <v>0</v>
      </c>
      <c r="AA244" s="157">
        <v>516778.84</v>
      </c>
      <c r="AB244" s="158">
        <v>1342399.8699999996</v>
      </c>
      <c r="AC244" s="157">
        <v>0</v>
      </c>
      <c r="AD244" s="158">
        <v>0</v>
      </c>
      <c r="AE244" s="154">
        <v>2.7375562376003524E-5</v>
      </c>
      <c r="AF244" s="156">
        <v>1.7817081390442115E-2</v>
      </c>
      <c r="AG244" s="154">
        <v>0</v>
      </c>
      <c r="AH244" s="156">
        <v>0</v>
      </c>
    </row>
    <row r="245" spans="1:34" x14ac:dyDescent="0.2">
      <c r="A245" s="152">
        <v>7604</v>
      </c>
      <c r="B245" s="153" t="s">
        <v>282</v>
      </c>
      <c r="C245" s="157">
        <v>0</v>
      </c>
      <c r="D245" s="158">
        <v>0</v>
      </c>
      <c r="E245" s="157">
        <v>0</v>
      </c>
      <c r="F245" s="158">
        <v>0</v>
      </c>
      <c r="G245" s="157">
        <v>-3960</v>
      </c>
      <c r="H245" s="158">
        <v>0</v>
      </c>
      <c r="I245" s="157">
        <v>-55499</v>
      </c>
      <c r="J245" s="158">
        <v>0</v>
      </c>
      <c r="K245" s="157">
        <v>-59459</v>
      </c>
      <c r="L245" s="158">
        <v>0</v>
      </c>
      <c r="M245" s="157">
        <v>0</v>
      </c>
      <c r="N245" s="158">
        <v>0</v>
      </c>
      <c r="O245" s="157">
        <v>202973</v>
      </c>
      <c r="P245" s="158">
        <v>302907</v>
      </c>
      <c r="Q245" s="157">
        <v>97102</v>
      </c>
      <c r="R245" s="158">
        <v>291141</v>
      </c>
      <c r="S245" s="157">
        <v>38865</v>
      </c>
      <c r="T245" s="158">
        <v>13637</v>
      </c>
      <c r="U245" s="157">
        <v>-67006</v>
      </c>
      <c r="V245" s="158">
        <v>1871</v>
      </c>
      <c r="W245" s="157">
        <v>0</v>
      </c>
      <c r="X245" s="158">
        <v>13653</v>
      </c>
      <c r="Y245" s="157">
        <v>0</v>
      </c>
      <c r="Z245" s="158">
        <v>0</v>
      </c>
      <c r="AA245" s="157">
        <v>0</v>
      </c>
      <c r="AB245" s="158">
        <v>61268.06</v>
      </c>
      <c r="AC245" s="157">
        <v>0</v>
      </c>
      <c r="AD245" s="158">
        <v>0</v>
      </c>
      <c r="AE245" s="154">
        <v>0</v>
      </c>
      <c r="AF245" s="156">
        <v>2.1111772244599048E-3</v>
      </c>
      <c r="AG245" s="154">
        <v>0</v>
      </c>
      <c r="AH245" s="156">
        <v>0</v>
      </c>
    </row>
    <row r="246" spans="1:34" x14ac:dyDescent="0.2">
      <c r="A246" s="152">
        <v>7605</v>
      </c>
      <c r="B246" s="153" t="s">
        <v>283</v>
      </c>
      <c r="C246" s="157">
        <v>0</v>
      </c>
      <c r="D246" s="158">
        <v>0</v>
      </c>
      <c r="E246" s="157">
        <v>4462639</v>
      </c>
      <c r="F246" s="158">
        <v>60042</v>
      </c>
      <c r="G246" s="157">
        <v>4461530</v>
      </c>
      <c r="H246" s="158">
        <v>60042</v>
      </c>
      <c r="I246" s="157">
        <v>-95</v>
      </c>
      <c r="J246" s="158">
        <v>0</v>
      </c>
      <c r="K246" s="157">
        <v>-1204</v>
      </c>
      <c r="L246" s="158">
        <v>0</v>
      </c>
      <c r="M246" s="157">
        <v>0</v>
      </c>
      <c r="N246" s="158">
        <v>2</v>
      </c>
      <c r="O246" s="157">
        <v>677268</v>
      </c>
      <c r="P246" s="158">
        <v>1048330</v>
      </c>
      <c r="Q246" s="157">
        <v>840916</v>
      </c>
      <c r="R246" s="158">
        <v>915549</v>
      </c>
      <c r="S246" s="157">
        <v>13657</v>
      </c>
      <c r="T246" s="158">
        <v>3510</v>
      </c>
      <c r="U246" s="157">
        <v>177305</v>
      </c>
      <c r="V246" s="158">
        <v>-129269</v>
      </c>
      <c r="W246" s="157">
        <v>33363.499999999767</v>
      </c>
      <c r="X246" s="158">
        <v>39259.099999999977</v>
      </c>
      <c r="Y246" s="157">
        <v>0</v>
      </c>
      <c r="Z246" s="158">
        <v>0</v>
      </c>
      <c r="AA246" s="157">
        <v>819319.8</v>
      </c>
      <c r="AB246" s="158">
        <v>4677322.91</v>
      </c>
      <c r="AC246" s="157">
        <v>0</v>
      </c>
      <c r="AD246" s="158">
        <v>0</v>
      </c>
      <c r="AE246" s="154">
        <v>2.9777906540027241E-3</v>
      </c>
      <c r="AF246" s="156">
        <v>3.2228895089996676E-3</v>
      </c>
      <c r="AG246" s="154">
        <v>0</v>
      </c>
      <c r="AH246" s="156">
        <v>0</v>
      </c>
    </row>
    <row r="247" spans="1:34" x14ac:dyDescent="0.2">
      <c r="A247" s="152">
        <v>7606</v>
      </c>
      <c r="B247" s="153" t="s">
        <v>284</v>
      </c>
      <c r="C247" s="157">
        <v>0</v>
      </c>
      <c r="D247" s="158">
        <v>0</v>
      </c>
      <c r="E247" s="157">
        <v>554670</v>
      </c>
      <c r="F247" s="158">
        <v>977750</v>
      </c>
      <c r="G247" s="157">
        <v>622012</v>
      </c>
      <c r="H247" s="158">
        <v>851805</v>
      </c>
      <c r="I247" s="157">
        <v>-7148</v>
      </c>
      <c r="J247" s="158">
        <v>0</v>
      </c>
      <c r="K247" s="157">
        <v>60194</v>
      </c>
      <c r="L247" s="158">
        <v>-125945</v>
      </c>
      <c r="M247" s="157">
        <v>5760</v>
      </c>
      <c r="N247" s="158">
        <v>0</v>
      </c>
      <c r="O247" s="157">
        <v>1302332</v>
      </c>
      <c r="P247" s="158">
        <v>5405028</v>
      </c>
      <c r="Q247" s="157">
        <v>1909246</v>
      </c>
      <c r="R247" s="158">
        <v>6180132</v>
      </c>
      <c r="S247" s="157">
        <v>-632778</v>
      </c>
      <c r="T247" s="158">
        <v>-700531</v>
      </c>
      <c r="U247" s="157">
        <v>-20104</v>
      </c>
      <c r="V247" s="158">
        <v>74573</v>
      </c>
      <c r="W247" s="157">
        <v>265972.65999999997</v>
      </c>
      <c r="X247" s="158">
        <v>31125.109999999288</v>
      </c>
      <c r="Y247" s="157">
        <v>0</v>
      </c>
      <c r="Z247" s="158">
        <v>0</v>
      </c>
      <c r="AA247" s="157">
        <v>1546748.97</v>
      </c>
      <c r="AB247" s="158">
        <v>1412195.2899999998</v>
      </c>
      <c r="AC247" s="157">
        <v>0</v>
      </c>
      <c r="AD247" s="158">
        <v>0</v>
      </c>
      <c r="AE247" s="154">
        <v>6.3646311624607236E-3</v>
      </c>
      <c r="AF247" s="156">
        <v>6.8474884150253866E-4</v>
      </c>
      <c r="AG247" s="154">
        <v>0</v>
      </c>
      <c r="AH247" s="156">
        <v>0</v>
      </c>
    </row>
    <row r="248" spans="1:34" x14ac:dyDescent="0.2">
      <c r="A248" s="152">
        <v>7607</v>
      </c>
      <c r="B248" s="153" t="s">
        <v>285</v>
      </c>
      <c r="C248" s="157">
        <v>0</v>
      </c>
      <c r="D248" s="158">
        <v>0</v>
      </c>
      <c r="E248" s="157">
        <v>1387767</v>
      </c>
      <c r="F248" s="158">
        <v>1564853</v>
      </c>
      <c r="G248" s="157">
        <v>1365847</v>
      </c>
      <c r="H248" s="158">
        <v>1791592</v>
      </c>
      <c r="I248" s="157">
        <v>0</v>
      </c>
      <c r="J248" s="158">
        <v>29984</v>
      </c>
      <c r="K248" s="157">
        <v>-21920</v>
      </c>
      <c r="L248" s="158">
        <v>256723</v>
      </c>
      <c r="M248" s="157">
        <v>0</v>
      </c>
      <c r="N248" s="158">
        <v>0</v>
      </c>
      <c r="O248" s="157">
        <v>497612</v>
      </c>
      <c r="P248" s="158">
        <v>482176</v>
      </c>
      <c r="Q248" s="157">
        <v>474756</v>
      </c>
      <c r="R248" s="158">
        <v>376418</v>
      </c>
      <c r="S248" s="157">
        <v>4904</v>
      </c>
      <c r="T248" s="158">
        <v>104171</v>
      </c>
      <c r="U248" s="157">
        <v>-17952</v>
      </c>
      <c r="V248" s="158">
        <v>-1587</v>
      </c>
      <c r="W248" s="157">
        <v>117106.46999999997</v>
      </c>
      <c r="X248" s="158">
        <v>5.8207660913467407E-11</v>
      </c>
      <c r="Y248" s="157">
        <v>0</v>
      </c>
      <c r="Z248" s="158">
        <v>0</v>
      </c>
      <c r="AA248" s="157">
        <v>401326.79</v>
      </c>
      <c r="AB248" s="158">
        <v>1058545.6999999997</v>
      </c>
      <c r="AC248" s="157">
        <v>0</v>
      </c>
      <c r="AD248" s="158">
        <v>0</v>
      </c>
      <c r="AE248" s="154">
        <v>9.0987201659465111E-3</v>
      </c>
      <c r="AF248" s="156">
        <v>3.1944235183045688E-18</v>
      </c>
      <c r="AG248" s="154">
        <v>0</v>
      </c>
      <c r="AH248" s="156">
        <v>0</v>
      </c>
    </row>
    <row r="249" spans="1:34" x14ac:dyDescent="0.2">
      <c r="A249" s="152">
        <v>7608</v>
      </c>
      <c r="B249" s="153" t="s">
        <v>286</v>
      </c>
      <c r="C249" s="157">
        <v>0</v>
      </c>
      <c r="D249" s="158">
        <v>0</v>
      </c>
      <c r="E249" s="157">
        <v>1368675</v>
      </c>
      <c r="F249" s="158">
        <v>1999544</v>
      </c>
      <c r="G249" s="157">
        <v>3036248</v>
      </c>
      <c r="H249" s="158">
        <v>283528</v>
      </c>
      <c r="I249" s="157">
        <v>0</v>
      </c>
      <c r="J249" s="158">
        <v>0</v>
      </c>
      <c r="K249" s="157">
        <v>1667573</v>
      </c>
      <c r="L249" s="158">
        <v>-1716016</v>
      </c>
      <c r="M249" s="157">
        <v>0</v>
      </c>
      <c r="N249" s="158">
        <v>0</v>
      </c>
      <c r="O249" s="157">
        <v>820964</v>
      </c>
      <c r="P249" s="158">
        <v>1660999</v>
      </c>
      <c r="Q249" s="157">
        <v>811325</v>
      </c>
      <c r="R249" s="158">
        <v>1468175</v>
      </c>
      <c r="S249" s="157">
        <v>74003</v>
      </c>
      <c r="T249" s="158">
        <v>128142</v>
      </c>
      <c r="U249" s="157">
        <v>64364</v>
      </c>
      <c r="V249" s="158">
        <v>-64682</v>
      </c>
      <c r="W249" s="157">
        <v>131007.14999999982</v>
      </c>
      <c r="X249" s="158">
        <v>332001.51</v>
      </c>
      <c r="Y249" s="157">
        <v>0</v>
      </c>
      <c r="Z249" s="158">
        <v>0</v>
      </c>
      <c r="AA249" s="157">
        <v>3379598.67</v>
      </c>
      <c r="AB249" s="158">
        <v>2621503.37</v>
      </c>
      <c r="AC249" s="157">
        <v>0</v>
      </c>
      <c r="AD249" s="158">
        <v>0</v>
      </c>
      <c r="AE249" s="154">
        <v>1.1660325486896585E-2</v>
      </c>
      <c r="AF249" s="156">
        <v>2.2085643611976166E-2</v>
      </c>
      <c r="AG249" s="154">
        <v>0</v>
      </c>
      <c r="AH249" s="156">
        <v>0</v>
      </c>
    </row>
    <row r="250" spans="1:34" x14ac:dyDescent="0.2">
      <c r="A250" s="152">
        <v>7609</v>
      </c>
      <c r="B250" s="153" t="s">
        <v>287</v>
      </c>
      <c r="C250" s="157">
        <v>0</v>
      </c>
      <c r="D250" s="158">
        <v>0</v>
      </c>
      <c r="E250" s="157">
        <v>0</v>
      </c>
      <c r="F250" s="158">
        <v>0</v>
      </c>
      <c r="G250" s="157">
        <v>0</v>
      </c>
      <c r="H250" s="158">
        <v>0</v>
      </c>
      <c r="I250" s="157">
        <v>0</v>
      </c>
      <c r="J250" s="158">
        <v>0</v>
      </c>
      <c r="K250" s="157">
        <v>0</v>
      </c>
      <c r="L250" s="158">
        <v>0</v>
      </c>
      <c r="M250" s="157">
        <v>0</v>
      </c>
      <c r="N250" s="158">
        <v>0</v>
      </c>
      <c r="O250" s="157">
        <v>709328</v>
      </c>
      <c r="P250" s="158">
        <v>3598667</v>
      </c>
      <c r="Q250" s="157">
        <v>572060</v>
      </c>
      <c r="R250" s="158">
        <v>3570575</v>
      </c>
      <c r="S250" s="157">
        <v>24879</v>
      </c>
      <c r="T250" s="158">
        <v>43805</v>
      </c>
      <c r="U250" s="157">
        <v>-112389</v>
      </c>
      <c r="V250" s="158">
        <v>15713</v>
      </c>
      <c r="W250" s="157">
        <v>8.0000000016298145E-2</v>
      </c>
      <c r="X250" s="158">
        <v>69907.709999999963</v>
      </c>
      <c r="Y250" s="157">
        <v>0</v>
      </c>
      <c r="Z250" s="158">
        <v>0</v>
      </c>
      <c r="AA250" s="157">
        <v>156738.25</v>
      </c>
      <c r="AB250" s="158">
        <v>2286360.9700000002</v>
      </c>
      <c r="AC250" s="157">
        <v>0</v>
      </c>
      <c r="AD250" s="158">
        <v>0</v>
      </c>
      <c r="AE250" s="154">
        <v>3.8678113591188462E-9</v>
      </c>
      <c r="AF250" s="156">
        <v>2.3815805368859995E-3</v>
      </c>
      <c r="AG250" s="154">
        <v>0</v>
      </c>
      <c r="AH250" s="156">
        <v>0</v>
      </c>
    </row>
    <row r="251" spans="1:34" x14ac:dyDescent="0.2">
      <c r="A251" s="152">
        <v>7610</v>
      </c>
      <c r="B251" s="153" t="s">
        <v>288</v>
      </c>
      <c r="C251" s="157">
        <v>0</v>
      </c>
      <c r="D251" s="158">
        <v>0</v>
      </c>
      <c r="E251" s="157">
        <v>220101</v>
      </c>
      <c r="F251" s="158">
        <v>226043</v>
      </c>
      <c r="G251" s="157">
        <v>611018</v>
      </c>
      <c r="H251" s="158">
        <v>0</v>
      </c>
      <c r="I251" s="157">
        <v>-164638</v>
      </c>
      <c r="J251" s="158">
        <v>13539</v>
      </c>
      <c r="K251" s="157">
        <v>226279</v>
      </c>
      <c r="L251" s="158">
        <v>-212504</v>
      </c>
      <c r="M251" s="157">
        <v>0</v>
      </c>
      <c r="N251" s="158">
        <v>0</v>
      </c>
      <c r="O251" s="157">
        <v>1075802</v>
      </c>
      <c r="P251" s="158">
        <v>2114096</v>
      </c>
      <c r="Q251" s="157">
        <v>1224043</v>
      </c>
      <c r="R251" s="158">
        <v>3379865</v>
      </c>
      <c r="S251" s="157">
        <v>-96097</v>
      </c>
      <c r="T251" s="158">
        <v>172748</v>
      </c>
      <c r="U251" s="157">
        <v>52144</v>
      </c>
      <c r="V251" s="158">
        <v>1438517</v>
      </c>
      <c r="W251" s="157">
        <v>12550.820000000007</v>
      </c>
      <c r="X251" s="158">
        <v>140604.46999999997</v>
      </c>
      <c r="Y251" s="157">
        <v>0</v>
      </c>
      <c r="Z251" s="158">
        <v>0</v>
      </c>
      <c r="AA251" s="157">
        <v>720766.54999999993</v>
      </c>
      <c r="AB251" s="158">
        <v>3951142.04</v>
      </c>
      <c r="AC251" s="157">
        <v>0</v>
      </c>
      <c r="AD251" s="158">
        <v>125712</v>
      </c>
      <c r="AE251" s="154">
        <v>3.3628204391036778E-4</v>
      </c>
      <c r="AF251" s="156">
        <v>3.3228990687316031E-3</v>
      </c>
      <c r="AG251" s="154">
        <v>0</v>
      </c>
      <c r="AH251" s="156">
        <v>2.9709459999983459E-3</v>
      </c>
    </row>
    <row r="252" spans="1:34" x14ac:dyDescent="0.2">
      <c r="A252" s="152">
        <v>7611</v>
      </c>
      <c r="B252" s="153" t="s">
        <v>278</v>
      </c>
      <c r="C252" s="157">
        <v>5194</v>
      </c>
      <c r="D252" s="158">
        <v>4980</v>
      </c>
      <c r="E252" s="157">
        <v>0</v>
      </c>
      <c r="F252" s="158">
        <v>0</v>
      </c>
      <c r="G252" s="157">
        <v>0</v>
      </c>
      <c r="H252" s="158">
        <v>0</v>
      </c>
      <c r="I252" s="157">
        <v>0</v>
      </c>
      <c r="J252" s="158">
        <v>0</v>
      </c>
      <c r="K252" s="157">
        <v>5194</v>
      </c>
      <c r="L252" s="158">
        <v>4980</v>
      </c>
      <c r="M252" s="157">
        <v>0</v>
      </c>
      <c r="N252" s="158">
        <v>19501</v>
      </c>
      <c r="O252" s="157">
        <v>5433151</v>
      </c>
      <c r="P252" s="158">
        <v>11188471</v>
      </c>
      <c r="Q252" s="157">
        <v>6955421</v>
      </c>
      <c r="R252" s="158">
        <v>14060804</v>
      </c>
      <c r="S252" s="157">
        <v>-1540421</v>
      </c>
      <c r="T252" s="158">
        <v>-674113</v>
      </c>
      <c r="U252" s="157">
        <v>-18151</v>
      </c>
      <c r="V252" s="158">
        <v>2217721</v>
      </c>
      <c r="W252" s="157">
        <v>47585.60999999987</v>
      </c>
      <c r="X252" s="158">
        <v>465608.48</v>
      </c>
      <c r="Y252" s="157">
        <v>448913.68</v>
      </c>
      <c r="Z252" s="158">
        <v>337326.13</v>
      </c>
      <c r="AA252" s="157">
        <v>7266996.6500000004</v>
      </c>
      <c r="AB252" s="158">
        <v>20307138.240000002</v>
      </c>
      <c r="AC252" s="157">
        <v>0</v>
      </c>
      <c r="AD252" s="158">
        <v>0</v>
      </c>
      <c r="AE252" s="154">
        <v>3.4167261106682014E-4</v>
      </c>
      <c r="AF252" s="156">
        <v>2.9658358494280717E-3</v>
      </c>
      <c r="AG252" s="154">
        <v>0</v>
      </c>
      <c r="AH252" s="156">
        <v>0</v>
      </c>
    </row>
    <row r="253" spans="1:34" x14ac:dyDescent="0.2">
      <c r="A253" s="152">
        <v>7701</v>
      </c>
      <c r="B253" s="153" t="s">
        <v>290</v>
      </c>
      <c r="C253" s="157">
        <v>0</v>
      </c>
      <c r="D253" s="158">
        <v>0</v>
      </c>
      <c r="E253" s="157">
        <v>0</v>
      </c>
      <c r="F253" s="158">
        <v>2306853</v>
      </c>
      <c r="G253" s="157">
        <v>0</v>
      </c>
      <c r="H253" s="158">
        <v>2044104</v>
      </c>
      <c r="I253" s="157">
        <v>0</v>
      </c>
      <c r="J253" s="158">
        <v>0</v>
      </c>
      <c r="K253" s="157">
        <v>0</v>
      </c>
      <c r="L253" s="158">
        <v>-262749</v>
      </c>
      <c r="M253" s="157">
        <v>0</v>
      </c>
      <c r="N253" s="158">
        <v>0</v>
      </c>
      <c r="O253" s="157">
        <v>682846</v>
      </c>
      <c r="P253" s="158">
        <v>687807</v>
      </c>
      <c r="Q253" s="157">
        <v>589358</v>
      </c>
      <c r="R253" s="158">
        <v>718097</v>
      </c>
      <c r="S253" s="157">
        <v>-17285</v>
      </c>
      <c r="T253" s="158">
        <v>37357</v>
      </c>
      <c r="U253" s="157">
        <v>-110773</v>
      </c>
      <c r="V253" s="158">
        <v>67647</v>
      </c>
      <c r="W253" s="157">
        <v>281656.77</v>
      </c>
      <c r="X253" s="158">
        <v>22281.040000000008</v>
      </c>
      <c r="Y253" s="157">
        <v>0</v>
      </c>
      <c r="Z253" s="158">
        <v>0</v>
      </c>
      <c r="AA253" s="157">
        <v>54659.199999999997</v>
      </c>
      <c r="AB253" s="158">
        <v>2948763.4400000004</v>
      </c>
      <c r="AC253" s="157">
        <v>0</v>
      </c>
      <c r="AD253" s="158">
        <v>0</v>
      </c>
      <c r="AE253" s="154">
        <v>1.4045586794703089E-2</v>
      </c>
      <c r="AF253" s="156">
        <v>1.0799283170451752E-3</v>
      </c>
      <c r="AG253" s="154">
        <v>0</v>
      </c>
      <c r="AH253" s="156">
        <v>0</v>
      </c>
    </row>
    <row r="254" spans="1:34" x14ac:dyDescent="0.2">
      <c r="A254" s="152">
        <v>7702</v>
      </c>
      <c r="B254" s="153" t="s">
        <v>291</v>
      </c>
      <c r="C254" s="157">
        <v>0</v>
      </c>
      <c r="D254" s="158">
        <v>0</v>
      </c>
      <c r="E254" s="157">
        <v>0</v>
      </c>
      <c r="F254" s="158">
        <v>2117146</v>
      </c>
      <c r="G254" s="157">
        <v>0</v>
      </c>
      <c r="H254" s="158">
        <v>2119871</v>
      </c>
      <c r="I254" s="157">
        <v>0</v>
      </c>
      <c r="J254" s="158">
        <v>0</v>
      </c>
      <c r="K254" s="157">
        <v>0</v>
      </c>
      <c r="L254" s="158">
        <v>2725</v>
      </c>
      <c r="M254" s="157">
        <v>0</v>
      </c>
      <c r="N254" s="158">
        <v>0</v>
      </c>
      <c r="O254" s="157">
        <v>791244</v>
      </c>
      <c r="P254" s="158">
        <v>1356006</v>
      </c>
      <c r="Q254" s="157">
        <v>942595</v>
      </c>
      <c r="R254" s="158">
        <v>1313755</v>
      </c>
      <c r="S254" s="157">
        <v>-42310</v>
      </c>
      <c r="T254" s="158">
        <v>131939</v>
      </c>
      <c r="U254" s="157">
        <v>109041</v>
      </c>
      <c r="V254" s="158">
        <v>89688</v>
      </c>
      <c r="W254" s="157">
        <v>24282.72000000003</v>
      </c>
      <c r="X254" s="158">
        <v>221734.56999999983</v>
      </c>
      <c r="Y254" s="157">
        <v>0</v>
      </c>
      <c r="Z254" s="158">
        <v>0</v>
      </c>
      <c r="AA254" s="157">
        <v>676866.64</v>
      </c>
      <c r="AB254" s="158">
        <v>302128</v>
      </c>
      <c r="AC254" s="157">
        <v>0</v>
      </c>
      <c r="AD254" s="158">
        <v>0</v>
      </c>
      <c r="AE254" s="154">
        <v>1.5633215290456186E-3</v>
      </c>
      <c r="AF254" s="156">
        <v>1.7035426010553391E-2</v>
      </c>
      <c r="AG254" s="154">
        <v>0</v>
      </c>
      <c r="AH254" s="156">
        <v>0</v>
      </c>
    </row>
    <row r="255" spans="1:34" x14ac:dyDescent="0.2">
      <c r="A255" s="152">
        <v>7703</v>
      </c>
      <c r="B255" s="153" t="s">
        <v>292</v>
      </c>
      <c r="C255" s="157">
        <v>0</v>
      </c>
      <c r="D255" s="158">
        <v>0</v>
      </c>
      <c r="E255" s="157">
        <v>115239</v>
      </c>
      <c r="F255" s="158">
        <v>0</v>
      </c>
      <c r="G255" s="157">
        <v>104746</v>
      </c>
      <c r="H255" s="158">
        <v>213425</v>
      </c>
      <c r="I255" s="157">
        <v>0</v>
      </c>
      <c r="J255" s="158">
        <v>0</v>
      </c>
      <c r="K255" s="157">
        <v>-10493</v>
      </c>
      <c r="L255" s="158">
        <v>213425</v>
      </c>
      <c r="M255" s="157">
        <v>-219</v>
      </c>
      <c r="N255" s="158">
        <v>0</v>
      </c>
      <c r="O255" s="157">
        <v>1725801</v>
      </c>
      <c r="P255" s="158">
        <v>1991881</v>
      </c>
      <c r="Q255" s="157">
        <v>2376143</v>
      </c>
      <c r="R255" s="158">
        <v>1822192</v>
      </c>
      <c r="S255" s="157">
        <v>0</v>
      </c>
      <c r="T255" s="158">
        <v>0</v>
      </c>
      <c r="U255" s="157">
        <v>650123</v>
      </c>
      <c r="V255" s="158">
        <v>-169689</v>
      </c>
      <c r="W255" s="157">
        <v>73178.320000000065</v>
      </c>
      <c r="X255" s="158">
        <v>89908.010000000009</v>
      </c>
      <c r="Y255" s="157">
        <v>0</v>
      </c>
      <c r="Z255" s="158">
        <v>0</v>
      </c>
      <c r="AA255" s="157">
        <v>2165610</v>
      </c>
      <c r="AB255" s="158">
        <v>1424490.52</v>
      </c>
      <c r="AC255" s="157">
        <v>0</v>
      </c>
      <c r="AD255" s="158">
        <v>0</v>
      </c>
      <c r="AE255" s="154">
        <v>4.4503689457583212E-3</v>
      </c>
      <c r="AF255" s="156">
        <v>4.3313505961700598E-3</v>
      </c>
      <c r="AG255" s="154">
        <v>0</v>
      </c>
      <c r="AH255" s="156">
        <v>0</v>
      </c>
    </row>
    <row r="256" spans="1:34" x14ac:dyDescent="0.2">
      <c r="A256" s="152">
        <v>7704</v>
      </c>
      <c r="B256" s="153" t="s">
        <v>293</v>
      </c>
      <c r="C256" s="157">
        <v>0</v>
      </c>
      <c r="D256" s="158">
        <v>0</v>
      </c>
      <c r="E256" s="157">
        <v>1008</v>
      </c>
      <c r="F256" s="158">
        <v>1380985</v>
      </c>
      <c r="G256" s="157">
        <v>-141590</v>
      </c>
      <c r="H256" s="158">
        <v>1404316</v>
      </c>
      <c r="I256" s="157">
        <v>0</v>
      </c>
      <c r="J256" s="158">
        <v>0</v>
      </c>
      <c r="K256" s="157">
        <v>-142598</v>
      </c>
      <c r="L256" s="158">
        <v>23331</v>
      </c>
      <c r="M256" s="157">
        <v>0</v>
      </c>
      <c r="N256" s="158">
        <v>0</v>
      </c>
      <c r="O256" s="157">
        <v>1380534</v>
      </c>
      <c r="P256" s="158">
        <v>1646999</v>
      </c>
      <c r="Q256" s="157">
        <v>1326799</v>
      </c>
      <c r="R256" s="158">
        <v>1605160</v>
      </c>
      <c r="S256" s="157">
        <v>253649</v>
      </c>
      <c r="T256" s="158">
        <v>181381</v>
      </c>
      <c r="U256" s="157">
        <v>199914</v>
      </c>
      <c r="V256" s="158">
        <v>139542</v>
      </c>
      <c r="W256" s="157">
        <v>63222.179999999935</v>
      </c>
      <c r="X256" s="158">
        <v>158318.72000000003</v>
      </c>
      <c r="Y256" s="157">
        <v>0</v>
      </c>
      <c r="Z256" s="158">
        <v>0</v>
      </c>
      <c r="AA256" s="157">
        <v>772025.12</v>
      </c>
      <c r="AB256" s="158">
        <v>370030.16</v>
      </c>
      <c r="AC256" s="157">
        <v>0</v>
      </c>
      <c r="AD256" s="158">
        <v>0</v>
      </c>
      <c r="AE256" s="154">
        <v>2.7436260954543231E-3</v>
      </c>
      <c r="AF256" s="156">
        <v>6.4669084369941704E-3</v>
      </c>
      <c r="AG256" s="154">
        <v>0</v>
      </c>
      <c r="AH256" s="156">
        <v>0</v>
      </c>
    </row>
    <row r="257" spans="1:34" x14ac:dyDescent="0.2">
      <c r="A257" s="152">
        <v>7705</v>
      </c>
      <c r="B257" s="153" t="s">
        <v>294</v>
      </c>
      <c r="C257" s="157">
        <v>0</v>
      </c>
      <c r="D257" s="158">
        <v>0</v>
      </c>
      <c r="E257" s="157">
        <v>231168</v>
      </c>
      <c r="F257" s="158">
        <v>134587</v>
      </c>
      <c r="G257" s="157">
        <v>232588</v>
      </c>
      <c r="H257" s="158">
        <v>134587</v>
      </c>
      <c r="I257" s="157">
        <v>-1420</v>
      </c>
      <c r="J257" s="158">
        <v>0</v>
      </c>
      <c r="K257" s="157">
        <v>0</v>
      </c>
      <c r="L257" s="158">
        <v>0</v>
      </c>
      <c r="M257" s="157">
        <v>0</v>
      </c>
      <c r="N257" s="158">
        <v>0</v>
      </c>
      <c r="O257" s="157">
        <v>540860</v>
      </c>
      <c r="P257" s="158">
        <v>852873</v>
      </c>
      <c r="Q257" s="157">
        <v>483918</v>
      </c>
      <c r="R257" s="158">
        <v>923233</v>
      </c>
      <c r="S257" s="157">
        <v>41487</v>
      </c>
      <c r="T257" s="158">
        <v>-65334</v>
      </c>
      <c r="U257" s="157">
        <v>-15455</v>
      </c>
      <c r="V257" s="158">
        <v>5026</v>
      </c>
      <c r="W257" s="157">
        <v>12156.190000000002</v>
      </c>
      <c r="X257" s="158">
        <v>16357.559999999998</v>
      </c>
      <c r="Y257" s="157">
        <v>0</v>
      </c>
      <c r="Z257" s="158">
        <v>0</v>
      </c>
      <c r="AA257" s="157">
        <v>473363.11</v>
      </c>
      <c r="AB257" s="158">
        <v>235850.38</v>
      </c>
      <c r="AC257" s="157">
        <v>0</v>
      </c>
      <c r="AD257" s="158">
        <v>0</v>
      </c>
      <c r="AE257" s="154">
        <v>8.4770685142984161E-4</v>
      </c>
      <c r="AF257" s="156">
        <v>1.0174471565418579E-3</v>
      </c>
      <c r="AG257" s="154">
        <v>0</v>
      </c>
      <c r="AH257" s="156">
        <v>0</v>
      </c>
    </row>
    <row r="258" spans="1:34" x14ac:dyDescent="0.2">
      <c r="A258" s="152">
        <v>7706</v>
      </c>
      <c r="B258" s="153" t="s">
        <v>295</v>
      </c>
      <c r="C258" s="157">
        <v>0</v>
      </c>
      <c r="D258" s="158">
        <v>0</v>
      </c>
      <c r="E258" s="157">
        <v>181641</v>
      </c>
      <c r="F258" s="158">
        <v>1991904</v>
      </c>
      <c r="G258" s="157">
        <v>1321700</v>
      </c>
      <c r="H258" s="158">
        <v>949879</v>
      </c>
      <c r="I258" s="157">
        <v>-69668</v>
      </c>
      <c r="J258" s="158">
        <v>0</v>
      </c>
      <c r="K258" s="157">
        <v>1070391</v>
      </c>
      <c r="L258" s="158">
        <v>-1042025</v>
      </c>
      <c r="M258" s="157">
        <v>0</v>
      </c>
      <c r="N258" s="158">
        <v>0</v>
      </c>
      <c r="O258" s="157">
        <v>299516</v>
      </c>
      <c r="P258" s="158">
        <v>506062</v>
      </c>
      <c r="Q258" s="157">
        <v>264954</v>
      </c>
      <c r="R258" s="158">
        <v>138534</v>
      </c>
      <c r="S258" s="157">
        <v>3286</v>
      </c>
      <c r="T258" s="158">
        <v>365432</v>
      </c>
      <c r="U258" s="157">
        <v>-31276</v>
      </c>
      <c r="V258" s="158">
        <v>-2096</v>
      </c>
      <c r="W258" s="157">
        <v>87762.15</v>
      </c>
      <c r="X258" s="158">
        <v>260776.14000000013</v>
      </c>
      <c r="Y258" s="157">
        <v>0</v>
      </c>
      <c r="Z258" s="158">
        <v>0</v>
      </c>
      <c r="AA258" s="157">
        <v>2156715.98</v>
      </c>
      <c r="AB258" s="158">
        <v>218418.47999999989</v>
      </c>
      <c r="AC258" s="157">
        <v>0</v>
      </c>
      <c r="AD258" s="158">
        <v>0</v>
      </c>
      <c r="AE258" s="154">
        <v>6.6700763581910459E-3</v>
      </c>
      <c r="AF258" s="156">
        <v>1.8430129460183152E-2</v>
      </c>
      <c r="AG258" s="154">
        <v>0</v>
      </c>
      <c r="AH258" s="156">
        <v>0</v>
      </c>
    </row>
    <row r="259" spans="1:34" x14ac:dyDescent="0.2">
      <c r="A259" s="152">
        <v>7707</v>
      </c>
      <c r="B259" s="153" t="s">
        <v>296</v>
      </c>
      <c r="C259" s="157">
        <v>0</v>
      </c>
      <c r="D259" s="158">
        <v>0</v>
      </c>
      <c r="E259" s="157">
        <v>413127</v>
      </c>
      <c r="F259" s="158">
        <v>1670786</v>
      </c>
      <c r="G259" s="157">
        <v>130392</v>
      </c>
      <c r="H259" s="158">
        <v>2209974</v>
      </c>
      <c r="I259" s="157">
        <v>267570</v>
      </c>
      <c r="J259" s="158">
        <v>-438886</v>
      </c>
      <c r="K259" s="157">
        <v>-15165</v>
      </c>
      <c r="L259" s="158">
        <v>100302</v>
      </c>
      <c r="M259" s="157">
        <v>3560</v>
      </c>
      <c r="N259" s="158">
        <v>3095</v>
      </c>
      <c r="O259" s="157">
        <v>2065772</v>
      </c>
      <c r="P259" s="158">
        <v>1567748</v>
      </c>
      <c r="Q259" s="157">
        <v>2260490</v>
      </c>
      <c r="R259" s="158">
        <v>1764380</v>
      </c>
      <c r="S259" s="157">
        <v>-199418</v>
      </c>
      <c r="T259" s="158">
        <v>-148072</v>
      </c>
      <c r="U259" s="157">
        <v>-1140</v>
      </c>
      <c r="V259" s="158">
        <v>51655</v>
      </c>
      <c r="W259" s="157">
        <v>1096.0200000000186</v>
      </c>
      <c r="X259" s="158">
        <v>34948.160000000033</v>
      </c>
      <c r="Y259" s="157">
        <v>0</v>
      </c>
      <c r="Z259" s="158">
        <v>0</v>
      </c>
      <c r="AA259" s="157">
        <v>1104663.7599999998</v>
      </c>
      <c r="AB259" s="158">
        <v>1294045.1899999995</v>
      </c>
      <c r="AC259" s="157">
        <v>0</v>
      </c>
      <c r="AD259" s="158">
        <v>0</v>
      </c>
      <c r="AE259" s="154">
        <v>3.3417686042483614E-5</v>
      </c>
      <c r="AF259" s="156">
        <v>9.6285638961309049E-4</v>
      </c>
      <c r="AG259" s="154">
        <v>0</v>
      </c>
      <c r="AH259" s="156">
        <v>0</v>
      </c>
    </row>
    <row r="260" spans="1:34" x14ac:dyDescent="0.2">
      <c r="A260" s="152">
        <v>7708</v>
      </c>
      <c r="B260" s="153" t="s">
        <v>297</v>
      </c>
      <c r="C260" s="157">
        <v>0</v>
      </c>
      <c r="D260" s="158">
        <v>0</v>
      </c>
      <c r="E260" s="157">
        <v>0</v>
      </c>
      <c r="F260" s="158">
        <v>0</v>
      </c>
      <c r="G260" s="157">
        <v>0</v>
      </c>
      <c r="H260" s="158">
        <v>0</v>
      </c>
      <c r="I260" s="157">
        <v>0</v>
      </c>
      <c r="J260" s="158">
        <v>0</v>
      </c>
      <c r="K260" s="157">
        <v>0</v>
      </c>
      <c r="L260" s="158">
        <v>0</v>
      </c>
      <c r="M260" s="157">
        <v>15443</v>
      </c>
      <c r="N260" s="158">
        <v>8741</v>
      </c>
      <c r="O260" s="157">
        <v>1012527</v>
      </c>
      <c r="P260" s="158">
        <v>924031</v>
      </c>
      <c r="Q260" s="157">
        <v>757018</v>
      </c>
      <c r="R260" s="158">
        <v>1139415</v>
      </c>
      <c r="S260" s="157">
        <v>202941</v>
      </c>
      <c r="T260" s="158">
        <v>-127741</v>
      </c>
      <c r="U260" s="157">
        <v>-37125</v>
      </c>
      <c r="V260" s="158">
        <v>96384</v>
      </c>
      <c r="W260" s="157">
        <v>5940.0200000000186</v>
      </c>
      <c r="X260" s="158">
        <v>0</v>
      </c>
      <c r="Y260" s="157">
        <v>0</v>
      </c>
      <c r="Z260" s="158">
        <v>0</v>
      </c>
      <c r="AA260" s="157">
        <v>51166.560000000012</v>
      </c>
      <c r="AB260" s="158">
        <v>1053440.77</v>
      </c>
      <c r="AC260" s="157">
        <v>0</v>
      </c>
      <c r="AD260" s="158">
        <v>0</v>
      </c>
      <c r="AE260" s="154">
        <v>3.8075003530258975E-4</v>
      </c>
      <c r="AF260" s="156">
        <v>0</v>
      </c>
      <c r="AG260" s="154">
        <v>0</v>
      </c>
      <c r="AH260" s="156">
        <v>0</v>
      </c>
    </row>
    <row r="261" spans="1:34" x14ac:dyDescent="0.2">
      <c r="A261" s="152">
        <v>7709</v>
      </c>
      <c r="B261" s="153" t="s">
        <v>298</v>
      </c>
      <c r="C261" s="157">
        <v>0</v>
      </c>
      <c r="D261" s="158">
        <v>0</v>
      </c>
      <c r="E261" s="157">
        <v>0</v>
      </c>
      <c r="F261" s="158">
        <v>1684729</v>
      </c>
      <c r="G261" s="157">
        <v>0</v>
      </c>
      <c r="H261" s="158">
        <v>1693251</v>
      </c>
      <c r="I261" s="157">
        <v>0</v>
      </c>
      <c r="J261" s="158">
        <v>0</v>
      </c>
      <c r="K261" s="157">
        <v>0</v>
      </c>
      <c r="L261" s="158">
        <v>8522</v>
      </c>
      <c r="M261" s="157">
        <v>132</v>
      </c>
      <c r="N261" s="158">
        <v>0</v>
      </c>
      <c r="O261" s="157">
        <v>749805</v>
      </c>
      <c r="P261" s="158">
        <v>963016</v>
      </c>
      <c r="Q261" s="157">
        <v>827580</v>
      </c>
      <c r="R261" s="158">
        <v>1035487</v>
      </c>
      <c r="S261" s="157">
        <v>-61862</v>
      </c>
      <c r="T261" s="158">
        <v>14504</v>
      </c>
      <c r="U261" s="157">
        <v>16045</v>
      </c>
      <c r="V261" s="158">
        <v>86975</v>
      </c>
      <c r="W261" s="157">
        <v>0</v>
      </c>
      <c r="X261" s="158">
        <v>1670710.75</v>
      </c>
      <c r="Y261" s="157">
        <v>0</v>
      </c>
      <c r="Z261" s="158">
        <v>0</v>
      </c>
      <c r="AA261" s="157">
        <v>809620.86</v>
      </c>
      <c r="AB261" s="158">
        <v>1956723.98</v>
      </c>
      <c r="AC261" s="157">
        <v>0</v>
      </c>
      <c r="AD261" s="158">
        <v>0</v>
      </c>
      <c r="AE261" s="154">
        <v>0</v>
      </c>
      <c r="AF261" s="156">
        <v>0.14582188129353049</v>
      </c>
      <c r="AG261" s="154">
        <v>0</v>
      </c>
      <c r="AH261" s="156">
        <v>0</v>
      </c>
    </row>
    <row r="262" spans="1:34" x14ac:dyDescent="0.2">
      <c r="A262" s="152">
        <v>7710</v>
      </c>
      <c r="B262" s="153" t="s">
        <v>289</v>
      </c>
      <c r="C262" s="157">
        <v>0</v>
      </c>
      <c r="D262" s="158">
        <v>0</v>
      </c>
      <c r="E262" s="157">
        <v>0</v>
      </c>
      <c r="F262" s="158">
        <v>0</v>
      </c>
      <c r="G262" s="157">
        <v>0</v>
      </c>
      <c r="H262" s="158">
        <v>0</v>
      </c>
      <c r="I262" s="157">
        <v>0</v>
      </c>
      <c r="J262" s="158">
        <v>0</v>
      </c>
      <c r="K262" s="157">
        <v>0</v>
      </c>
      <c r="L262" s="158">
        <v>0</v>
      </c>
      <c r="M262" s="157">
        <v>3564</v>
      </c>
      <c r="N262" s="158">
        <v>6747</v>
      </c>
      <c r="O262" s="157">
        <v>10226153</v>
      </c>
      <c r="P262" s="158">
        <v>5748421</v>
      </c>
      <c r="Q262" s="157">
        <v>7667829</v>
      </c>
      <c r="R262" s="158">
        <v>10740807</v>
      </c>
      <c r="S262" s="157">
        <v>1521586</v>
      </c>
      <c r="T262" s="158">
        <v>-2634487</v>
      </c>
      <c r="U262" s="157">
        <v>-1033174</v>
      </c>
      <c r="V262" s="158">
        <v>2364646</v>
      </c>
      <c r="W262" s="157">
        <v>44071.979999999516</v>
      </c>
      <c r="X262" s="158">
        <v>84240.300000000047</v>
      </c>
      <c r="Y262" s="157">
        <v>3961648.69</v>
      </c>
      <c r="Z262" s="158">
        <v>-2.4010660126805305E-10</v>
      </c>
      <c r="AA262" s="157">
        <v>2079652.8700000003</v>
      </c>
      <c r="AB262" s="158">
        <v>8424928.6899999995</v>
      </c>
      <c r="AC262" s="157">
        <v>0</v>
      </c>
      <c r="AD262" s="158">
        <v>0</v>
      </c>
      <c r="AE262" s="154">
        <v>2.8979770313384884E-4</v>
      </c>
      <c r="AF262" s="156">
        <v>5.1471533770845539E-4</v>
      </c>
      <c r="AG262" s="154">
        <v>0</v>
      </c>
      <c r="AH262" s="156">
        <v>0</v>
      </c>
    </row>
    <row r="263" spans="1:34" x14ac:dyDescent="0.2">
      <c r="A263" s="152">
        <v>7801</v>
      </c>
      <c r="B263" s="153" t="s">
        <v>300</v>
      </c>
      <c r="C263" s="157">
        <v>0</v>
      </c>
      <c r="D263" s="158">
        <v>0</v>
      </c>
      <c r="E263" s="157">
        <v>457399</v>
      </c>
      <c r="F263" s="158">
        <v>405074</v>
      </c>
      <c r="G263" s="157">
        <v>386610</v>
      </c>
      <c r="H263" s="158">
        <v>303716</v>
      </c>
      <c r="I263" s="157">
        <v>0</v>
      </c>
      <c r="J263" s="158">
        <v>32337</v>
      </c>
      <c r="K263" s="157">
        <v>-70789</v>
      </c>
      <c r="L263" s="158">
        <v>-69021</v>
      </c>
      <c r="M263" s="157">
        <v>0</v>
      </c>
      <c r="N263" s="158">
        <v>0</v>
      </c>
      <c r="O263" s="157">
        <v>456807</v>
      </c>
      <c r="P263" s="158">
        <v>1161200</v>
      </c>
      <c r="Q263" s="157">
        <v>612996</v>
      </c>
      <c r="R263" s="158">
        <v>1672407</v>
      </c>
      <c r="S263" s="157">
        <v>-46608</v>
      </c>
      <c r="T263" s="158">
        <v>30476</v>
      </c>
      <c r="U263" s="157">
        <v>109581</v>
      </c>
      <c r="V263" s="158">
        <v>541683</v>
      </c>
      <c r="W263" s="157">
        <v>220046.28</v>
      </c>
      <c r="X263" s="158">
        <v>219.43999999997322</v>
      </c>
      <c r="Y263" s="157">
        <v>0</v>
      </c>
      <c r="Z263" s="158">
        <v>0</v>
      </c>
      <c r="AA263" s="157">
        <v>225093.50000000003</v>
      </c>
      <c r="AB263" s="158">
        <v>2691018.6999999997</v>
      </c>
      <c r="AC263" s="157">
        <v>0</v>
      </c>
      <c r="AD263" s="158">
        <v>0</v>
      </c>
      <c r="AE263" s="154">
        <v>1.8390141346985085E-2</v>
      </c>
      <c r="AF263" s="156">
        <v>1.0954476124542232E-5</v>
      </c>
      <c r="AG263" s="154">
        <v>0</v>
      </c>
      <c r="AH263" s="156">
        <v>0</v>
      </c>
    </row>
    <row r="264" spans="1:34" x14ac:dyDescent="0.2">
      <c r="A264" s="152">
        <v>7802</v>
      </c>
      <c r="B264" s="153" t="s">
        <v>301</v>
      </c>
      <c r="C264" s="157">
        <v>25562</v>
      </c>
      <c r="D264" s="158">
        <v>20236</v>
      </c>
      <c r="E264" s="157">
        <v>1114995</v>
      </c>
      <c r="F264" s="158">
        <v>54857</v>
      </c>
      <c r="G264" s="157">
        <v>697581</v>
      </c>
      <c r="H264" s="158">
        <v>392834</v>
      </c>
      <c r="I264" s="157">
        <v>367430</v>
      </c>
      <c r="J264" s="158">
        <v>-372694</v>
      </c>
      <c r="K264" s="157">
        <v>-24422</v>
      </c>
      <c r="L264" s="158">
        <v>-14481</v>
      </c>
      <c r="M264" s="157">
        <v>0</v>
      </c>
      <c r="N264" s="158">
        <v>0</v>
      </c>
      <c r="O264" s="157">
        <v>450420</v>
      </c>
      <c r="P264" s="158">
        <v>1274869</v>
      </c>
      <c r="Q264" s="157">
        <v>1140345</v>
      </c>
      <c r="R264" s="158">
        <v>1430494</v>
      </c>
      <c r="S264" s="157">
        <v>-562012</v>
      </c>
      <c r="T264" s="158">
        <v>-136005</v>
      </c>
      <c r="U264" s="157">
        <v>127913</v>
      </c>
      <c r="V264" s="158">
        <v>19620</v>
      </c>
      <c r="W264" s="157">
        <v>0</v>
      </c>
      <c r="X264" s="158">
        <v>7032</v>
      </c>
      <c r="Y264" s="157">
        <v>0</v>
      </c>
      <c r="Z264" s="158">
        <v>0</v>
      </c>
      <c r="AA264" s="157">
        <v>32311.979999999989</v>
      </c>
      <c r="AB264" s="158">
        <v>532859.34</v>
      </c>
      <c r="AC264" s="157">
        <v>0</v>
      </c>
      <c r="AD264" s="158">
        <v>0</v>
      </c>
      <c r="AE264" s="154">
        <v>0</v>
      </c>
      <c r="AF264" s="156">
        <v>2.7179600457554197E-4</v>
      </c>
      <c r="AG264" s="154">
        <v>0</v>
      </c>
      <c r="AH264" s="156">
        <v>0</v>
      </c>
    </row>
    <row r="265" spans="1:34" x14ac:dyDescent="0.2">
      <c r="A265" s="152">
        <v>7803</v>
      </c>
      <c r="B265" s="153" t="s">
        <v>302</v>
      </c>
      <c r="C265" s="157">
        <v>0</v>
      </c>
      <c r="D265" s="158">
        <v>0</v>
      </c>
      <c r="E265" s="157">
        <v>0</v>
      </c>
      <c r="F265" s="158">
        <v>0</v>
      </c>
      <c r="G265" s="157">
        <v>0</v>
      </c>
      <c r="H265" s="158">
        <v>0</v>
      </c>
      <c r="I265" s="157">
        <v>0</v>
      </c>
      <c r="J265" s="158">
        <v>0</v>
      </c>
      <c r="K265" s="157">
        <v>0</v>
      </c>
      <c r="L265" s="158">
        <v>0</v>
      </c>
      <c r="M265" s="157">
        <v>0</v>
      </c>
      <c r="N265" s="158">
        <v>0</v>
      </c>
      <c r="O265" s="157">
        <v>682637</v>
      </c>
      <c r="P265" s="158">
        <v>707948</v>
      </c>
      <c r="Q265" s="157">
        <v>814592</v>
      </c>
      <c r="R265" s="158">
        <v>702035</v>
      </c>
      <c r="S265" s="157">
        <v>-69556</v>
      </c>
      <c r="T265" s="158">
        <v>-12077</v>
      </c>
      <c r="U265" s="157">
        <v>62399</v>
      </c>
      <c r="V265" s="158">
        <v>-17990</v>
      </c>
      <c r="W265" s="157">
        <v>191.14999999999418</v>
      </c>
      <c r="X265" s="158">
        <v>596.92999999999302</v>
      </c>
      <c r="Y265" s="157">
        <v>0</v>
      </c>
      <c r="Z265" s="158">
        <v>0</v>
      </c>
      <c r="AA265" s="157">
        <v>1305814.26</v>
      </c>
      <c r="AB265" s="158">
        <v>3482998.48</v>
      </c>
      <c r="AC265" s="157">
        <v>0</v>
      </c>
      <c r="AD265" s="158">
        <v>0</v>
      </c>
      <c r="AE265" s="154">
        <v>9.6403253371501008E-6</v>
      </c>
      <c r="AF265" s="156">
        <v>2.8698089968629503E-5</v>
      </c>
      <c r="AG265" s="154">
        <v>0</v>
      </c>
      <c r="AH265" s="156">
        <v>0</v>
      </c>
    </row>
    <row r="266" spans="1:34" x14ac:dyDescent="0.2">
      <c r="A266" s="152">
        <v>7804</v>
      </c>
      <c r="B266" s="153" t="s">
        <v>303</v>
      </c>
      <c r="C266" s="157">
        <v>0</v>
      </c>
      <c r="D266" s="158">
        <v>5003</v>
      </c>
      <c r="E266" s="157">
        <v>759327</v>
      </c>
      <c r="F266" s="158">
        <v>950216</v>
      </c>
      <c r="G266" s="157">
        <v>635893</v>
      </c>
      <c r="H266" s="158">
        <v>1212907</v>
      </c>
      <c r="I266" s="157">
        <v>12947</v>
      </c>
      <c r="J266" s="158">
        <v>2886</v>
      </c>
      <c r="K266" s="157">
        <v>-110487</v>
      </c>
      <c r="L266" s="158">
        <v>270580</v>
      </c>
      <c r="M266" s="157">
        <v>10746</v>
      </c>
      <c r="N266" s="158">
        <v>10371</v>
      </c>
      <c r="O266" s="157">
        <v>1996159</v>
      </c>
      <c r="P266" s="158">
        <v>2553451</v>
      </c>
      <c r="Q266" s="157">
        <v>2389294</v>
      </c>
      <c r="R266" s="158">
        <v>2115070</v>
      </c>
      <c r="S266" s="157">
        <v>-325298</v>
      </c>
      <c r="T266" s="158">
        <v>326627</v>
      </c>
      <c r="U266" s="157">
        <v>78583</v>
      </c>
      <c r="V266" s="158">
        <v>-101383</v>
      </c>
      <c r="W266" s="157">
        <v>141600.14000000001</v>
      </c>
      <c r="X266" s="158">
        <v>94276.920000000042</v>
      </c>
      <c r="Y266" s="157">
        <v>0</v>
      </c>
      <c r="Z266" s="158">
        <v>0</v>
      </c>
      <c r="AA266" s="157">
        <v>1783549.29</v>
      </c>
      <c r="AB266" s="158">
        <v>4817390.04</v>
      </c>
      <c r="AC266" s="157">
        <v>0</v>
      </c>
      <c r="AD266" s="158">
        <v>0</v>
      </c>
      <c r="AE266" s="154">
        <v>3.8885296945519012E-3</v>
      </c>
      <c r="AF266" s="156">
        <v>2.4510076874670731E-3</v>
      </c>
      <c r="AG266" s="154">
        <v>0</v>
      </c>
      <c r="AH266" s="156">
        <v>0</v>
      </c>
    </row>
    <row r="267" spans="1:34" ht="12.75" thickBot="1" x14ac:dyDescent="0.25">
      <c r="A267" s="161">
        <v>7805</v>
      </c>
      <c r="B267" s="162" t="s">
        <v>299</v>
      </c>
      <c r="C267" s="166">
        <v>0</v>
      </c>
      <c r="D267" s="167">
        <v>0</v>
      </c>
      <c r="E267" s="166">
        <v>0</v>
      </c>
      <c r="F267" s="167">
        <v>332</v>
      </c>
      <c r="G267" s="166">
        <v>332</v>
      </c>
      <c r="H267" s="167">
        <v>0</v>
      </c>
      <c r="I267" s="166">
        <v>0</v>
      </c>
      <c r="J267" s="167">
        <v>0</v>
      </c>
      <c r="K267" s="166">
        <v>332</v>
      </c>
      <c r="L267" s="167">
        <v>-332</v>
      </c>
      <c r="M267" s="166">
        <v>101</v>
      </c>
      <c r="N267" s="167">
        <v>86</v>
      </c>
      <c r="O267" s="166">
        <v>17098628</v>
      </c>
      <c r="P267" s="167">
        <v>7469392</v>
      </c>
      <c r="Q267" s="166">
        <v>14724189</v>
      </c>
      <c r="R267" s="167">
        <v>10443364</v>
      </c>
      <c r="S267" s="166">
        <v>2220530</v>
      </c>
      <c r="T267" s="167">
        <v>-2729728</v>
      </c>
      <c r="U267" s="166">
        <v>-153808</v>
      </c>
      <c r="V267" s="167">
        <v>244330</v>
      </c>
      <c r="W267" s="166">
        <v>304299.79000000097</v>
      </c>
      <c r="X267" s="167">
        <v>88933.290000000037</v>
      </c>
      <c r="Y267" s="166">
        <v>0</v>
      </c>
      <c r="Z267" s="167">
        <v>0</v>
      </c>
      <c r="AA267" s="166">
        <v>1012089.7400000002</v>
      </c>
      <c r="AB267" s="167">
        <v>19247455.25</v>
      </c>
      <c r="AC267" s="166">
        <v>0</v>
      </c>
      <c r="AD267" s="167">
        <v>0</v>
      </c>
      <c r="AE267" s="163">
        <v>2.6498806581925025E-3</v>
      </c>
      <c r="AF267" s="165">
        <v>6.8903990130257924E-4</v>
      </c>
      <c r="AG267" s="163">
        <v>0</v>
      </c>
      <c r="AH267" s="165">
        <v>0</v>
      </c>
    </row>
    <row r="268" spans="1:34" ht="12.75" thickBot="1" x14ac:dyDescent="0.25">
      <c r="A268" s="169"/>
      <c r="B268" s="170" t="s">
        <v>336</v>
      </c>
      <c r="C268" s="174">
        <v>1273867</v>
      </c>
      <c r="D268" s="175">
        <v>1010027</v>
      </c>
      <c r="E268" s="174">
        <v>134532705</v>
      </c>
      <c r="F268" s="175">
        <v>210452684</v>
      </c>
      <c r="G268" s="174">
        <v>150368274</v>
      </c>
      <c r="H268" s="175">
        <v>204840096</v>
      </c>
      <c r="I268" s="174">
        <v>6650432</v>
      </c>
      <c r="J268" s="175">
        <v>-4997198</v>
      </c>
      <c r="K268" s="174">
        <v>23759868</v>
      </c>
      <c r="L268" s="175">
        <v>-9599759</v>
      </c>
      <c r="M268" s="174">
        <v>801612</v>
      </c>
      <c r="N268" s="175">
        <v>423704</v>
      </c>
      <c r="O268" s="174">
        <v>1209831310</v>
      </c>
      <c r="P268" s="175">
        <v>544817976</v>
      </c>
      <c r="Q268" s="174">
        <v>874041348</v>
      </c>
      <c r="R268" s="175">
        <v>808267683</v>
      </c>
      <c r="S268" s="174">
        <v>161257092</v>
      </c>
      <c r="T268" s="175">
        <v>-231945446</v>
      </c>
      <c r="U268" s="174">
        <v>-173731258</v>
      </c>
      <c r="V268" s="175">
        <v>31927965</v>
      </c>
      <c r="W268" s="174">
        <v>34272208.569999956</v>
      </c>
      <c r="X268" s="175">
        <v>65919121.699999981</v>
      </c>
      <c r="Y268" s="174">
        <v>16855035.220000003</v>
      </c>
      <c r="Z268" s="175">
        <v>34354535.729999997</v>
      </c>
      <c r="AA268" s="174">
        <v>492631966.18000031</v>
      </c>
      <c r="AB268" s="175">
        <v>1029363328.6200006</v>
      </c>
      <c r="AC268" s="174">
        <v>557773</v>
      </c>
      <c r="AD268" s="175">
        <v>2765449</v>
      </c>
      <c r="AE268" s="171">
        <v>2.7403625811202991E-3</v>
      </c>
      <c r="AF268" s="173">
        <v>4.4767319639533983E-3</v>
      </c>
      <c r="AG268" s="171">
        <v>2.7959572071232929E-5</v>
      </c>
      <c r="AH268" s="173">
        <v>1.7367608471561584E-4</v>
      </c>
    </row>
    <row r="270" spans="1:34" ht="15.75" x14ac:dyDescent="0.25">
      <c r="B270" s="178" t="s">
        <v>337</v>
      </c>
      <c r="C270" s="179"/>
      <c r="D270" s="180"/>
      <c r="E270" s="180"/>
      <c r="F270" s="180"/>
      <c r="G270" s="180"/>
      <c r="H270" s="181"/>
    </row>
    <row r="271" spans="1:34" ht="26.25" customHeight="1" x14ac:dyDescent="0.2">
      <c r="B271" s="277" t="s">
        <v>338</v>
      </c>
      <c r="C271" s="277"/>
      <c r="D271" s="277"/>
      <c r="E271" s="277"/>
      <c r="F271" s="277"/>
      <c r="G271" s="277"/>
      <c r="H271" s="277"/>
    </row>
    <row r="272" spans="1:34" ht="15.75" x14ac:dyDescent="0.25">
      <c r="B272" s="178" t="s">
        <v>339</v>
      </c>
      <c r="C272" s="179"/>
      <c r="D272" s="180"/>
      <c r="E272" s="180"/>
      <c r="F272" s="180"/>
      <c r="G272" s="180"/>
      <c r="H272" s="181"/>
    </row>
  </sheetData>
  <mergeCells count="1">
    <mergeCell ref="B271:H271"/>
  </mergeCells>
  <conditionalFormatting sqref="C3:AH268">
    <cfRule type="expression" dxfId="10" priority="3">
      <formula>ROUND(C3,4)=0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 codeName="Sheet13"/>
  <dimension ref="A1:BB33"/>
  <sheetViews>
    <sheetView showGridLines="0" zoomScaleNormal="100" workbookViewId="0">
      <pane xSplit="2" ySplit="4" topLeftCell="C5" activePane="bottomRight" state="frozen"/>
      <selection sqref="A1:XFD2"/>
      <selection pane="topRight" sqref="A1:XFD2"/>
      <selection pane="bottomLeft" sqref="A1:XFD2"/>
      <selection pane="bottomRight" activeCell="B23" sqref="B23"/>
    </sheetView>
  </sheetViews>
  <sheetFormatPr defaultColWidth="25.7109375" defaultRowHeight="11.25" x14ac:dyDescent="0.2"/>
  <cols>
    <col min="1" max="1" width="6.5703125" style="137" customWidth="1"/>
    <col min="2" max="2" width="24.140625" style="137" customWidth="1"/>
    <col min="3" max="8" width="10.7109375" style="137" customWidth="1"/>
    <col min="9" max="10" width="18.7109375" style="137" customWidth="1"/>
    <col min="11" max="12" width="10.7109375" style="137" customWidth="1"/>
    <col min="13" max="14" width="18.7109375" style="137" customWidth="1"/>
    <col min="15" max="16" width="10.7109375" style="182" customWidth="1"/>
    <col min="17" max="18" width="10.7109375" style="183" customWidth="1"/>
    <col min="19" max="42" width="10.7109375" style="137" customWidth="1"/>
    <col min="43" max="44" width="17.28515625" style="137" customWidth="1"/>
    <col min="45" max="45" width="10.7109375" style="137" customWidth="1"/>
    <col min="46" max="47" width="17.28515625" style="137" customWidth="1"/>
    <col min="48" max="48" width="10.7109375" style="137" customWidth="1"/>
    <col min="49" max="50" width="17.28515625" style="137" customWidth="1"/>
    <col min="51" max="54" width="10.7109375" style="137" customWidth="1"/>
    <col min="55" max="16384" width="25.7109375" style="137"/>
  </cols>
  <sheetData>
    <row r="1" spans="1:54" ht="12" hidden="1" thickBot="1" x14ac:dyDescent="0.25">
      <c r="C1" s="137" t="s">
        <v>355</v>
      </c>
      <c r="D1" s="137" t="s">
        <v>357</v>
      </c>
      <c r="E1" s="137" t="s">
        <v>355</v>
      </c>
      <c r="F1" s="137" t="s">
        <v>357</v>
      </c>
      <c r="G1" s="137" t="s">
        <v>355</v>
      </c>
      <c r="H1" s="137" t="s">
        <v>357</v>
      </c>
      <c r="I1" s="137" t="s">
        <v>355</v>
      </c>
      <c r="J1" s="137" t="s">
        <v>357</v>
      </c>
      <c r="K1" s="137" t="s">
        <v>355</v>
      </c>
      <c r="L1" s="137" t="s">
        <v>357</v>
      </c>
      <c r="M1" s="137" t="s">
        <v>355</v>
      </c>
      <c r="N1" s="137" t="s">
        <v>357</v>
      </c>
      <c r="O1" s="137" t="s">
        <v>355</v>
      </c>
      <c r="P1" s="137" t="s">
        <v>357</v>
      </c>
      <c r="Q1" s="137" t="s">
        <v>355</v>
      </c>
      <c r="R1" s="137" t="s">
        <v>357</v>
      </c>
      <c r="S1" s="137" t="s">
        <v>355</v>
      </c>
      <c r="T1" s="137" t="s">
        <v>357</v>
      </c>
      <c r="U1" s="137" t="s">
        <v>355</v>
      </c>
      <c r="V1" s="137" t="s">
        <v>357</v>
      </c>
      <c r="W1" s="137" t="s">
        <v>355</v>
      </c>
      <c r="X1" s="137" t="s">
        <v>357</v>
      </c>
      <c r="Y1" s="137" t="s">
        <v>355</v>
      </c>
      <c r="Z1" s="137" t="s">
        <v>357</v>
      </c>
      <c r="AB1" s="137" t="s">
        <v>355</v>
      </c>
      <c r="AC1" s="137" t="s">
        <v>357</v>
      </c>
      <c r="AE1" s="137" t="s">
        <v>355</v>
      </c>
      <c r="AF1" s="137" t="s">
        <v>357</v>
      </c>
      <c r="AH1" s="137" t="s">
        <v>355</v>
      </c>
      <c r="AI1" s="137" t="s">
        <v>357</v>
      </c>
      <c r="AK1" s="137" t="s">
        <v>355</v>
      </c>
      <c r="AL1" s="137" t="s">
        <v>357</v>
      </c>
      <c r="AN1" s="137" t="s">
        <v>355</v>
      </c>
      <c r="AO1" s="137" t="s">
        <v>357</v>
      </c>
      <c r="AQ1" s="137" t="s">
        <v>355</v>
      </c>
      <c r="AR1" s="137" t="s">
        <v>357</v>
      </c>
      <c r="AT1" s="137" t="s">
        <v>355</v>
      </c>
      <c r="AU1" s="137" t="s">
        <v>357</v>
      </c>
      <c r="AW1" s="137" t="s">
        <v>355</v>
      </c>
      <c r="AX1" s="137" t="s">
        <v>357</v>
      </c>
      <c r="AZ1" s="137" t="s">
        <v>356</v>
      </c>
      <c r="BA1" s="137" t="s">
        <v>356</v>
      </c>
      <c r="BB1" s="137" t="s">
        <v>356</v>
      </c>
    </row>
    <row r="2" spans="1:54" ht="12" hidden="1" thickBot="1" x14ac:dyDescent="0.25">
      <c r="C2" s="137" t="s">
        <v>358</v>
      </c>
      <c r="D2" s="137" t="s">
        <v>358</v>
      </c>
      <c r="E2" s="137" t="s">
        <v>359</v>
      </c>
      <c r="F2" s="137" t="s">
        <v>359</v>
      </c>
      <c r="G2" s="137" t="s">
        <v>360</v>
      </c>
      <c r="H2" s="137" t="s">
        <v>360</v>
      </c>
      <c r="I2" s="137" t="s">
        <v>361</v>
      </c>
      <c r="J2" s="137" t="s">
        <v>361</v>
      </c>
      <c r="K2" s="137" t="s">
        <v>362</v>
      </c>
      <c r="L2" s="137" t="s">
        <v>362</v>
      </c>
      <c r="M2" s="137" t="s">
        <v>363</v>
      </c>
      <c r="N2" s="137" t="s">
        <v>363</v>
      </c>
      <c r="O2" s="182" t="s">
        <v>364</v>
      </c>
      <c r="P2" s="182" t="s">
        <v>364</v>
      </c>
      <c r="Q2" s="183" t="s">
        <v>365</v>
      </c>
      <c r="R2" s="183" t="s">
        <v>365</v>
      </c>
      <c r="S2" s="137" t="s">
        <v>366</v>
      </c>
      <c r="T2" s="137" t="s">
        <v>366</v>
      </c>
      <c r="U2" s="137" t="s">
        <v>367</v>
      </c>
      <c r="V2" s="137" t="s">
        <v>367</v>
      </c>
      <c r="W2" s="137" t="s">
        <v>368</v>
      </c>
      <c r="X2" s="137" t="s">
        <v>368</v>
      </c>
      <c r="Y2" s="137" t="s">
        <v>369</v>
      </c>
      <c r="Z2" s="137" t="s">
        <v>369</v>
      </c>
      <c r="AB2" s="137" t="s">
        <v>370</v>
      </c>
      <c r="AC2" s="137" t="s">
        <v>370</v>
      </c>
      <c r="AE2" s="137" t="s">
        <v>371</v>
      </c>
      <c r="AF2" s="137" t="s">
        <v>371</v>
      </c>
      <c r="AH2" s="137" t="s">
        <v>372</v>
      </c>
      <c r="AI2" s="137" t="s">
        <v>372</v>
      </c>
      <c r="AK2" s="137" t="s">
        <v>373</v>
      </c>
      <c r="AL2" s="137" t="s">
        <v>373</v>
      </c>
      <c r="AN2" s="137" t="s">
        <v>374</v>
      </c>
      <c r="AO2" s="137" t="s">
        <v>374</v>
      </c>
      <c r="AQ2" s="137" t="s">
        <v>375</v>
      </c>
      <c r="AR2" s="137" t="s">
        <v>375</v>
      </c>
      <c r="AT2" s="137" t="s">
        <v>376</v>
      </c>
      <c r="AU2" s="137" t="s">
        <v>376</v>
      </c>
      <c r="AW2" s="137" t="s">
        <v>377</v>
      </c>
      <c r="AX2" s="137" t="s">
        <v>377</v>
      </c>
      <c r="AZ2" s="137" t="s">
        <v>378</v>
      </c>
      <c r="BA2" s="137" t="s">
        <v>379</v>
      </c>
      <c r="BB2" s="137" t="s">
        <v>380</v>
      </c>
    </row>
    <row r="3" spans="1:54" s="200" customFormat="1" ht="82.5" customHeight="1" thickBot="1" x14ac:dyDescent="0.3">
      <c r="A3" s="132" t="s">
        <v>316</v>
      </c>
      <c r="B3" s="132"/>
      <c r="C3" s="190" t="s">
        <v>317</v>
      </c>
      <c r="D3" s="135"/>
      <c r="E3" s="190" t="s">
        <v>318</v>
      </c>
      <c r="F3" s="135"/>
      <c r="G3" s="190" t="s">
        <v>319</v>
      </c>
      <c r="H3" s="135"/>
      <c r="I3" s="190" t="s">
        <v>388</v>
      </c>
      <c r="J3" s="135" t="s">
        <v>388</v>
      </c>
      <c r="K3" s="190" t="s">
        <v>320</v>
      </c>
      <c r="L3" s="135"/>
      <c r="M3" s="190" t="s">
        <v>389</v>
      </c>
      <c r="N3" s="135" t="s">
        <v>389</v>
      </c>
      <c r="O3" s="191" t="s">
        <v>321</v>
      </c>
      <c r="P3" s="134"/>
      <c r="Q3" s="190" t="s">
        <v>322</v>
      </c>
      <c r="R3" s="135"/>
      <c r="S3" s="190" t="s">
        <v>323</v>
      </c>
      <c r="T3" s="135"/>
      <c r="U3" s="133" t="s">
        <v>324</v>
      </c>
      <c r="V3" s="135"/>
      <c r="W3" s="133" t="s">
        <v>325</v>
      </c>
      <c r="X3" s="135"/>
      <c r="Y3" s="192" t="s">
        <v>326</v>
      </c>
      <c r="Z3" s="193"/>
      <c r="AA3" s="194"/>
      <c r="AB3" s="195" t="s">
        <v>327</v>
      </c>
      <c r="AC3" s="195"/>
      <c r="AD3" s="195"/>
      <c r="AE3" s="192" t="s">
        <v>328</v>
      </c>
      <c r="AF3" s="193"/>
      <c r="AG3" s="193"/>
      <c r="AH3" s="192" t="s">
        <v>329</v>
      </c>
      <c r="AI3" s="193"/>
      <c r="AJ3" s="193"/>
      <c r="AK3" s="192" t="s">
        <v>330</v>
      </c>
      <c r="AL3" s="193"/>
      <c r="AM3" s="193"/>
      <c r="AN3" s="192" t="s">
        <v>331</v>
      </c>
      <c r="AO3" s="193"/>
      <c r="AP3" s="193"/>
      <c r="AQ3" s="133" t="s">
        <v>390</v>
      </c>
      <c r="AR3" s="196" t="s">
        <v>390</v>
      </c>
      <c r="AS3" s="134"/>
      <c r="AT3" s="133" t="s">
        <v>391</v>
      </c>
      <c r="AU3" s="196" t="s">
        <v>391</v>
      </c>
      <c r="AV3" s="134"/>
      <c r="AW3" s="133" t="s">
        <v>392</v>
      </c>
      <c r="AX3" s="196" t="s">
        <v>392</v>
      </c>
      <c r="AY3" s="134"/>
      <c r="AZ3" s="197" t="s">
        <v>332</v>
      </c>
      <c r="BA3" s="198" t="s">
        <v>333</v>
      </c>
      <c r="BB3" s="199" t="s">
        <v>334</v>
      </c>
    </row>
    <row r="4" spans="1:54" s="143" customFormat="1" ht="48" customHeight="1" thickBot="1" x14ac:dyDescent="0.3">
      <c r="A4" s="201"/>
      <c r="B4" s="202" t="s">
        <v>381</v>
      </c>
      <c r="C4" s="140" t="s">
        <v>393</v>
      </c>
      <c r="D4" s="142" t="s">
        <v>394</v>
      </c>
      <c r="E4" s="140" t="s">
        <v>393</v>
      </c>
      <c r="F4" s="142" t="s">
        <v>394</v>
      </c>
      <c r="G4" s="140" t="s">
        <v>393</v>
      </c>
      <c r="H4" s="142" t="s">
        <v>394</v>
      </c>
      <c r="I4" s="140" t="s">
        <v>393</v>
      </c>
      <c r="J4" s="142" t="s">
        <v>394</v>
      </c>
      <c r="K4" s="140" t="s">
        <v>393</v>
      </c>
      <c r="L4" s="142" t="s">
        <v>394</v>
      </c>
      <c r="M4" s="140" t="s">
        <v>393</v>
      </c>
      <c r="N4" s="142" t="s">
        <v>394</v>
      </c>
      <c r="O4" s="141" t="s">
        <v>393</v>
      </c>
      <c r="P4" s="203" t="s">
        <v>394</v>
      </c>
      <c r="Q4" s="140" t="s">
        <v>393</v>
      </c>
      <c r="R4" s="142" t="s">
        <v>394</v>
      </c>
      <c r="S4" s="140" t="s">
        <v>393</v>
      </c>
      <c r="T4" s="142" t="s">
        <v>394</v>
      </c>
      <c r="U4" s="140" t="s">
        <v>393</v>
      </c>
      <c r="V4" s="142" t="s">
        <v>394</v>
      </c>
      <c r="W4" s="140" t="s">
        <v>393</v>
      </c>
      <c r="X4" s="142" t="s">
        <v>394</v>
      </c>
      <c r="Y4" s="140" t="s">
        <v>393</v>
      </c>
      <c r="Z4" s="204" t="s">
        <v>394</v>
      </c>
      <c r="AA4" s="205" t="s">
        <v>397</v>
      </c>
      <c r="AB4" s="140" t="s">
        <v>393</v>
      </c>
      <c r="AC4" s="204" t="s">
        <v>394</v>
      </c>
      <c r="AD4" s="206" t="s">
        <v>397</v>
      </c>
      <c r="AE4" s="140" t="s">
        <v>393</v>
      </c>
      <c r="AF4" s="204" t="s">
        <v>394</v>
      </c>
      <c r="AG4" s="206" t="s">
        <v>397</v>
      </c>
      <c r="AH4" s="140" t="s">
        <v>393</v>
      </c>
      <c r="AI4" s="204" t="s">
        <v>394</v>
      </c>
      <c r="AJ4" s="206" t="s">
        <v>397</v>
      </c>
      <c r="AK4" s="140" t="s">
        <v>393</v>
      </c>
      <c r="AL4" s="204" t="s">
        <v>394</v>
      </c>
      <c r="AM4" s="206" t="s">
        <v>397</v>
      </c>
      <c r="AN4" s="140" t="s">
        <v>393</v>
      </c>
      <c r="AO4" s="204" t="s">
        <v>394</v>
      </c>
      <c r="AP4" s="206" t="s">
        <v>397</v>
      </c>
      <c r="AQ4" s="140" t="s">
        <v>393</v>
      </c>
      <c r="AR4" s="204" t="s">
        <v>394</v>
      </c>
      <c r="AS4" s="206" t="s">
        <v>397</v>
      </c>
      <c r="AT4" s="140" t="s">
        <v>393</v>
      </c>
      <c r="AU4" s="204" t="s">
        <v>394</v>
      </c>
      <c r="AV4" s="206" t="s">
        <v>397</v>
      </c>
      <c r="AW4" s="140" t="s">
        <v>393</v>
      </c>
      <c r="AX4" s="204" t="s">
        <v>394</v>
      </c>
      <c r="AY4" s="206" t="s">
        <v>397</v>
      </c>
      <c r="AZ4" s="207" t="s">
        <v>394</v>
      </c>
      <c r="BA4" s="208" t="s">
        <v>394</v>
      </c>
      <c r="BB4" s="209" t="s">
        <v>394</v>
      </c>
    </row>
    <row r="5" spans="1:54" ht="13.5" customHeight="1" x14ac:dyDescent="0.2">
      <c r="A5" s="210">
        <v>5112</v>
      </c>
      <c r="B5" s="211" t="s">
        <v>49</v>
      </c>
      <c r="C5" s="154">
        <v>6.5229536143456737E-2</v>
      </c>
      <c r="D5" s="156">
        <v>9.3891262607435078E-2</v>
      </c>
      <c r="E5" s="154">
        <v>0.12682351288157706</v>
      </c>
      <c r="F5" s="156">
        <v>0.15500004028879005</v>
      </c>
      <c r="G5" s="154">
        <v>-4.0244320658070143E-4</v>
      </c>
      <c r="H5" s="156">
        <v>-0.36806983837223989</v>
      </c>
      <c r="I5" s="154">
        <v>0.13446870587605481</v>
      </c>
      <c r="J5" s="156">
        <v>0</v>
      </c>
      <c r="K5" s="212">
        <v>67</v>
      </c>
      <c r="L5" s="214">
        <v>0</v>
      </c>
      <c r="M5" s="154">
        <v>1.6601118420025385</v>
      </c>
      <c r="N5" s="156">
        <v>1.5694963367351562</v>
      </c>
      <c r="O5" s="213">
        <v>124.36111111111111</v>
      </c>
      <c r="P5" s="215">
        <v>121.32432432432432</v>
      </c>
      <c r="Q5" s="154">
        <v>0.42095055503947593</v>
      </c>
      <c r="R5" s="156">
        <v>0.48476178821221599</v>
      </c>
      <c r="S5" s="154">
        <v>0.32822887216218249</v>
      </c>
      <c r="T5" s="156">
        <v>0.23259821387923921</v>
      </c>
      <c r="U5" s="212">
        <v>1088555</v>
      </c>
      <c r="V5" s="214">
        <v>1231112</v>
      </c>
      <c r="W5" s="212">
        <v>16182903</v>
      </c>
      <c r="X5" s="214">
        <v>17748408</v>
      </c>
      <c r="Y5" s="212">
        <v>-6716</v>
      </c>
      <c r="Z5" s="216">
        <v>-4826170</v>
      </c>
      <c r="AA5" s="217">
        <v>-4819454</v>
      </c>
      <c r="AB5" s="218">
        <v>5433218</v>
      </c>
      <c r="AC5" s="218">
        <v>511845</v>
      </c>
      <c r="AD5" s="218">
        <v>-4921373</v>
      </c>
      <c r="AE5" s="212">
        <v>301419</v>
      </c>
      <c r="AF5" s="216">
        <v>0</v>
      </c>
      <c r="AG5" s="219">
        <v>-301419</v>
      </c>
      <c r="AH5" s="212">
        <v>3721232</v>
      </c>
      <c r="AI5" s="216">
        <v>3742012</v>
      </c>
      <c r="AJ5" s="220">
        <v>20780</v>
      </c>
      <c r="AK5" s="212">
        <v>4465458.67</v>
      </c>
      <c r="AL5" s="216">
        <v>4319588.28</v>
      </c>
      <c r="AM5" s="220">
        <v>-145870.38999999966</v>
      </c>
      <c r="AN5" s="212">
        <v>15022779.25</v>
      </c>
      <c r="AO5" s="216">
        <v>13548910.149999999</v>
      </c>
      <c r="AP5" s="220">
        <v>-1473869.1000000015</v>
      </c>
      <c r="AQ5" s="221">
        <v>0.2299483596978861</v>
      </c>
      <c r="AR5" s="223">
        <v>0.21083648741904062</v>
      </c>
      <c r="AS5" s="224">
        <v>-1.9111872278845476E-2</v>
      </c>
      <c r="AT5" s="221">
        <v>0.44609272600892014</v>
      </c>
      <c r="AU5" s="223">
        <v>0.33652139424442151</v>
      </c>
      <c r="AV5" s="224">
        <v>-0.10957133176449863</v>
      </c>
      <c r="AW5" s="221">
        <v>1.5007534596357019</v>
      </c>
      <c r="AX5" s="223">
        <v>1.0555399817341835</v>
      </c>
      <c r="AY5" s="224">
        <v>-0.44521347790151844</v>
      </c>
      <c r="AZ5" s="225">
        <v>0.77259999999999995</v>
      </c>
      <c r="BA5" s="222">
        <v>0.79547999999999996</v>
      </c>
      <c r="BB5" s="226">
        <v>0.78400000000000003</v>
      </c>
    </row>
    <row r="6" spans="1:54" ht="13.5" customHeight="1" x14ac:dyDescent="0.2">
      <c r="A6" s="210">
        <v>5601</v>
      </c>
      <c r="B6" s="211" t="s">
        <v>99</v>
      </c>
      <c r="C6" s="154">
        <v>9.9442138380508541E-2</v>
      </c>
      <c r="D6" s="156">
        <v>8.6193971844134992E-2</v>
      </c>
      <c r="E6" s="154">
        <v>0.24613606313005837</v>
      </c>
      <c r="F6" s="156">
        <v>0.43720770742013121</v>
      </c>
      <c r="G6" s="154">
        <v>-0.14206153439420779</v>
      </c>
      <c r="H6" s="156">
        <v>0.11469930245158079</v>
      </c>
      <c r="I6" s="154">
        <v>0.34136125012843849</v>
      </c>
      <c r="J6" s="156">
        <v>0.33002553642905574</v>
      </c>
      <c r="K6" s="212">
        <v>154</v>
      </c>
      <c r="L6" s="214">
        <v>152</v>
      </c>
      <c r="M6" s="154">
        <v>0.70169086338008657</v>
      </c>
      <c r="N6" s="156">
        <v>0.63943783401503385</v>
      </c>
      <c r="O6" s="213">
        <v>113.20481927710843</v>
      </c>
      <c r="P6" s="215">
        <v>119.5</v>
      </c>
      <c r="Q6" s="154">
        <v>0.59723363573611132</v>
      </c>
      <c r="R6" s="156">
        <v>0.73300639840952775</v>
      </c>
      <c r="S6" s="154">
        <v>0.23312457701511413</v>
      </c>
      <c r="T6" s="156">
        <v>0.10164765739705683</v>
      </c>
      <c r="U6" s="212">
        <v>1169038</v>
      </c>
      <c r="V6" s="214">
        <v>1234212</v>
      </c>
      <c r="W6" s="212">
        <v>13627851</v>
      </c>
      <c r="X6" s="214">
        <v>12809277</v>
      </c>
      <c r="Y6" s="212">
        <v>-1670070</v>
      </c>
      <c r="Z6" s="216">
        <v>1642380</v>
      </c>
      <c r="AA6" s="217">
        <v>3312450</v>
      </c>
      <c r="AB6" s="218">
        <v>1960088</v>
      </c>
      <c r="AC6" s="218">
        <v>3602468</v>
      </c>
      <c r="AD6" s="218">
        <v>1642380</v>
      </c>
      <c r="AE6" s="212">
        <v>724245</v>
      </c>
      <c r="AF6" s="216">
        <v>724245</v>
      </c>
      <c r="AG6" s="219">
        <v>0</v>
      </c>
      <c r="AH6" s="212">
        <v>1488734</v>
      </c>
      <c r="AI6" s="216">
        <v>1403254</v>
      </c>
      <c r="AJ6" s="220">
        <v>-85480</v>
      </c>
      <c r="AK6" s="212">
        <v>283895.41000000027</v>
      </c>
      <c r="AL6" s="216">
        <v>120929.88999999978</v>
      </c>
      <c r="AM6" s="220">
        <v>-162965.52000000048</v>
      </c>
      <c r="AN6" s="212">
        <v>2028166.77</v>
      </c>
      <c r="AO6" s="216">
        <v>9504784.4900000002</v>
      </c>
      <c r="AP6" s="220">
        <v>7476617.7200000007</v>
      </c>
      <c r="AQ6" s="221">
        <v>0.10924202209137743</v>
      </c>
      <c r="AR6" s="223">
        <v>0.10954982080565515</v>
      </c>
      <c r="AS6" s="224">
        <v>3.0779871427771832E-4</v>
      </c>
      <c r="AT6" s="221">
        <v>3.1005977293297179E-2</v>
      </c>
      <c r="AU6" s="223">
        <v>1.1300164909858352E-2</v>
      </c>
      <c r="AV6" s="224">
        <v>-1.9705812383438825E-2</v>
      </c>
      <c r="AW6" s="221">
        <v>0.22150866341107742</v>
      </c>
      <c r="AX6" s="223">
        <v>0.88816447422274269</v>
      </c>
      <c r="AY6" s="224">
        <v>0.66665581081166525</v>
      </c>
      <c r="AZ6" s="225">
        <v>0.64607000000000003</v>
      </c>
      <c r="BA6" s="222">
        <v>0.51644999999999996</v>
      </c>
      <c r="BB6" s="226">
        <v>0.58130000000000004</v>
      </c>
    </row>
    <row r="7" spans="1:54" ht="13.5" customHeight="1" x14ac:dyDescent="0.2">
      <c r="A7" s="210">
        <v>5609</v>
      </c>
      <c r="B7" s="211" t="s">
        <v>105</v>
      </c>
      <c r="C7" s="154">
        <v>0.25285547280279697</v>
      </c>
      <c r="D7" s="156">
        <v>0.15046119339316094</v>
      </c>
      <c r="E7" s="154">
        <v>0.69781391124272152</v>
      </c>
      <c r="F7" s="156">
        <v>0.33035485847072149</v>
      </c>
      <c r="G7" s="154">
        <v>3.8568621611580305E-2</v>
      </c>
      <c r="H7" s="156">
        <v>3.7812606206776081E-2</v>
      </c>
      <c r="I7" s="154">
        <v>0.23998417571752523</v>
      </c>
      <c r="J7" s="156">
        <v>0.24968109321381415</v>
      </c>
      <c r="K7" s="212">
        <v>173</v>
      </c>
      <c r="L7" s="214">
        <v>158</v>
      </c>
      <c r="M7" s="154">
        <v>3.4194847976238243E-2</v>
      </c>
      <c r="N7" s="156">
        <v>8.7400436326633898E-3</v>
      </c>
      <c r="O7" s="213">
        <v>230.97222222222223</v>
      </c>
      <c r="P7" s="215">
        <v>226.83333333333334</v>
      </c>
      <c r="Q7" s="154">
        <v>0.61970459810878509</v>
      </c>
      <c r="R7" s="156">
        <v>0.53211115486196292</v>
      </c>
      <c r="S7" s="154">
        <v>0.18561137750457452</v>
      </c>
      <c r="T7" s="156">
        <v>0.31176802857717506</v>
      </c>
      <c r="U7" s="212">
        <v>4829404</v>
      </c>
      <c r="V7" s="214">
        <v>4007881</v>
      </c>
      <c r="W7" s="212">
        <v>18308549</v>
      </c>
      <c r="X7" s="214">
        <v>26475675</v>
      </c>
      <c r="Y7" s="212">
        <v>736640</v>
      </c>
      <c r="Z7" s="216">
        <v>1007226</v>
      </c>
      <c r="AA7" s="217">
        <v>270586</v>
      </c>
      <c r="AB7" s="218">
        <v>4013774</v>
      </c>
      <c r="AC7" s="218">
        <v>3721543</v>
      </c>
      <c r="AD7" s="218">
        <v>-292231</v>
      </c>
      <c r="AE7" s="212">
        <v>1440122</v>
      </c>
      <c r="AF7" s="216">
        <v>1293593</v>
      </c>
      <c r="AG7" s="219">
        <v>-146529</v>
      </c>
      <c r="AH7" s="212">
        <v>205200</v>
      </c>
      <c r="AI7" s="216">
        <v>45282</v>
      </c>
      <c r="AJ7" s="220">
        <v>-159918</v>
      </c>
      <c r="AK7" s="212">
        <v>559958.2000000003</v>
      </c>
      <c r="AL7" s="216">
        <v>556400.08000000054</v>
      </c>
      <c r="AM7" s="220">
        <v>-3558.1199999997625</v>
      </c>
      <c r="AN7" s="212">
        <v>6525420.2200000007</v>
      </c>
      <c r="AO7" s="216">
        <v>13297817.75</v>
      </c>
      <c r="AP7" s="220">
        <v>6772397.5299999993</v>
      </c>
      <c r="AQ7" s="221">
        <v>1.1207878898540786E-2</v>
      </c>
      <c r="AR7" s="223">
        <v>1.7103246659433613E-3</v>
      </c>
      <c r="AS7" s="224">
        <v>-9.4975542325974258E-3</v>
      </c>
      <c r="AT7" s="221">
        <v>3.7922121651870089E-2</v>
      </c>
      <c r="AU7" s="223">
        <v>2.9902200364168362E-2</v>
      </c>
      <c r="AV7" s="224">
        <v>-8.0199212877017263E-3</v>
      </c>
      <c r="AW7" s="221">
        <v>0.44192187811949668</v>
      </c>
      <c r="AX7" s="223">
        <v>0.71465484111126321</v>
      </c>
      <c r="AY7" s="224">
        <v>0.27273296299176653</v>
      </c>
      <c r="AZ7" s="225">
        <v>0.67969000000000002</v>
      </c>
      <c r="BA7" s="222">
        <v>0.65222999999999998</v>
      </c>
      <c r="BB7" s="226">
        <v>0.66600000000000004</v>
      </c>
    </row>
    <row r="8" spans="1:54" ht="13.5" customHeight="1" x14ac:dyDescent="0.2">
      <c r="A8" s="210">
        <v>6102</v>
      </c>
      <c r="B8" s="211" t="s">
        <v>138</v>
      </c>
      <c r="C8" s="154">
        <v>0.24171778859228607</v>
      </c>
      <c r="D8" s="156">
        <v>0.20575753820474349</v>
      </c>
      <c r="E8" s="154">
        <v>0.45632433796577104</v>
      </c>
      <c r="F8" s="156">
        <v>0.46986298576542013</v>
      </c>
      <c r="G8" s="154">
        <v>-4.6774729581987869E-2</v>
      </c>
      <c r="H8" s="156">
        <v>2.3689369360108251E-3</v>
      </c>
      <c r="I8" s="154">
        <v>0</v>
      </c>
      <c r="J8" s="156">
        <v>0</v>
      </c>
      <c r="K8" s="212">
        <v>0</v>
      </c>
      <c r="L8" s="214">
        <v>0</v>
      </c>
      <c r="M8" s="154">
        <v>0</v>
      </c>
      <c r="N8" s="156">
        <v>0</v>
      </c>
      <c r="O8" s="213">
        <v>126.5</v>
      </c>
      <c r="P8" s="215">
        <v>110.96875</v>
      </c>
      <c r="Q8" s="154">
        <v>0.55002301610475879</v>
      </c>
      <c r="R8" s="156">
        <v>0.63518739652794454</v>
      </c>
      <c r="S8" s="154">
        <v>0.22630415574920862</v>
      </c>
      <c r="T8" s="156">
        <v>0.16483618180686627</v>
      </c>
      <c r="U8" s="212">
        <v>2209595</v>
      </c>
      <c r="V8" s="214">
        <v>1889476</v>
      </c>
      <c r="W8" s="212">
        <v>9517249</v>
      </c>
      <c r="X8" s="214">
        <v>9271223</v>
      </c>
      <c r="Y8" s="212">
        <v>-427578</v>
      </c>
      <c r="Z8" s="216">
        <v>21754</v>
      </c>
      <c r="AA8" s="217">
        <v>449332</v>
      </c>
      <c r="AB8" s="218">
        <v>1695411</v>
      </c>
      <c r="AC8" s="218">
        <v>1684141</v>
      </c>
      <c r="AD8" s="218">
        <v>-11270</v>
      </c>
      <c r="AE8" s="212">
        <v>0</v>
      </c>
      <c r="AF8" s="216">
        <v>0</v>
      </c>
      <c r="AG8" s="219">
        <v>0</v>
      </c>
      <c r="AH8" s="212">
        <v>0</v>
      </c>
      <c r="AI8" s="216">
        <v>0</v>
      </c>
      <c r="AJ8" s="220">
        <v>0</v>
      </c>
      <c r="AK8" s="212">
        <v>38626.770000000004</v>
      </c>
      <c r="AL8" s="216">
        <v>5465621.7400000002</v>
      </c>
      <c r="AM8" s="220">
        <v>5426994.9700000007</v>
      </c>
      <c r="AN8" s="212">
        <v>1118325.77</v>
      </c>
      <c r="AO8" s="216">
        <v>6929951.2800000003</v>
      </c>
      <c r="AP8" s="220">
        <v>5811625.5099999998</v>
      </c>
      <c r="AQ8" s="221">
        <v>0</v>
      </c>
      <c r="AR8" s="223">
        <v>0</v>
      </c>
      <c r="AS8" s="224">
        <v>0</v>
      </c>
      <c r="AT8" s="221">
        <v>5.5185680411474159E-3</v>
      </c>
      <c r="AU8" s="223">
        <v>0.67725900779025672</v>
      </c>
      <c r="AV8" s="224">
        <v>0.67174043974910935</v>
      </c>
      <c r="AW8" s="221">
        <v>0.15977408553481368</v>
      </c>
      <c r="AX8" s="223">
        <v>0.85870778315654528</v>
      </c>
      <c r="AY8" s="224">
        <v>0.69893369762173163</v>
      </c>
      <c r="AZ8" s="225">
        <v>0.68237999999999999</v>
      </c>
      <c r="BA8" s="222">
        <v>0.61463999999999996</v>
      </c>
      <c r="BB8" s="226">
        <v>0.64849999999999997</v>
      </c>
    </row>
    <row r="9" spans="1:54" x14ac:dyDescent="0.2">
      <c r="A9" s="210">
        <v>6302</v>
      </c>
      <c r="B9" s="211" t="s">
        <v>157</v>
      </c>
      <c r="C9" s="154">
        <v>0.14685674537857421</v>
      </c>
      <c r="D9" s="156">
        <v>0.12110448199323784</v>
      </c>
      <c r="E9" s="154">
        <v>0.30975909303005</v>
      </c>
      <c r="F9" s="156">
        <v>0.23416909713281089</v>
      </c>
      <c r="G9" s="154">
        <v>8.307812743740578E-2</v>
      </c>
      <c r="H9" s="156">
        <v>3.4159934722012252E-2</v>
      </c>
      <c r="I9" s="154">
        <v>0.75791574128809214</v>
      </c>
      <c r="J9" s="156">
        <v>0.93985424149011343</v>
      </c>
      <c r="K9" s="212">
        <v>371</v>
      </c>
      <c r="L9" s="214">
        <v>389</v>
      </c>
      <c r="M9" s="154">
        <v>1.1423801767150228</v>
      </c>
      <c r="N9" s="156">
        <v>0.88524173596700406</v>
      </c>
      <c r="O9" s="213">
        <v>180.69230769230768</v>
      </c>
      <c r="P9" s="215">
        <v>180.12820512820514</v>
      </c>
      <c r="Q9" s="154">
        <v>0.49543535105033426</v>
      </c>
      <c r="R9" s="156">
        <v>0.54300558128451204</v>
      </c>
      <c r="S9" s="154">
        <v>0.26169332902764048</v>
      </c>
      <c r="T9" s="156">
        <v>0.22146238788805842</v>
      </c>
      <c r="U9" s="212">
        <v>2460887</v>
      </c>
      <c r="V9" s="214">
        <v>1923335</v>
      </c>
      <c r="W9" s="212">
        <v>14483151</v>
      </c>
      <c r="X9" s="214">
        <v>16005097</v>
      </c>
      <c r="Y9" s="212">
        <v>1392145</v>
      </c>
      <c r="Z9" s="216">
        <v>542515</v>
      </c>
      <c r="AA9" s="217">
        <v>-849630</v>
      </c>
      <c r="AB9" s="218">
        <v>1609010</v>
      </c>
      <c r="AC9" s="218">
        <v>1066422</v>
      </c>
      <c r="AD9" s="218">
        <v>-542588</v>
      </c>
      <c r="AE9" s="212">
        <v>2611692</v>
      </c>
      <c r="AF9" s="216">
        <v>2733317</v>
      </c>
      <c r="AG9" s="219">
        <v>121625</v>
      </c>
      <c r="AH9" s="212">
        <v>3936513</v>
      </c>
      <c r="AI9" s="216">
        <v>2574491</v>
      </c>
      <c r="AJ9" s="220">
        <v>-1362022</v>
      </c>
      <c r="AK9" s="212">
        <v>3843998.9500000007</v>
      </c>
      <c r="AL9" s="216">
        <v>4406554.0200000005</v>
      </c>
      <c r="AM9" s="220">
        <v>562555.06999999983</v>
      </c>
      <c r="AN9" s="212">
        <v>9818478.9100000001</v>
      </c>
      <c r="AO9" s="216">
        <v>9333645.1300000008</v>
      </c>
      <c r="AP9" s="220">
        <v>-484833.77999999933</v>
      </c>
      <c r="AQ9" s="221">
        <v>0.27179948617534955</v>
      </c>
      <c r="AR9" s="223">
        <v>0.16085444530576729</v>
      </c>
      <c r="AS9" s="224">
        <v>-0.11094504086958226</v>
      </c>
      <c r="AT9" s="221">
        <v>0.28909090286934086</v>
      </c>
      <c r="AU9" s="223">
        <v>0.29573515206600337</v>
      </c>
      <c r="AV9" s="224">
        <v>6.6442491966625106E-3</v>
      </c>
      <c r="AW9" s="221">
        <v>0.73840627164986117</v>
      </c>
      <c r="AX9" s="223">
        <v>0.62640488447947396</v>
      </c>
      <c r="AY9" s="224">
        <v>-0.11200138717038721</v>
      </c>
      <c r="AZ9" s="225">
        <v>0.64847999999999995</v>
      </c>
      <c r="BA9" s="222">
        <v>0.75973000000000002</v>
      </c>
      <c r="BB9" s="226">
        <v>0.70409999999999995</v>
      </c>
    </row>
    <row r="10" spans="1:54" x14ac:dyDescent="0.2">
      <c r="A10" s="210">
        <v>6304</v>
      </c>
      <c r="B10" s="211" t="s">
        <v>159</v>
      </c>
      <c r="C10" s="154">
        <v>0.16895369289741971</v>
      </c>
      <c r="D10" s="156">
        <v>0.17575693189664834</v>
      </c>
      <c r="E10" s="154">
        <v>0.97266043560159454</v>
      </c>
      <c r="F10" s="156">
        <v>0.73307614907455276</v>
      </c>
      <c r="G10" s="154">
        <v>9.4732083557504773E-2</v>
      </c>
      <c r="H10" s="156">
        <v>-6.9397880361160499E-2</v>
      </c>
      <c r="I10" s="154">
        <v>0.50618639472549598</v>
      </c>
      <c r="J10" s="156">
        <v>0.29745118204345883</v>
      </c>
      <c r="K10" s="212">
        <v>209</v>
      </c>
      <c r="L10" s="214">
        <v>138</v>
      </c>
      <c r="M10" s="154">
        <v>1.4603310648457033</v>
      </c>
      <c r="N10" s="156">
        <v>1.3521961265279332</v>
      </c>
      <c r="O10" s="213">
        <v>226.18118466898954</v>
      </c>
      <c r="P10" s="215">
        <v>220.90102389078498</v>
      </c>
      <c r="Q10" s="154">
        <v>0.63720791394761989</v>
      </c>
      <c r="R10" s="156">
        <v>0.59346842561522439</v>
      </c>
      <c r="S10" s="154">
        <v>9.3194642138693481E-2</v>
      </c>
      <c r="T10" s="156">
        <v>0.14725397191725034</v>
      </c>
      <c r="U10" s="212">
        <v>10819401</v>
      </c>
      <c r="V10" s="214">
        <v>12366524</v>
      </c>
      <c r="W10" s="212">
        <v>56274469</v>
      </c>
      <c r="X10" s="214">
        <v>73843054</v>
      </c>
      <c r="Y10" s="212">
        <v>6066422</v>
      </c>
      <c r="Z10" s="216">
        <v>-4882940</v>
      </c>
      <c r="AA10" s="217">
        <v>-10949362</v>
      </c>
      <c r="AB10" s="218">
        <v>9954667</v>
      </c>
      <c r="AC10" s="218">
        <v>6046302</v>
      </c>
      <c r="AD10" s="218">
        <v>-3908365</v>
      </c>
      <c r="AE10" s="212">
        <v>6789428</v>
      </c>
      <c r="AF10" s="216">
        <v>4451840</v>
      </c>
      <c r="AG10" s="219">
        <v>-2337588</v>
      </c>
      <c r="AH10" s="212">
        <v>19587276</v>
      </c>
      <c r="AI10" s="216">
        <v>20237811</v>
      </c>
      <c r="AJ10" s="220">
        <v>650535</v>
      </c>
      <c r="AK10" s="212">
        <v>17458800.640000001</v>
      </c>
      <c r="AL10" s="216">
        <v>24598373.84</v>
      </c>
      <c r="AM10" s="220">
        <v>7139573.1999999993</v>
      </c>
      <c r="AN10" s="212">
        <v>23353898.029999997</v>
      </c>
      <c r="AO10" s="216">
        <v>62079074.039999999</v>
      </c>
      <c r="AP10" s="220">
        <v>38725176.010000005</v>
      </c>
      <c r="AQ10" s="221">
        <v>0.34806682938225503</v>
      </c>
      <c r="AR10" s="223">
        <v>0.27406519508253274</v>
      </c>
      <c r="AS10" s="224">
        <v>-7.4001634299722285E-2</v>
      </c>
      <c r="AT10" s="221">
        <v>0.36007647840316687</v>
      </c>
      <c r="AU10" s="223">
        <v>0.42142169565774185</v>
      </c>
      <c r="AV10" s="224">
        <v>6.134521725457498E-2</v>
      </c>
      <c r="AW10" s="221">
        <v>0.48165905167407047</v>
      </c>
      <c r="AX10" s="223">
        <v>1.063544639859791</v>
      </c>
      <c r="AY10" s="224">
        <v>0.58188558818572056</v>
      </c>
      <c r="AZ10" s="225">
        <v>0.79632999999999998</v>
      </c>
      <c r="BA10" s="222">
        <v>0.71333999999999997</v>
      </c>
      <c r="BB10" s="226">
        <v>0.75480000000000003</v>
      </c>
    </row>
    <row r="11" spans="1:54" x14ac:dyDescent="0.2">
      <c r="A11" s="210">
        <v>6310</v>
      </c>
      <c r="B11" s="211" t="s">
        <v>164</v>
      </c>
      <c r="C11" s="154">
        <v>0.16438524677391425</v>
      </c>
      <c r="D11" s="156">
        <v>0.14248210478418463</v>
      </c>
      <c r="E11" s="154">
        <v>0.53189598727450249</v>
      </c>
      <c r="F11" s="156">
        <v>0.4483346972588223</v>
      </c>
      <c r="G11" s="154">
        <v>3.4706356398695563E-2</v>
      </c>
      <c r="H11" s="156">
        <v>1.0447923695449305E-2</v>
      </c>
      <c r="I11" s="154">
        <v>0.57254077724385999</v>
      </c>
      <c r="J11" s="156">
        <v>0.46214622522931925</v>
      </c>
      <c r="K11" s="212">
        <v>219</v>
      </c>
      <c r="L11" s="214">
        <v>202</v>
      </c>
      <c r="M11" s="154">
        <v>0.7310486015068951</v>
      </c>
      <c r="N11" s="156">
        <v>0.34063634506881824</v>
      </c>
      <c r="O11" s="213">
        <v>203.4</v>
      </c>
      <c r="P11" s="215">
        <v>207.20588235294119</v>
      </c>
      <c r="Q11" s="154">
        <v>0.58120022678378525</v>
      </c>
      <c r="R11" s="156">
        <v>0.54988296689744109</v>
      </c>
      <c r="S11" s="154">
        <v>9.4854811304573225E-2</v>
      </c>
      <c r="T11" s="156">
        <v>0.18312146776949428</v>
      </c>
      <c r="U11" s="212">
        <v>5506925</v>
      </c>
      <c r="V11" s="214">
        <v>6598287</v>
      </c>
      <c r="W11" s="212">
        <v>34053581</v>
      </c>
      <c r="X11" s="214">
        <v>44555770</v>
      </c>
      <c r="Y11" s="212">
        <v>1162667</v>
      </c>
      <c r="Z11" s="216">
        <v>483839</v>
      </c>
      <c r="AA11" s="217">
        <v>-678828</v>
      </c>
      <c r="AB11" s="218">
        <v>2719710</v>
      </c>
      <c r="AC11" s="218">
        <v>2679647</v>
      </c>
      <c r="AD11" s="218">
        <v>-40063</v>
      </c>
      <c r="AE11" s="212">
        <v>4667653</v>
      </c>
      <c r="AF11" s="216">
        <v>4274292</v>
      </c>
      <c r="AG11" s="219">
        <v>-393361</v>
      </c>
      <c r="AH11" s="212">
        <v>5959892</v>
      </c>
      <c r="AI11" s="216">
        <v>3150473</v>
      </c>
      <c r="AJ11" s="220">
        <v>-2809419</v>
      </c>
      <c r="AK11" s="212">
        <v>16558662.180000002</v>
      </c>
      <c r="AL11" s="216">
        <v>18743921.159999996</v>
      </c>
      <c r="AM11" s="220">
        <v>2185258.9799999949</v>
      </c>
      <c r="AN11" s="212">
        <v>31688404.590000004</v>
      </c>
      <c r="AO11" s="216">
        <v>57863508.329999998</v>
      </c>
      <c r="AP11" s="220">
        <v>26175103.739999995</v>
      </c>
      <c r="AQ11" s="221">
        <v>0.17501513276973721</v>
      </c>
      <c r="AR11" s="223">
        <v>7.0708530006326903E-2</v>
      </c>
      <c r="AS11" s="224">
        <v>-0.10430660276341031</v>
      </c>
      <c r="AT11" s="221">
        <v>0.58919305520106824</v>
      </c>
      <c r="AU11" s="223">
        <v>0.55834002049400067</v>
      </c>
      <c r="AV11" s="224">
        <v>-3.0853034707067573E-2</v>
      </c>
      <c r="AW11" s="221">
        <v>1.1275420509140224</v>
      </c>
      <c r="AX11" s="223">
        <v>1.7236261372978898</v>
      </c>
      <c r="AY11" s="224">
        <v>0.59608408638386745</v>
      </c>
      <c r="AZ11" s="225">
        <v>0.82945999999999998</v>
      </c>
      <c r="BA11" s="222">
        <v>0.68672</v>
      </c>
      <c r="BB11" s="226">
        <v>0.7581</v>
      </c>
    </row>
    <row r="12" spans="1:54" x14ac:dyDescent="0.2">
      <c r="A12" s="210">
        <v>6406</v>
      </c>
      <c r="B12" s="211" t="s">
        <v>172</v>
      </c>
      <c r="C12" s="154">
        <v>0.17938411352925665</v>
      </c>
      <c r="D12" s="156">
        <v>0.1389313177299554</v>
      </c>
      <c r="E12" s="154">
        <v>0.3532883385301766</v>
      </c>
      <c r="F12" s="156">
        <v>0.28155775180445691</v>
      </c>
      <c r="G12" s="154">
        <v>3.0732292616669952E-3</v>
      </c>
      <c r="H12" s="156">
        <v>-2.7416102802473009E-2</v>
      </c>
      <c r="I12" s="154">
        <v>0</v>
      </c>
      <c r="J12" s="156">
        <v>0</v>
      </c>
      <c r="K12" s="212">
        <v>0</v>
      </c>
      <c r="L12" s="214">
        <v>0</v>
      </c>
      <c r="M12" s="154">
        <v>0</v>
      </c>
      <c r="N12" s="156">
        <v>0</v>
      </c>
      <c r="O12" s="213">
        <v>54.111111111111114</v>
      </c>
      <c r="P12" s="215">
        <v>53.984126984126981</v>
      </c>
      <c r="Q12" s="154">
        <v>0.48032968254732111</v>
      </c>
      <c r="R12" s="156">
        <v>0.47876944786738207</v>
      </c>
      <c r="S12" s="154">
        <v>0.25827669403669656</v>
      </c>
      <c r="T12" s="156">
        <v>0.29631295145454001</v>
      </c>
      <c r="U12" s="212">
        <v>2293237</v>
      </c>
      <c r="V12" s="214">
        <v>2023613</v>
      </c>
      <c r="W12" s="212">
        <v>12655083</v>
      </c>
      <c r="X12" s="214">
        <v>14870268</v>
      </c>
      <c r="Y12" s="212">
        <v>39288</v>
      </c>
      <c r="Z12" s="216">
        <v>-399331</v>
      </c>
      <c r="AA12" s="217">
        <v>-438619</v>
      </c>
      <c r="AB12" s="218">
        <v>3450932</v>
      </c>
      <c r="AC12" s="218">
        <v>3272621</v>
      </c>
      <c r="AD12" s="218">
        <v>-178311</v>
      </c>
      <c r="AE12" s="212">
        <v>0</v>
      </c>
      <c r="AF12" s="216">
        <v>0</v>
      </c>
      <c r="AG12" s="219">
        <v>0</v>
      </c>
      <c r="AH12" s="212">
        <v>0</v>
      </c>
      <c r="AI12" s="216">
        <v>0</v>
      </c>
      <c r="AJ12" s="220">
        <v>0</v>
      </c>
      <c r="AK12" s="212">
        <v>144301.04999999932</v>
      </c>
      <c r="AL12" s="216">
        <v>2339893.37</v>
      </c>
      <c r="AM12" s="220">
        <v>2195592.3200000008</v>
      </c>
      <c r="AN12" s="212">
        <v>833943.48</v>
      </c>
      <c r="AO12" s="216">
        <v>9898229.1899999995</v>
      </c>
      <c r="AP12" s="220">
        <v>9064285.709999999</v>
      </c>
      <c r="AQ12" s="221">
        <v>0</v>
      </c>
      <c r="AR12" s="223">
        <v>0</v>
      </c>
      <c r="AS12" s="224">
        <v>0</v>
      </c>
      <c r="AT12" s="221">
        <v>1.3442786129903071E-2</v>
      </c>
      <c r="AU12" s="223">
        <v>0.18447665215436765</v>
      </c>
      <c r="AV12" s="224">
        <v>0.17103386602446458</v>
      </c>
      <c r="AW12" s="221">
        <v>7.768844264173512E-2</v>
      </c>
      <c r="AX12" s="223">
        <v>0.78037410022142928</v>
      </c>
      <c r="AY12" s="224">
        <v>0.70268565757969415</v>
      </c>
      <c r="AZ12" s="225">
        <v>0.47954000000000002</v>
      </c>
      <c r="BA12" s="222">
        <v>0.46084000000000003</v>
      </c>
      <c r="BB12" s="226">
        <v>0.47020000000000001</v>
      </c>
    </row>
    <row r="13" spans="1:54" x14ac:dyDescent="0.2">
      <c r="A13" s="210">
        <v>7001</v>
      </c>
      <c r="B13" s="211" t="s">
        <v>224</v>
      </c>
      <c r="C13" s="154">
        <v>0.10772497579825917</v>
      </c>
      <c r="D13" s="156">
        <v>0.1154250747232821</v>
      </c>
      <c r="E13" s="154">
        <v>0.24694340849254781</v>
      </c>
      <c r="F13" s="156">
        <v>0.33768595394411477</v>
      </c>
      <c r="G13" s="154">
        <v>-5.0005037674929191E-2</v>
      </c>
      <c r="H13" s="156">
        <v>-2.5742133868189555E-2</v>
      </c>
      <c r="I13" s="154">
        <v>0</v>
      </c>
      <c r="J13" s="156">
        <v>0</v>
      </c>
      <c r="K13" s="212">
        <v>0</v>
      </c>
      <c r="L13" s="214">
        <v>0</v>
      </c>
      <c r="M13" s="154">
        <v>3.0455917931208921E-3</v>
      </c>
      <c r="N13" s="156">
        <v>2.8159811007483827E-3</v>
      </c>
      <c r="O13" s="213">
        <v>155.61764705882354</v>
      </c>
      <c r="P13" s="215">
        <v>152.64423076923077</v>
      </c>
      <c r="Q13" s="154">
        <v>0.54037176821641641</v>
      </c>
      <c r="R13" s="156">
        <v>0.61713392856045246</v>
      </c>
      <c r="S13" s="154">
        <v>0.28425166944449165</v>
      </c>
      <c r="T13" s="156">
        <v>0.2058973173702198</v>
      </c>
      <c r="U13" s="212">
        <v>3272801</v>
      </c>
      <c r="V13" s="214">
        <v>3762272</v>
      </c>
      <c r="W13" s="212">
        <v>32005856</v>
      </c>
      <c r="X13" s="214">
        <v>33351639</v>
      </c>
      <c r="Y13" s="212">
        <v>-1519207</v>
      </c>
      <c r="Z13" s="216">
        <v>-839063</v>
      </c>
      <c r="AA13" s="217">
        <v>680144</v>
      </c>
      <c r="AB13" s="218">
        <v>9732919</v>
      </c>
      <c r="AC13" s="218">
        <v>8909847</v>
      </c>
      <c r="AD13" s="218">
        <v>-823072</v>
      </c>
      <c r="AE13" s="212">
        <v>0</v>
      </c>
      <c r="AF13" s="216">
        <v>0</v>
      </c>
      <c r="AG13" s="219">
        <v>0</v>
      </c>
      <c r="AH13" s="212">
        <v>18290</v>
      </c>
      <c r="AI13" s="216">
        <v>18290</v>
      </c>
      <c r="AJ13" s="220">
        <v>0</v>
      </c>
      <c r="AK13" s="212">
        <v>541518.65000000154</v>
      </c>
      <c r="AL13" s="216">
        <v>5406427.1799999997</v>
      </c>
      <c r="AM13" s="220">
        <v>4864908.5299999984</v>
      </c>
      <c r="AN13" s="212">
        <v>11869194.689999998</v>
      </c>
      <c r="AO13" s="216">
        <v>14223396.710000001</v>
      </c>
      <c r="AP13" s="220">
        <v>2354202.0200000033</v>
      </c>
      <c r="AQ13" s="221">
        <v>5.7145792320005442E-4</v>
      </c>
      <c r="AR13" s="223">
        <v>5.4839883581133753E-4</v>
      </c>
      <c r="AS13" s="224">
        <v>-2.3059087388716893E-5</v>
      </c>
      <c r="AT13" s="221">
        <v>2.4055694366470419E-2</v>
      </c>
      <c r="AU13" s="223">
        <v>0.20089993458076413</v>
      </c>
      <c r="AV13" s="224">
        <v>0.17684424021429371</v>
      </c>
      <c r="AW13" s="221">
        <v>0.52726110142055638</v>
      </c>
      <c r="AX13" s="223">
        <v>0.52853379383818055</v>
      </c>
      <c r="AY13" s="224">
        <v>1.2726924176241772E-3</v>
      </c>
      <c r="AZ13" s="225">
        <v>0.73863000000000001</v>
      </c>
      <c r="BA13" s="222">
        <v>0.64429999999999998</v>
      </c>
      <c r="BB13" s="226">
        <v>0.6915</v>
      </c>
    </row>
    <row r="14" spans="1:54" x14ac:dyDescent="0.2">
      <c r="A14" s="210">
        <v>7104</v>
      </c>
      <c r="B14" s="211" t="s">
        <v>231</v>
      </c>
      <c r="C14" s="154">
        <v>0.1305924789254469</v>
      </c>
      <c r="D14" s="156">
        <v>0.13035546706412898</v>
      </c>
      <c r="E14" s="154">
        <v>0.38337824994191816</v>
      </c>
      <c r="F14" s="156">
        <v>0.38855832587549161</v>
      </c>
      <c r="G14" s="154">
        <v>-0.16922061618683093</v>
      </c>
      <c r="H14" s="156">
        <v>2.3430653266887525E-2</v>
      </c>
      <c r="I14" s="154">
        <v>0.70455713912166273</v>
      </c>
      <c r="J14" s="156">
        <v>0.53937431250528844</v>
      </c>
      <c r="K14" s="212">
        <v>274</v>
      </c>
      <c r="L14" s="214">
        <v>246</v>
      </c>
      <c r="M14" s="154">
        <v>1.6983109008234081</v>
      </c>
      <c r="N14" s="156">
        <v>1.8408969161775679</v>
      </c>
      <c r="O14" s="213">
        <v>137.03773584905662</v>
      </c>
      <c r="P14" s="215">
        <v>129.67272727272729</v>
      </c>
      <c r="Q14" s="154">
        <v>0.54901198352743341</v>
      </c>
      <c r="R14" s="156">
        <v>0.62121992062075027</v>
      </c>
      <c r="S14" s="154">
        <v>0.30245919092400275</v>
      </c>
      <c r="T14" s="156">
        <v>0.18829408167248082</v>
      </c>
      <c r="U14" s="212">
        <v>1815181</v>
      </c>
      <c r="V14" s="214">
        <v>2239025</v>
      </c>
      <c r="W14" s="212">
        <v>15939714</v>
      </c>
      <c r="X14" s="214">
        <v>16858310</v>
      </c>
      <c r="Y14" s="212">
        <v>-2352096</v>
      </c>
      <c r="Z14" s="216">
        <v>402452</v>
      </c>
      <c r="AA14" s="217">
        <v>2754548</v>
      </c>
      <c r="AB14" s="218">
        <v>2059497</v>
      </c>
      <c r="AC14" s="218">
        <v>1774611</v>
      </c>
      <c r="AD14" s="218">
        <v>-284886</v>
      </c>
      <c r="AE14" s="212">
        <v>1991206</v>
      </c>
      <c r="AF14" s="216">
        <v>1752980</v>
      </c>
      <c r="AG14" s="219">
        <v>-238226</v>
      </c>
      <c r="AH14" s="212">
        <v>4799734</v>
      </c>
      <c r="AI14" s="216">
        <v>5982961</v>
      </c>
      <c r="AJ14" s="220">
        <v>1183227</v>
      </c>
      <c r="AK14" s="212">
        <v>5286755.040000001</v>
      </c>
      <c r="AL14" s="216">
        <v>10579344.6</v>
      </c>
      <c r="AM14" s="220">
        <v>5292589.5599999987</v>
      </c>
      <c r="AN14" s="212">
        <v>5733218.120000001</v>
      </c>
      <c r="AO14" s="216">
        <v>7275285.8900000006</v>
      </c>
      <c r="AP14" s="220">
        <v>1542067.7699999996</v>
      </c>
      <c r="AQ14" s="221">
        <v>0.30111794979508416</v>
      </c>
      <c r="AR14" s="223">
        <v>0.35489684315924908</v>
      </c>
      <c r="AS14" s="224">
        <v>5.3778893364164915E-2</v>
      </c>
      <c r="AT14" s="221">
        <v>0.41282368004502784</v>
      </c>
      <c r="AU14" s="223">
        <v>0.71778741958230463</v>
      </c>
      <c r="AV14" s="224">
        <v>0.30496373953727679</v>
      </c>
      <c r="AW14" s="221">
        <v>0.44768637564853692</v>
      </c>
      <c r="AX14" s="223">
        <v>0.49361362949710996</v>
      </c>
      <c r="AY14" s="224">
        <v>4.5927253848573046E-2</v>
      </c>
      <c r="AZ14" s="225">
        <v>0.90795000000000003</v>
      </c>
      <c r="BA14" s="222">
        <v>0.87814000000000003</v>
      </c>
      <c r="BB14" s="226">
        <v>0.89300000000000002</v>
      </c>
    </row>
    <row r="15" spans="1:54" x14ac:dyDescent="0.2">
      <c r="A15" s="210">
        <v>7108</v>
      </c>
      <c r="B15" s="211" t="s">
        <v>235</v>
      </c>
      <c r="C15" s="154">
        <v>0.12880101324263177</v>
      </c>
      <c r="D15" s="156">
        <v>0.1064845422488868</v>
      </c>
      <c r="E15" s="154">
        <v>0.35767637020348297</v>
      </c>
      <c r="F15" s="156">
        <v>0.36032876135019259</v>
      </c>
      <c r="G15" s="154">
        <v>-3.8831298166051263E-2</v>
      </c>
      <c r="H15" s="156">
        <v>-3.9126689247541202E-2</v>
      </c>
      <c r="I15" s="154">
        <v>1.644877292523909</v>
      </c>
      <c r="J15" s="156">
        <v>1.7346106186861168</v>
      </c>
      <c r="K15" s="212">
        <v>755</v>
      </c>
      <c r="L15" s="214">
        <v>718</v>
      </c>
      <c r="M15" s="154">
        <v>0.23298912036547231</v>
      </c>
      <c r="N15" s="156">
        <v>0.16972365927826796</v>
      </c>
      <c r="O15" s="213">
        <v>143.15254237288136</v>
      </c>
      <c r="P15" s="215">
        <v>141.72881355932202</v>
      </c>
      <c r="Q15" s="154">
        <v>0.50697363442736065</v>
      </c>
      <c r="R15" s="156">
        <v>0.59634827773937671</v>
      </c>
      <c r="S15" s="154">
        <v>0.2479067293279443</v>
      </c>
      <c r="T15" s="156">
        <v>0.13940906892874794</v>
      </c>
      <c r="U15" s="212">
        <v>2522014</v>
      </c>
      <c r="V15" s="214">
        <v>2093046</v>
      </c>
      <c r="W15" s="212">
        <v>20248337</v>
      </c>
      <c r="X15" s="214">
        <v>20640343</v>
      </c>
      <c r="Y15" s="212">
        <v>-760344</v>
      </c>
      <c r="Z15" s="216">
        <v>-769069</v>
      </c>
      <c r="AA15" s="217">
        <v>-8725</v>
      </c>
      <c r="AB15" s="218">
        <v>2157300</v>
      </c>
      <c r="AC15" s="218">
        <v>983808</v>
      </c>
      <c r="AD15" s="218">
        <v>-1173492</v>
      </c>
      <c r="AE15" s="212">
        <v>6374416</v>
      </c>
      <c r="AF15" s="216">
        <v>5999751</v>
      </c>
      <c r="AG15" s="219">
        <v>-374665</v>
      </c>
      <c r="AH15" s="212">
        <v>902906</v>
      </c>
      <c r="AI15" s="216">
        <v>587048</v>
      </c>
      <c r="AJ15" s="220">
        <v>-315858</v>
      </c>
      <c r="AK15" s="212">
        <v>2098432.3699999996</v>
      </c>
      <c r="AL15" s="216">
        <v>3347026.9700000007</v>
      </c>
      <c r="AM15" s="220">
        <v>1248594.600000001</v>
      </c>
      <c r="AN15" s="212">
        <v>9257656.5999999978</v>
      </c>
      <c r="AO15" s="216">
        <v>14188911.469999999</v>
      </c>
      <c r="AP15" s="220">
        <v>4931254.870000001</v>
      </c>
      <c r="AQ15" s="221">
        <v>4.4591612634657357E-2</v>
      </c>
      <c r="AR15" s="223">
        <v>2.8441775410418323E-2</v>
      </c>
      <c r="AS15" s="224">
        <v>-1.6149837224239034E-2</v>
      </c>
      <c r="AT15" s="221">
        <v>0.1206886977272697</v>
      </c>
      <c r="AU15" s="223">
        <v>0.17088282143185177</v>
      </c>
      <c r="AV15" s="224">
        <v>5.0194123704582067E-2</v>
      </c>
      <c r="AW15" s="221">
        <v>0.53244247231101527</v>
      </c>
      <c r="AX15" s="223">
        <v>0.72441639902302979</v>
      </c>
      <c r="AY15" s="224">
        <v>0.19197392671201452</v>
      </c>
      <c r="AZ15" s="225">
        <v>0.86458999999999997</v>
      </c>
      <c r="BA15" s="222">
        <v>0.81866000000000005</v>
      </c>
      <c r="BB15" s="226">
        <v>0.84160000000000001</v>
      </c>
    </row>
    <row r="16" spans="1:54" x14ac:dyDescent="0.2">
      <c r="A16" s="210">
        <v>7307</v>
      </c>
      <c r="B16" s="211" t="s">
        <v>246</v>
      </c>
      <c r="C16" s="154">
        <v>0.19132775490436923</v>
      </c>
      <c r="D16" s="156">
        <v>0.18149510726033602</v>
      </c>
      <c r="E16" s="154">
        <v>0.43704618688623131</v>
      </c>
      <c r="F16" s="156">
        <v>0.28683914640178859</v>
      </c>
      <c r="G16" s="154">
        <v>0.12407949128525998</v>
      </c>
      <c r="H16" s="156">
        <v>-0.13508180400240169</v>
      </c>
      <c r="I16" s="154">
        <v>0.16848480092083923</v>
      </c>
      <c r="J16" s="156">
        <v>0.11931339279824683</v>
      </c>
      <c r="K16" s="212">
        <v>126</v>
      </c>
      <c r="L16" s="214">
        <v>91</v>
      </c>
      <c r="M16" s="154">
        <v>7.2760448623735388E-2</v>
      </c>
      <c r="N16" s="156">
        <v>7.1756022838044844E-2</v>
      </c>
      <c r="O16" s="213">
        <v>92.122448979591837</v>
      </c>
      <c r="P16" s="215">
        <v>103.76744186046511</v>
      </c>
      <c r="Q16" s="154">
        <v>0.44208854494555155</v>
      </c>
      <c r="R16" s="156">
        <v>0.37756122373754142</v>
      </c>
      <c r="S16" s="154">
        <v>0.24650464046676343</v>
      </c>
      <c r="T16" s="156">
        <v>0.33842247705107231</v>
      </c>
      <c r="U16" s="212">
        <v>2450188</v>
      </c>
      <c r="V16" s="214">
        <v>2491675</v>
      </c>
      <c r="W16" s="212">
        <v>11451111</v>
      </c>
      <c r="X16" s="214">
        <v>15979178</v>
      </c>
      <c r="Y16" s="212">
        <v>1588991</v>
      </c>
      <c r="Z16" s="216">
        <v>-1854485</v>
      </c>
      <c r="AA16" s="217">
        <v>-3443476</v>
      </c>
      <c r="AB16" s="218">
        <v>4318323</v>
      </c>
      <c r="AC16" s="218">
        <v>2464700</v>
      </c>
      <c r="AD16" s="218">
        <v>-1853623</v>
      </c>
      <c r="AE16" s="212">
        <v>566764</v>
      </c>
      <c r="AF16" s="216">
        <v>406975</v>
      </c>
      <c r="AG16" s="219">
        <v>-159789</v>
      </c>
      <c r="AH16" s="212">
        <v>244758</v>
      </c>
      <c r="AI16" s="216">
        <v>244758</v>
      </c>
      <c r="AJ16" s="220">
        <v>0</v>
      </c>
      <c r="AK16" s="212">
        <v>511411.5700000003</v>
      </c>
      <c r="AL16" s="216">
        <v>3825843.5700000012</v>
      </c>
      <c r="AM16" s="220">
        <v>3314432.0000000009</v>
      </c>
      <c r="AN16" s="212">
        <v>3841753.8100000005</v>
      </c>
      <c r="AO16" s="216">
        <v>6922714.0999999996</v>
      </c>
      <c r="AP16" s="220">
        <v>3080960.2899999991</v>
      </c>
      <c r="AQ16" s="221">
        <v>2.1374170593578212E-2</v>
      </c>
      <c r="AR16" s="223">
        <v>1.5317308562430432E-2</v>
      </c>
      <c r="AS16" s="224">
        <v>-6.0568620311477802E-3</v>
      </c>
      <c r="AT16" s="221">
        <v>5.0338494602022402E-2</v>
      </c>
      <c r="AU16" s="223">
        <v>0.31517407489207988</v>
      </c>
      <c r="AV16" s="224">
        <v>0.26483558029005749</v>
      </c>
      <c r="AW16" s="221">
        <v>0.37814573383035488</v>
      </c>
      <c r="AX16" s="223">
        <v>0.57029514466265974</v>
      </c>
      <c r="AY16" s="224">
        <v>0.19214941083230486</v>
      </c>
      <c r="AZ16" s="225">
        <v>0.66881999999999997</v>
      </c>
      <c r="BA16" s="222">
        <v>0.77895000000000003</v>
      </c>
      <c r="BB16" s="226">
        <v>0.72389999999999999</v>
      </c>
    </row>
    <row r="17" spans="1:54" x14ac:dyDescent="0.2">
      <c r="A17" s="210">
        <v>7313</v>
      </c>
      <c r="B17" s="211" t="s">
        <v>252</v>
      </c>
      <c r="C17" s="154">
        <v>0.26552239222312435</v>
      </c>
      <c r="D17" s="156">
        <v>0.26397548627962636</v>
      </c>
      <c r="E17" s="154">
        <v>0.82836481804921425</v>
      </c>
      <c r="F17" s="156">
        <v>0.87468356083764698</v>
      </c>
      <c r="G17" s="154">
        <v>-3.9076497260543727E-2</v>
      </c>
      <c r="H17" s="156">
        <v>1.1261920937100829E-2</v>
      </c>
      <c r="I17" s="154">
        <v>0.31406211241529886</v>
      </c>
      <c r="J17" s="156">
        <v>0.14603540912615159</v>
      </c>
      <c r="K17" s="212">
        <v>228</v>
      </c>
      <c r="L17" s="214">
        <v>116</v>
      </c>
      <c r="M17" s="154">
        <v>0.1855761792147477</v>
      </c>
      <c r="N17" s="156">
        <v>0.15011442758002069</v>
      </c>
      <c r="O17" s="213">
        <v>131.2439024390244</v>
      </c>
      <c r="P17" s="215">
        <v>117.35164835164835</v>
      </c>
      <c r="Q17" s="154">
        <v>0.62618899193477362</v>
      </c>
      <c r="R17" s="156">
        <v>0.66889265908309536</v>
      </c>
      <c r="S17" s="154">
        <v>0.13430166431256219</v>
      </c>
      <c r="T17" s="156">
        <v>9.9975060598026411E-2</v>
      </c>
      <c r="U17" s="212">
        <v>6415577</v>
      </c>
      <c r="V17" s="214">
        <v>7098323</v>
      </c>
      <c r="W17" s="212">
        <v>23447699</v>
      </c>
      <c r="X17" s="214">
        <v>25421620</v>
      </c>
      <c r="Y17" s="212">
        <v>-944170</v>
      </c>
      <c r="Z17" s="216">
        <v>302834</v>
      </c>
      <c r="AA17" s="217">
        <v>1247004</v>
      </c>
      <c r="AB17" s="218">
        <v>1442240</v>
      </c>
      <c r="AC17" s="218">
        <v>978001</v>
      </c>
      <c r="AD17" s="218">
        <v>-464239</v>
      </c>
      <c r="AE17" s="212">
        <v>2452441</v>
      </c>
      <c r="AF17" s="216">
        <v>1239917</v>
      </c>
      <c r="AG17" s="219">
        <v>-1212524</v>
      </c>
      <c r="AH17" s="212">
        <v>1449123</v>
      </c>
      <c r="AI17" s="216">
        <v>1274550</v>
      </c>
      <c r="AJ17" s="220">
        <v>-174573</v>
      </c>
      <c r="AK17" s="212">
        <v>1879958.7300000004</v>
      </c>
      <c r="AL17" s="216">
        <v>3338675.68</v>
      </c>
      <c r="AM17" s="220">
        <v>1458716.9499999997</v>
      </c>
      <c r="AN17" s="212">
        <v>6681779.6799999997</v>
      </c>
      <c r="AO17" s="216">
        <v>24811866.149999999</v>
      </c>
      <c r="AP17" s="220">
        <v>18130086.469999999</v>
      </c>
      <c r="AQ17" s="221">
        <v>6.1802354252329834E-2</v>
      </c>
      <c r="AR17" s="223">
        <v>5.0136458652123662E-2</v>
      </c>
      <c r="AS17" s="224">
        <v>-1.1665895600206172E-2</v>
      </c>
      <c r="AT17" s="221">
        <v>9.8391794258241766E-2</v>
      </c>
      <c r="AU17" s="223">
        <v>0.15042249353264622</v>
      </c>
      <c r="AV17" s="224">
        <v>5.2030699274404457E-2</v>
      </c>
      <c r="AW17" s="221">
        <v>0.34970570420631536</v>
      </c>
      <c r="AX17" s="223">
        <v>1.117887190372818</v>
      </c>
      <c r="AY17" s="224">
        <v>0.76818148616650261</v>
      </c>
      <c r="AZ17" s="225">
        <v>0.84958</v>
      </c>
      <c r="BA17" s="222">
        <v>0.78610999999999998</v>
      </c>
      <c r="BB17" s="226">
        <v>0.81779999999999997</v>
      </c>
    </row>
    <row r="18" spans="1:54" x14ac:dyDescent="0.2">
      <c r="A18" s="210">
        <v>7503</v>
      </c>
      <c r="B18" s="211" t="s">
        <v>276</v>
      </c>
      <c r="C18" s="154">
        <v>0.10039314979708062</v>
      </c>
      <c r="D18" s="156">
        <v>0.10996385486583186</v>
      </c>
      <c r="E18" s="154">
        <v>0.33205949428418302</v>
      </c>
      <c r="F18" s="156">
        <v>0.24225428625878118</v>
      </c>
      <c r="G18" s="154">
        <v>7.5759190462229883E-2</v>
      </c>
      <c r="H18" s="156">
        <v>-0.10058234711101424</v>
      </c>
      <c r="I18" s="154">
        <v>0</v>
      </c>
      <c r="J18" s="156">
        <v>7.8259613706615203E-2</v>
      </c>
      <c r="K18" s="212">
        <v>0</v>
      </c>
      <c r="L18" s="214">
        <v>29</v>
      </c>
      <c r="M18" s="154">
        <v>6.9091749287674411E-3</v>
      </c>
      <c r="N18" s="156">
        <v>3.1092224586938076E-2</v>
      </c>
      <c r="O18" s="213">
        <v>129.10843373493975</v>
      </c>
      <c r="P18" s="215">
        <v>128</v>
      </c>
      <c r="Q18" s="154">
        <v>0.5719711900971316</v>
      </c>
      <c r="R18" s="156">
        <v>0.54058394964286127</v>
      </c>
      <c r="S18" s="154">
        <v>0.13000938585831515</v>
      </c>
      <c r="T18" s="156">
        <v>0.26558317446286805</v>
      </c>
      <c r="U18" s="212">
        <v>968412</v>
      </c>
      <c r="V18" s="214">
        <v>1105932</v>
      </c>
      <c r="W18" s="212">
        <v>8820717</v>
      </c>
      <c r="X18" s="214">
        <v>11061947</v>
      </c>
      <c r="Y18" s="212">
        <v>730788</v>
      </c>
      <c r="Z18" s="216">
        <v>-1011580</v>
      </c>
      <c r="AA18" s="217">
        <v>-1742368</v>
      </c>
      <c r="AB18" s="218">
        <v>3065925</v>
      </c>
      <c r="AC18" s="218">
        <v>2188337</v>
      </c>
      <c r="AD18" s="218">
        <v>-877588</v>
      </c>
      <c r="AE18" s="212">
        <v>0</v>
      </c>
      <c r="AF18" s="216">
        <v>156060</v>
      </c>
      <c r="AG18" s="219">
        <v>156060</v>
      </c>
      <c r="AH18" s="212">
        <v>12619</v>
      </c>
      <c r="AI18" s="216">
        <v>62002</v>
      </c>
      <c r="AJ18" s="220">
        <v>49383</v>
      </c>
      <c r="AK18" s="212">
        <v>134943.67000000013</v>
      </c>
      <c r="AL18" s="216">
        <v>2167697.06</v>
      </c>
      <c r="AM18" s="220">
        <v>2032753.39</v>
      </c>
      <c r="AN18" s="212">
        <v>2768875.4800000004</v>
      </c>
      <c r="AO18" s="216">
        <v>15804004.42</v>
      </c>
      <c r="AP18" s="220">
        <v>13035128.939999999</v>
      </c>
      <c r="AQ18" s="221">
        <v>1.4306093257498227E-3</v>
      </c>
      <c r="AR18" s="223">
        <v>5.6049807506761695E-3</v>
      </c>
      <c r="AS18" s="224">
        <v>4.1743714249263472E-3</v>
      </c>
      <c r="AT18" s="221">
        <v>1.8787519545436275E-2</v>
      </c>
      <c r="AU18" s="223">
        <v>0.25143228677029644</v>
      </c>
      <c r="AV18" s="224">
        <v>0.23264476722486016</v>
      </c>
      <c r="AW18" s="221">
        <v>0.38549642379949506</v>
      </c>
      <c r="AX18" s="223">
        <v>1.8331145272893772</v>
      </c>
      <c r="AY18" s="224">
        <v>1.4476181034898821</v>
      </c>
      <c r="AZ18" s="225">
        <v>0.77273999999999998</v>
      </c>
      <c r="BA18" s="222">
        <v>0.73319000000000001</v>
      </c>
      <c r="BB18" s="226">
        <v>0.753</v>
      </c>
    </row>
    <row r="19" spans="1:54" x14ac:dyDescent="0.2">
      <c r="A19" s="210">
        <v>7602</v>
      </c>
      <c r="B19" s="211" t="s">
        <v>280</v>
      </c>
      <c r="C19" s="154">
        <v>0.1438845364484779</v>
      </c>
      <c r="D19" s="156">
        <v>0.13494387937243199</v>
      </c>
      <c r="E19" s="154">
        <v>0.21741126510913036</v>
      </c>
      <c r="F19" s="156">
        <v>0.24898167208529226</v>
      </c>
      <c r="G19" s="154">
        <v>-0.21465394892098394</v>
      </c>
      <c r="H19" s="156">
        <v>-4.1452798533155533E-2</v>
      </c>
      <c r="I19" s="154">
        <v>1.2529931339162017</v>
      </c>
      <c r="J19" s="156">
        <v>0.63431292066570044</v>
      </c>
      <c r="K19" s="212">
        <v>857</v>
      </c>
      <c r="L19" s="214">
        <v>448</v>
      </c>
      <c r="M19" s="154">
        <v>2.2374306558382826E-2</v>
      </c>
      <c r="N19" s="156">
        <v>5.0881335815239855E-2</v>
      </c>
      <c r="O19" s="213">
        <v>101.75510204081633</v>
      </c>
      <c r="P19" s="215">
        <v>102.53061224489795</v>
      </c>
      <c r="Q19" s="154">
        <v>0.4515414040056222</v>
      </c>
      <c r="R19" s="156">
        <v>0.54483551361982963</v>
      </c>
      <c r="S19" s="154">
        <v>0.34710028287353567</v>
      </c>
      <c r="T19" s="156">
        <v>0.26034059780221563</v>
      </c>
      <c r="U19" s="212">
        <v>2049104</v>
      </c>
      <c r="V19" s="214">
        <v>2192008</v>
      </c>
      <c r="W19" s="212">
        <v>16610603</v>
      </c>
      <c r="X19" s="214">
        <v>17268755</v>
      </c>
      <c r="Y19" s="212">
        <v>-3056953</v>
      </c>
      <c r="Z19" s="216">
        <v>-673353</v>
      </c>
      <c r="AA19" s="217">
        <v>2383600</v>
      </c>
      <c r="AB19" s="218">
        <v>4256000</v>
      </c>
      <c r="AC19" s="218">
        <v>1528384</v>
      </c>
      <c r="AD19" s="218">
        <v>-2727616</v>
      </c>
      <c r="AE19" s="212">
        <v>4272461</v>
      </c>
      <c r="AF19" s="216">
        <v>2253148</v>
      </c>
      <c r="AG19" s="219">
        <v>-2019313</v>
      </c>
      <c r="AH19" s="212">
        <v>76292</v>
      </c>
      <c r="AI19" s="216">
        <v>180736</v>
      </c>
      <c r="AJ19" s="220">
        <v>104444</v>
      </c>
      <c r="AK19" s="212">
        <v>715324.53999999992</v>
      </c>
      <c r="AL19" s="216">
        <v>2996156.6599999992</v>
      </c>
      <c r="AM19" s="220">
        <v>2280832.1199999992</v>
      </c>
      <c r="AN19" s="212">
        <v>3321050.2300000004</v>
      </c>
      <c r="AO19" s="216">
        <v>12928304.530000001</v>
      </c>
      <c r="AP19" s="220">
        <v>9607254.3000000007</v>
      </c>
      <c r="AQ19" s="221">
        <v>4.5929699240900524E-3</v>
      </c>
      <c r="AR19" s="223">
        <v>1.0466070078589915E-2</v>
      </c>
      <c r="AS19" s="224">
        <v>5.8731001544998626E-3</v>
      </c>
      <c r="AT19" s="221">
        <v>5.7861078803147468E-2</v>
      </c>
      <c r="AU19" s="223">
        <v>0.21619261986139135</v>
      </c>
      <c r="AV19" s="224">
        <v>0.15833154105824387</v>
      </c>
      <c r="AW19" s="221">
        <v>0.26863268114252181</v>
      </c>
      <c r="AX19" s="223">
        <v>0.93286311227350671</v>
      </c>
      <c r="AY19" s="224">
        <v>0.6642304311309849</v>
      </c>
      <c r="AZ19" s="225">
        <v>0.74212999999999996</v>
      </c>
      <c r="BA19" s="222">
        <v>0.74468999999999996</v>
      </c>
      <c r="BB19" s="226">
        <v>0.74339999999999995</v>
      </c>
    </row>
    <row r="20" spans="1:54" x14ac:dyDescent="0.2">
      <c r="A20" s="210">
        <v>7609</v>
      </c>
      <c r="B20" s="211" t="s">
        <v>287</v>
      </c>
      <c r="C20" s="154">
        <v>0.12564534427011864</v>
      </c>
      <c r="D20" s="156">
        <v>0.12200405823110486</v>
      </c>
      <c r="E20" s="154">
        <v>0.28098396639596035</v>
      </c>
      <c r="F20" s="156">
        <v>0.22020039451498014</v>
      </c>
      <c r="G20" s="154">
        <v>-5.5776846703364809E-2</v>
      </c>
      <c r="H20" s="156">
        <v>-7.3256844949379424E-2</v>
      </c>
      <c r="I20" s="154">
        <v>0</v>
      </c>
      <c r="J20" s="156">
        <v>0.12840628167773233</v>
      </c>
      <c r="K20" s="212">
        <v>0</v>
      </c>
      <c r="L20" s="214">
        <v>70</v>
      </c>
      <c r="M20" s="154">
        <v>0</v>
      </c>
      <c r="N20" s="156">
        <v>0</v>
      </c>
      <c r="O20" s="213">
        <v>223.76623376623377</v>
      </c>
      <c r="P20" s="215">
        <v>190.65934065934067</v>
      </c>
      <c r="Q20" s="154">
        <v>0.56279169341097057</v>
      </c>
      <c r="R20" s="156">
        <v>0.4826626090917831</v>
      </c>
      <c r="S20" s="154">
        <v>0.23231965410936584</v>
      </c>
      <c r="T20" s="156">
        <v>0.35735367653336259</v>
      </c>
      <c r="U20" s="212">
        <v>2452160</v>
      </c>
      <c r="V20" s="214">
        <v>3228925</v>
      </c>
      <c r="W20" s="212">
        <v>20683532</v>
      </c>
      <c r="X20" s="214">
        <v>29353494</v>
      </c>
      <c r="Y20" s="212">
        <v>-1088570</v>
      </c>
      <c r="Z20" s="216">
        <v>-1938795</v>
      </c>
      <c r="AA20" s="217">
        <v>-850225</v>
      </c>
      <c r="AB20" s="218">
        <v>2791817</v>
      </c>
      <c r="AC20" s="218">
        <v>1504889</v>
      </c>
      <c r="AD20" s="218">
        <v>-1286928</v>
      </c>
      <c r="AE20" s="212">
        <v>0</v>
      </c>
      <c r="AF20" s="216">
        <v>604861</v>
      </c>
      <c r="AG20" s="219">
        <v>604861</v>
      </c>
      <c r="AH20" s="212">
        <v>0</v>
      </c>
      <c r="AI20" s="216">
        <v>0</v>
      </c>
      <c r="AJ20" s="220">
        <v>0</v>
      </c>
      <c r="AK20" s="212">
        <v>399834.50000000006</v>
      </c>
      <c r="AL20" s="216">
        <v>3808684.1300000004</v>
      </c>
      <c r="AM20" s="220">
        <v>3408849.6300000004</v>
      </c>
      <c r="AN20" s="212">
        <v>25331286.93</v>
      </c>
      <c r="AO20" s="216">
        <v>21598714.990000002</v>
      </c>
      <c r="AP20" s="220">
        <v>-3732571.9399999976</v>
      </c>
      <c r="AQ20" s="221">
        <v>0</v>
      </c>
      <c r="AR20" s="223">
        <v>0</v>
      </c>
      <c r="AS20" s="224">
        <v>0</v>
      </c>
      <c r="AT20" s="221">
        <v>2.5920708664704698E-2</v>
      </c>
      <c r="AU20" s="223">
        <v>0.19039454731579414</v>
      </c>
      <c r="AV20" s="224">
        <v>0.16447383865108944</v>
      </c>
      <c r="AW20" s="221">
        <v>1.6421917283640399</v>
      </c>
      <c r="AX20" s="223">
        <v>1.0797108457308344</v>
      </c>
      <c r="AY20" s="224">
        <v>-0.5624808826332055</v>
      </c>
      <c r="AZ20" s="225">
        <v>0.72884000000000004</v>
      </c>
      <c r="BA20" s="222">
        <v>0.71745999999999999</v>
      </c>
      <c r="BB20" s="226">
        <v>0.72319999999999995</v>
      </c>
    </row>
    <row r="21" spans="1:54" ht="12" thickBot="1" x14ac:dyDescent="0.25">
      <c r="A21" s="210">
        <v>7705</v>
      </c>
      <c r="B21" s="211" t="s">
        <v>294</v>
      </c>
      <c r="C21" s="154">
        <v>0.15160694392056071</v>
      </c>
      <c r="D21" s="156">
        <v>0.15915270908790058</v>
      </c>
      <c r="E21" s="154">
        <v>0.49156589442202703</v>
      </c>
      <c r="F21" s="156">
        <v>0.49486315283998639</v>
      </c>
      <c r="G21" s="154">
        <v>-2.6014333459065432E-2</v>
      </c>
      <c r="H21" s="156">
        <v>-5.0870942409064528E-2</v>
      </c>
      <c r="I21" s="154">
        <v>0</v>
      </c>
      <c r="J21" s="156">
        <v>0</v>
      </c>
      <c r="K21" s="212">
        <v>0</v>
      </c>
      <c r="L21" s="214">
        <v>0</v>
      </c>
      <c r="M21" s="154">
        <v>0</v>
      </c>
      <c r="N21" s="156">
        <v>0</v>
      </c>
      <c r="O21" s="213">
        <v>123.76237623762377</v>
      </c>
      <c r="P21" s="215">
        <v>119.67619047619047</v>
      </c>
      <c r="Q21" s="154">
        <v>0.62102217371484569</v>
      </c>
      <c r="R21" s="156">
        <v>0.64421171257607346</v>
      </c>
      <c r="S21" s="154">
        <v>0.15505052375205255</v>
      </c>
      <c r="T21" s="156">
        <v>0.12164368848261507</v>
      </c>
      <c r="U21" s="212">
        <v>2160380</v>
      </c>
      <c r="V21" s="214">
        <v>2423813</v>
      </c>
      <c r="W21" s="212">
        <v>14340087</v>
      </c>
      <c r="X21" s="214">
        <v>16077061</v>
      </c>
      <c r="Y21" s="212">
        <v>-370701</v>
      </c>
      <c r="Z21" s="216">
        <v>-774738</v>
      </c>
      <c r="AA21" s="217">
        <v>-404037</v>
      </c>
      <c r="AB21" s="218">
        <v>1665757</v>
      </c>
      <c r="AC21" s="218">
        <v>921301</v>
      </c>
      <c r="AD21" s="218">
        <v>-744456</v>
      </c>
      <c r="AE21" s="212">
        <v>0</v>
      </c>
      <c r="AF21" s="216">
        <v>0</v>
      </c>
      <c r="AG21" s="219">
        <v>0</v>
      </c>
      <c r="AH21" s="212">
        <v>0</v>
      </c>
      <c r="AI21" s="216">
        <v>0</v>
      </c>
      <c r="AJ21" s="220">
        <v>0</v>
      </c>
      <c r="AK21" s="212">
        <v>393600.12999999971</v>
      </c>
      <c r="AL21" s="216">
        <v>2091694.8399999989</v>
      </c>
      <c r="AM21" s="220">
        <v>1698094.7099999993</v>
      </c>
      <c r="AN21" s="212">
        <v>2125195.25</v>
      </c>
      <c r="AO21" s="216">
        <v>8930332.1199999992</v>
      </c>
      <c r="AP21" s="220">
        <v>6805136.8699999992</v>
      </c>
      <c r="AQ21" s="221">
        <v>0</v>
      </c>
      <c r="AR21" s="223">
        <v>0</v>
      </c>
      <c r="AS21" s="224">
        <v>0</v>
      </c>
      <c r="AT21" s="221">
        <v>3.46491157567946E-2</v>
      </c>
      <c r="AU21" s="223">
        <v>0.15851610613095152</v>
      </c>
      <c r="AV21" s="224">
        <v>0.12386699037415691</v>
      </c>
      <c r="AW21" s="221">
        <v>0.18708361763762654</v>
      </c>
      <c r="AX21" s="223">
        <v>0.67677246558516435</v>
      </c>
      <c r="AY21" s="224">
        <v>0.48968884794753781</v>
      </c>
      <c r="AZ21" s="225">
        <v>0.85272000000000003</v>
      </c>
      <c r="BA21" s="222">
        <v>0.67308000000000001</v>
      </c>
      <c r="BB21" s="226">
        <v>0.76290000000000002</v>
      </c>
    </row>
    <row r="22" spans="1:54" s="247" customFormat="1" ht="12" thickBot="1" x14ac:dyDescent="0.25">
      <c r="A22" s="227"/>
      <c r="B22" s="228" t="s">
        <v>398</v>
      </c>
      <c r="C22" s="229">
        <v>0.26853991033064223</v>
      </c>
      <c r="D22" s="230">
        <v>0.24983015874771231</v>
      </c>
      <c r="E22" s="229">
        <v>0.74076812699292582</v>
      </c>
      <c r="F22" s="230">
        <v>0.67268756554109921</v>
      </c>
      <c r="G22" s="229">
        <v>-1.6371523736339232E-2</v>
      </c>
      <c r="H22" s="230">
        <v>-2.101889848441104E-2</v>
      </c>
      <c r="I22" s="229">
        <v>0.46578148678966597</v>
      </c>
      <c r="J22" s="230">
        <v>0.4386933641928884</v>
      </c>
      <c r="K22" s="231">
        <v>275</v>
      </c>
      <c r="L22" s="233">
        <v>273</v>
      </c>
      <c r="M22" s="229">
        <v>4.1627938437985179E-2</v>
      </c>
      <c r="N22" s="230">
        <v>3.5718193556502763E-2</v>
      </c>
      <c r="O22" s="232">
        <v>264.78431920101184</v>
      </c>
      <c r="P22" s="234">
        <v>265.22430252654101</v>
      </c>
      <c r="Q22" s="229">
        <v>0.54757630772166066</v>
      </c>
      <c r="R22" s="230">
        <v>0.55127053667862458</v>
      </c>
      <c r="S22" s="229">
        <v>0.15019103214601789</v>
      </c>
      <c r="T22" s="230">
        <v>0.16406700337616953</v>
      </c>
      <c r="U22" s="235">
        <v>54482859</v>
      </c>
      <c r="V22" s="236">
        <v>57909459</v>
      </c>
      <c r="W22" s="235">
        <v>338650492</v>
      </c>
      <c r="X22" s="236">
        <v>401591119</v>
      </c>
      <c r="Y22" s="235">
        <v>-479464</v>
      </c>
      <c r="Z22" s="237">
        <v>-13566524</v>
      </c>
      <c r="AA22" s="238">
        <v>-13087060</v>
      </c>
      <c r="AB22" s="239">
        <v>62326588</v>
      </c>
      <c r="AC22" s="239">
        <v>43838867</v>
      </c>
      <c r="AD22" s="239">
        <v>-18487721</v>
      </c>
      <c r="AE22" s="235">
        <v>32191847</v>
      </c>
      <c r="AF22" s="237">
        <v>25890979</v>
      </c>
      <c r="AG22" s="240">
        <v>-6300868</v>
      </c>
      <c r="AH22" s="235">
        <v>42402569</v>
      </c>
      <c r="AI22" s="237">
        <v>39503668</v>
      </c>
      <c r="AJ22" s="240">
        <v>-2898901</v>
      </c>
      <c r="AK22" s="235">
        <v>55315481.069999993</v>
      </c>
      <c r="AL22" s="237">
        <v>98112833.070000008</v>
      </c>
      <c r="AM22" s="240">
        <v>42797351.999999993</v>
      </c>
      <c r="AN22" s="235">
        <v>161319427.81000003</v>
      </c>
      <c r="AO22" s="237">
        <v>309139450.74000001</v>
      </c>
      <c r="AP22" s="240">
        <v>147820022.93000001</v>
      </c>
      <c r="AQ22" s="241">
        <v>1.2652114111822597E-2</v>
      </c>
      <c r="AR22" s="243">
        <v>9.7126599813825692E-3</v>
      </c>
      <c r="AS22" s="244"/>
      <c r="AT22" s="241">
        <v>6.2851785130108709E-2</v>
      </c>
      <c r="AU22" s="243">
        <v>8.0657965663818193E-2</v>
      </c>
      <c r="AV22" s="244"/>
      <c r="AW22" s="241">
        <v>0.5238944130246479</v>
      </c>
      <c r="AX22" s="243">
        <v>0.57185651706326535</v>
      </c>
      <c r="AY22" s="244"/>
      <c r="AZ22" s="245">
        <v>0.80248150943396246</v>
      </c>
      <c r="BA22" s="242">
        <v>0.71835086792452807</v>
      </c>
      <c r="BB22" s="246">
        <v>0.76039999999999996</v>
      </c>
    </row>
    <row r="23" spans="1:54" x14ac:dyDescent="0.2">
      <c r="A23" s="248"/>
      <c r="B23" s="248" t="s">
        <v>382</v>
      </c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9"/>
      <c r="P23" s="249"/>
      <c r="Q23" s="250"/>
      <c r="R23" s="250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>
        <v>3</v>
      </c>
      <c r="AH23" s="248"/>
      <c r="AI23" s="248"/>
      <c r="AJ23" s="248">
        <v>5</v>
      </c>
      <c r="AK23" s="248"/>
      <c r="AL23" s="248"/>
      <c r="AM23" s="248">
        <v>14</v>
      </c>
      <c r="AN23" s="248"/>
      <c r="AO23" s="248"/>
      <c r="AP23" s="248">
        <v>14</v>
      </c>
      <c r="AQ23" s="248"/>
      <c r="AR23" s="248"/>
      <c r="AS23" s="248">
        <v>4</v>
      </c>
      <c r="AT23" s="248"/>
      <c r="AU23" s="248"/>
      <c r="AV23" s="248">
        <v>13</v>
      </c>
      <c r="AW23" s="248"/>
      <c r="AX23" s="248"/>
      <c r="AY23" s="248">
        <v>14</v>
      </c>
      <c r="AZ23" s="248"/>
      <c r="BA23" s="248"/>
      <c r="BB23" s="248"/>
    </row>
    <row r="24" spans="1:54" x14ac:dyDescent="0.2">
      <c r="A24" s="251"/>
      <c r="B24" s="251" t="s">
        <v>383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2"/>
      <c r="P24" s="252"/>
      <c r="Q24" s="253"/>
      <c r="R24" s="253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>
        <v>9</v>
      </c>
      <c r="AH24" s="251"/>
      <c r="AI24" s="251"/>
      <c r="AJ24" s="251">
        <v>6</v>
      </c>
      <c r="AK24" s="251"/>
      <c r="AL24" s="251"/>
      <c r="AM24" s="251">
        <v>3</v>
      </c>
      <c r="AN24" s="251"/>
      <c r="AO24" s="251"/>
      <c r="AP24" s="251">
        <v>3</v>
      </c>
      <c r="AQ24" s="251"/>
      <c r="AR24" s="251"/>
      <c r="AS24" s="251">
        <v>9</v>
      </c>
      <c r="AT24" s="251"/>
      <c r="AU24" s="251"/>
      <c r="AV24" s="251">
        <v>4</v>
      </c>
      <c r="AW24" s="251"/>
      <c r="AX24" s="251"/>
      <c r="AY24" s="251">
        <v>3</v>
      </c>
      <c r="AZ24" s="251"/>
      <c r="BA24" s="251"/>
      <c r="BB24" s="251"/>
    </row>
    <row r="25" spans="1:54" x14ac:dyDescent="0.2">
      <c r="A25" s="251"/>
      <c r="B25" s="251" t="s">
        <v>384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2"/>
      <c r="P25" s="252"/>
      <c r="Q25" s="253"/>
      <c r="R25" s="253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4">
        <v>882546</v>
      </c>
      <c r="AH25" s="251"/>
      <c r="AI25" s="251"/>
      <c r="AJ25" s="254">
        <v>2008369</v>
      </c>
      <c r="AK25" s="251"/>
      <c r="AL25" s="251"/>
      <c r="AM25" s="254">
        <v>43109746.029999994</v>
      </c>
      <c r="AN25" s="251"/>
      <c r="AO25" s="251"/>
      <c r="AP25" s="254">
        <v>153511297.75</v>
      </c>
      <c r="AQ25" s="251"/>
      <c r="AR25" s="251"/>
      <c r="AS25" s="254"/>
      <c r="AT25" s="251"/>
      <c r="AU25" s="251"/>
      <c r="AV25" s="251"/>
      <c r="AW25" s="251"/>
      <c r="AX25" s="251"/>
      <c r="AY25" s="251"/>
      <c r="AZ25" s="251"/>
      <c r="BA25" s="251"/>
      <c r="BB25" s="251"/>
    </row>
    <row r="26" spans="1:54" x14ac:dyDescent="0.2">
      <c r="A26" s="251"/>
      <c r="B26" s="251" t="s">
        <v>385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2"/>
      <c r="P26" s="252"/>
      <c r="Q26" s="253"/>
      <c r="R26" s="253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4">
        <v>-7183414</v>
      </c>
      <c r="AH26" s="251"/>
      <c r="AI26" s="251"/>
      <c r="AJ26" s="254">
        <v>-4907270</v>
      </c>
      <c r="AK26" s="251"/>
      <c r="AL26" s="251"/>
      <c r="AM26" s="254">
        <v>-312394.02999999991</v>
      </c>
      <c r="AN26" s="251"/>
      <c r="AO26" s="251"/>
      <c r="AP26" s="254">
        <v>-5691274.8199999984</v>
      </c>
      <c r="AQ26" s="251"/>
      <c r="AR26" s="251"/>
      <c r="AS26" s="254"/>
      <c r="AT26" s="251"/>
      <c r="AU26" s="251"/>
      <c r="AV26" s="251"/>
      <c r="AW26" s="251"/>
      <c r="AX26" s="251"/>
      <c r="AY26" s="251"/>
      <c r="AZ26" s="251"/>
      <c r="BA26" s="251"/>
      <c r="BB26" s="251"/>
    </row>
    <row r="27" spans="1:54" x14ac:dyDescent="0.2">
      <c r="A27" s="251"/>
      <c r="B27" s="251" t="s">
        <v>386</v>
      </c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2"/>
      <c r="P27" s="252"/>
      <c r="Q27" s="253"/>
      <c r="R27" s="253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1"/>
      <c r="AD27" s="251"/>
      <c r="AE27" s="251"/>
      <c r="AF27" s="251"/>
      <c r="AG27" s="251"/>
      <c r="AH27" s="251"/>
      <c r="AI27" s="251"/>
      <c r="AJ27" s="251"/>
      <c r="AK27" s="251"/>
      <c r="AL27" s="251"/>
      <c r="AM27" s="251"/>
      <c r="AN27" s="251"/>
      <c r="AO27" s="251"/>
      <c r="AP27" s="251"/>
      <c r="AQ27" s="251">
        <v>7</v>
      </c>
      <c r="AR27" s="251">
        <v>7</v>
      </c>
      <c r="AS27" s="251"/>
      <c r="AT27" s="251">
        <v>5</v>
      </c>
      <c r="AU27" s="251">
        <v>15</v>
      </c>
      <c r="AV27" s="251"/>
      <c r="AW27" s="251">
        <v>6</v>
      </c>
      <c r="AX27" s="251">
        <v>16</v>
      </c>
      <c r="AY27" s="251"/>
      <c r="AZ27" s="251"/>
      <c r="BA27" s="251"/>
      <c r="BB27" s="251"/>
    </row>
    <row r="30" spans="1:54" ht="12.75" x14ac:dyDescent="0.2">
      <c r="B30" s="178" t="s">
        <v>337</v>
      </c>
      <c r="C30" s="178"/>
      <c r="D30" s="178"/>
      <c r="E30" s="178"/>
      <c r="F30" s="178"/>
      <c r="G30" s="178"/>
      <c r="H30" s="178"/>
    </row>
    <row r="31" spans="1:54" ht="33" customHeight="1" x14ac:dyDescent="0.2">
      <c r="B31" s="277" t="s">
        <v>338</v>
      </c>
      <c r="C31" s="277"/>
      <c r="D31" s="277"/>
      <c r="E31" s="277"/>
      <c r="F31" s="277"/>
      <c r="G31" s="277"/>
      <c r="H31" s="277"/>
    </row>
    <row r="32" spans="1:54" ht="12.75" x14ac:dyDescent="0.2">
      <c r="B32" s="178" t="s">
        <v>387</v>
      </c>
      <c r="C32" s="178"/>
      <c r="D32" s="178"/>
      <c r="E32" s="178"/>
      <c r="F32" s="178"/>
      <c r="G32" s="178"/>
      <c r="H32" s="178"/>
    </row>
    <row r="33" spans="2:8" ht="12.75" x14ac:dyDescent="0.2">
      <c r="B33" s="178" t="s">
        <v>339</v>
      </c>
      <c r="C33" s="178"/>
      <c r="D33" s="178"/>
      <c r="E33" s="178"/>
      <c r="F33" s="178"/>
      <c r="G33" s="178"/>
      <c r="H33" s="178"/>
    </row>
  </sheetData>
  <mergeCells count="1">
    <mergeCell ref="B31:H31"/>
  </mergeCells>
  <conditionalFormatting sqref="AA5:AC21">
    <cfRule type="cellIs" dxfId="9" priority="6" operator="lessThan">
      <formula>0</formula>
    </cfRule>
  </conditionalFormatting>
  <conditionalFormatting sqref="AG5:AG21 AJ5:AJ21 AM5:AM21 AP5:AP21 AS5:AS21 AV5:AV21 AY5:AY21">
    <cfRule type="cellIs" dxfId="8" priority="5" operator="greaterThan">
      <formula>0</formula>
    </cfRule>
  </conditionalFormatting>
  <conditionalFormatting sqref="AQ5:AR21">
    <cfRule type="cellIs" dxfId="7" priority="4" operator="greaterThan">
      <formula>0.05</formula>
    </cfRule>
  </conditionalFormatting>
  <conditionalFormatting sqref="AT5:AU21">
    <cfRule type="cellIs" dxfId="6" priority="3" operator="greaterThan">
      <formula>0.15</formula>
    </cfRule>
  </conditionalFormatting>
  <conditionalFormatting sqref="AW5:AX21">
    <cfRule type="cellIs" dxfId="5" priority="2" operator="greaterThan">
      <formula>0.5</formula>
    </cfRule>
  </conditionalFormatting>
  <conditionalFormatting sqref="AQ5:AY21 M5:N21 I5:J21">
    <cfRule type="cellIs" dxfId="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topLeftCell="D1" zoomScale="130" zoomScaleNormal="130" workbookViewId="0">
      <selection activeCell="J17" sqref="J17"/>
    </sheetView>
  </sheetViews>
  <sheetFormatPr defaultRowHeight="11.25" x14ac:dyDescent="0.2"/>
  <cols>
    <col min="1" max="3" width="9.140625" style="255" hidden="1" customWidth="1"/>
    <col min="4" max="4" width="12.28515625" style="255" customWidth="1"/>
    <col min="5" max="5" width="38.7109375" style="255" customWidth="1"/>
    <col min="6" max="6" width="18" style="257" customWidth="1"/>
    <col min="7" max="7" width="18" style="258" customWidth="1"/>
    <col min="8" max="8" width="18" style="257" customWidth="1"/>
    <col min="9" max="16384" width="9.140625" style="255"/>
  </cols>
  <sheetData>
    <row r="1" spans="1:8" ht="12.75" x14ac:dyDescent="0.2">
      <c r="E1" s="256" t="s">
        <v>399</v>
      </c>
    </row>
    <row r="3" spans="1:8" x14ac:dyDescent="0.2">
      <c r="D3" s="255" t="s">
        <v>400</v>
      </c>
      <c r="E3" s="259">
        <v>5905</v>
      </c>
    </row>
    <row r="4" spans="1:8" ht="12" thickBot="1" x14ac:dyDescent="0.25">
      <c r="D4" s="255" t="s">
        <v>2</v>
      </c>
      <c r="E4" s="260" t="s">
        <v>120</v>
      </c>
      <c r="F4" s="261"/>
      <c r="G4" s="262"/>
      <c r="H4" s="261"/>
    </row>
    <row r="5" spans="1:8" ht="22.5" customHeight="1" x14ac:dyDescent="0.2">
      <c r="A5" s="255" t="s">
        <v>401</v>
      </c>
      <c r="B5" s="255" t="s">
        <v>402</v>
      </c>
      <c r="C5" s="255" t="s">
        <v>403</v>
      </c>
      <c r="E5" s="263" t="s">
        <v>404</v>
      </c>
      <c r="F5" s="264" t="s">
        <v>393</v>
      </c>
      <c r="G5" s="264" t="s">
        <v>394</v>
      </c>
      <c r="H5" s="265" t="s">
        <v>427</v>
      </c>
    </row>
    <row r="6" spans="1:8" x14ac:dyDescent="0.2">
      <c r="A6" s="266" t="s">
        <v>405</v>
      </c>
      <c r="B6" s="266" t="s">
        <v>406</v>
      </c>
      <c r="C6" s="266" t="s">
        <v>407</v>
      </c>
      <c r="E6" s="267" t="s">
        <v>408</v>
      </c>
      <c r="F6" s="268">
        <v>0.33556306434135619</v>
      </c>
      <c r="G6" s="268">
        <v>0.33188500151879513</v>
      </c>
      <c r="H6" s="269">
        <v>-3.6780628225610568E-3</v>
      </c>
    </row>
    <row r="7" spans="1:8" x14ac:dyDescent="0.2">
      <c r="A7" s="266" t="s">
        <v>409</v>
      </c>
      <c r="B7" s="266" t="s">
        <v>406</v>
      </c>
      <c r="C7" s="266" t="s">
        <v>407</v>
      </c>
      <c r="E7" s="267" t="s">
        <v>410</v>
      </c>
      <c r="F7" s="268">
        <v>0.62595944785571966</v>
      </c>
      <c r="G7" s="268">
        <v>0.80599095193762949</v>
      </c>
      <c r="H7" s="269">
        <v>0.18003150408190982</v>
      </c>
    </row>
    <row r="8" spans="1:8" ht="22.5" x14ac:dyDescent="0.2">
      <c r="A8" s="266" t="s">
        <v>411</v>
      </c>
      <c r="B8" s="266" t="s">
        <v>412</v>
      </c>
      <c r="C8" s="266" t="s">
        <v>407</v>
      </c>
      <c r="E8" s="267" t="s">
        <v>413</v>
      </c>
      <c r="F8" s="268">
        <v>6.740668103808771E-2</v>
      </c>
      <c r="G8" s="268">
        <v>1.1711072360575742E-2</v>
      </c>
      <c r="H8" s="269">
        <v>-5.5695608677511971E-2</v>
      </c>
    </row>
    <row r="9" spans="1:8" x14ac:dyDescent="0.2">
      <c r="A9" s="266" t="s">
        <v>414</v>
      </c>
      <c r="B9" s="266"/>
      <c r="C9" s="266"/>
      <c r="D9" s="266"/>
      <c r="E9" s="267" t="s">
        <v>326</v>
      </c>
      <c r="F9" s="270">
        <v>9768248</v>
      </c>
      <c r="G9" s="270">
        <v>-271778</v>
      </c>
      <c r="H9" s="271">
        <v>-10040026</v>
      </c>
    </row>
    <row r="10" spans="1:8" x14ac:dyDescent="0.2">
      <c r="A10" s="266" t="s">
        <v>405</v>
      </c>
      <c r="B10" s="266"/>
      <c r="C10" s="266"/>
      <c r="D10" s="266"/>
      <c r="E10" s="267" t="s">
        <v>415</v>
      </c>
      <c r="F10" s="270">
        <v>32121840.439999998</v>
      </c>
      <c r="G10" s="270">
        <v>38948754.649999991</v>
      </c>
      <c r="H10" s="271">
        <v>6826914.2099999934</v>
      </c>
    </row>
    <row r="11" spans="1:8" x14ac:dyDescent="0.2">
      <c r="A11" s="266" t="s">
        <v>409</v>
      </c>
      <c r="B11" s="266"/>
      <c r="C11" s="266"/>
      <c r="D11" s="266"/>
      <c r="E11" s="267" t="s">
        <v>416</v>
      </c>
      <c r="F11" s="270">
        <v>59920091.459999993</v>
      </c>
      <c r="G11" s="270">
        <v>94588016.00999999</v>
      </c>
      <c r="H11" s="271">
        <v>34667924.549999997</v>
      </c>
    </row>
    <row r="12" spans="1:8" ht="22.5" x14ac:dyDescent="0.2">
      <c r="A12" s="266" t="s">
        <v>411</v>
      </c>
      <c r="B12" s="266"/>
      <c r="C12" s="266"/>
      <c r="D12" s="266"/>
      <c r="E12" s="267" t="s">
        <v>417</v>
      </c>
      <c r="F12" s="270">
        <v>7817839</v>
      </c>
      <c r="G12" s="270">
        <v>1886647</v>
      </c>
      <c r="H12" s="271">
        <v>-5931192</v>
      </c>
    </row>
    <row r="13" spans="1:8" x14ac:dyDescent="0.2">
      <c r="A13" s="266" t="s">
        <v>418</v>
      </c>
      <c r="B13" s="266"/>
      <c r="C13" s="266"/>
      <c r="D13" s="266"/>
      <c r="E13" s="267" t="s">
        <v>419</v>
      </c>
      <c r="F13" s="270">
        <v>9131333</v>
      </c>
      <c r="G13" s="270">
        <v>12789846</v>
      </c>
      <c r="H13" s="271">
        <v>3658513</v>
      </c>
    </row>
    <row r="14" spans="1:8" x14ac:dyDescent="0.2">
      <c r="A14" s="266" t="s">
        <v>420</v>
      </c>
      <c r="B14" s="266"/>
      <c r="C14" s="266"/>
      <c r="D14" s="266"/>
      <c r="E14" s="272" t="s">
        <v>421</v>
      </c>
      <c r="F14" s="270">
        <v>24651545</v>
      </c>
      <c r="G14" s="270">
        <v>31532215</v>
      </c>
      <c r="H14" s="271">
        <v>6880670</v>
      </c>
    </row>
    <row r="15" spans="1:8" x14ac:dyDescent="0.2">
      <c r="A15" s="266" t="s">
        <v>412</v>
      </c>
      <c r="B15" s="266"/>
      <c r="C15" s="266"/>
      <c r="D15" s="266"/>
      <c r="E15" s="272" t="s">
        <v>422</v>
      </c>
      <c r="F15" s="270">
        <v>115980180</v>
      </c>
      <c r="G15" s="270">
        <v>161099423</v>
      </c>
      <c r="H15" s="271">
        <v>45119243</v>
      </c>
    </row>
    <row r="16" spans="1:8" ht="23.25" thickBot="1" x14ac:dyDescent="0.25">
      <c r="A16" s="266" t="s">
        <v>423</v>
      </c>
      <c r="B16" s="266"/>
      <c r="C16" s="266"/>
      <c r="D16" s="266"/>
      <c r="E16" s="273" t="s">
        <v>424</v>
      </c>
      <c r="F16" s="274">
        <v>7026546</v>
      </c>
      <c r="G16" s="274">
        <v>18924383</v>
      </c>
      <c r="H16" s="275">
        <v>11897837</v>
      </c>
    </row>
    <row r="18" spans="1:8" x14ac:dyDescent="0.2">
      <c r="E18" s="276" t="s">
        <v>425</v>
      </c>
    </row>
    <row r="19" spans="1:8" x14ac:dyDescent="0.2">
      <c r="E19" s="276" t="s">
        <v>426</v>
      </c>
    </row>
    <row r="21" spans="1:8" x14ac:dyDescent="0.2">
      <c r="D21" s="255" t="s">
        <v>400</v>
      </c>
      <c r="E21" s="259">
        <v>6001</v>
      </c>
    </row>
    <row r="22" spans="1:8" ht="12" thickBot="1" x14ac:dyDescent="0.25">
      <c r="D22" s="255" t="s">
        <v>2</v>
      </c>
      <c r="E22" s="260" t="s">
        <v>128</v>
      </c>
      <c r="F22" s="261"/>
      <c r="G22" s="262"/>
      <c r="H22" s="261"/>
    </row>
    <row r="23" spans="1:8" ht="22.5" x14ac:dyDescent="0.2">
      <c r="A23" s="255" t="s">
        <v>401</v>
      </c>
      <c r="B23" s="255" t="s">
        <v>402</v>
      </c>
      <c r="C23" s="255" t="s">
        <v>403</v>
      </c>
      <c r="E23" s="263" t="s">
        <v>404</v>
      </c>
      <c r="F23" s="264" t="s">
        <v>393</v>
      </c>
      <c r="G23" s="264" t="s">
        <v>394</v>
      </c>
      <c r="H23" s="265" t="s">
        <v>427</v>
      </c>
    </row>
    <row r="24" spans="1:8" x14ac:dyDescent="0.2">
      <c r="A24" s="266" t="s">
        <v>405</v>
      </c>
      <c r="B24" s="266" t="s">
        <v>406</v>
      </c>
      <c r="C24" s="266" t="s">
        <v>407</v>
      </c>
      <c r="E24" s="267" t="s">
        <v>408</v>
      </c>
      <c r="F24" s="268">
        <v>0.17337077907851545</v>
      </c>
      <c r="G24" s="268">
        <v>5.4663770122259571E-2</v>
      </c>
      <c r="H24" s="269">
        <v>-0.11870700895625588</v>
      </c>
    </row>
    <row r="25" spans="1:8" x14ac:dyDescent="0.2">
      <c r="A25" s="266" t="s">
        <v>409</v>
      </c>
      <c r="B25" s="266" t="s">
        <v>406</v>
      </c>
      <c r="C25" s="266" t="s">
        <v>407</v>
      </c>
      <c r="E25" s="267" t="s">
        <v>410</v>
      </c>
      <c r="F25" s="268">
        <v>0.2679375444276253</v>
      </c>
      <c r="G25" s="268">
        <v>0.32654334804199864</v>
      </c>
      <c r="H25" s="269">
        <v>5.8605803614373342E-2</v>
      </c>
    </row>
    <row r="26" spans="1:8" ht="22.5" x14ac:dyDescent="0.2">
      <c r="A26" s="266" t="s">
        <v>411</v>
      </c>
      <c r="B26" s="266" t="s">
        <v>412</v>
      </c>
      <c r="C26" s="266" t="s">
        <v>407</v>
      </c>
      <c r="E26" s="267" t="s">
        <v>413</v>
      </c>
      <c r="F26" s="268">
        <v>5.5692240801848023E-2</v>
      </c>
      <c r="G26" s="268">
        <v>3.5627697329372231E-2</v>
      </c>
      <c r="H26" s="269">
        <v>-2.0064543472475792E-2</v>
      </c>
    </row>
    <row r="27" spans="1:8" x14ac:dyDescent="0.2">
      <c r="A27" s="266" t="s">
        <v>414</v>
      </c>
      <c r="B27" s="266"/>
      <c r="C27" s="266"/>
      <c r="D27" s="266"/>
      <c r="E27" s="267" t="s">
        <v>326</v>
      </c>
      <c r="F27" s="270">
        <v>1159091</v>
      </c>
      <c r="G27" s="270">
        <v>109633</v>
      </c>
      <c r="H27" s="271">
        <v>-1049458</v>
      </c>
    </row>
    <row r="28" spans="1:8" x14ac:dyDescent="0.2">
      <c r="A28" s="266" t="s">
        <v>405</v>
      </c>
      <c r="B28" s="266"/>
      <c r="C28" s="266"/>
      <c r="D28" s="266"/>
      <c r="E28" s="267" t="s">
        <v>415</v>
      </c>
      <c r="F28" s="270">
        <v>2006036.0100000002</v>
      </c>
      <c r="G28" s="270">
        <v>758065.62999999989</v>
      </c>
      <c r="H28" s="271">
        <v>-1247970.3800000004</v>
      </c>
    </row>
    <row r="29" spans="1:8" x14ac:dyDescent="0.2">
      <c r="A29" s="266" t="s">
        <v>409</v>
      </c>
      <c r="B29" s="266"/>
      <c r="C29" s="266"/>
      <c r="D29" s="266"/>
      <c r="E29" s="267" t="s">
        <v>416</v>
      </c>
      <c r="F29" s="270">
        <v>3100247.72</v>
      </c>
      <c r="G29" s="270">
        <v>4528434.25</v>
      </c>
      <c r="H29" s="271">
        <v>1428186.5299999998</v>
      </c>
    </row>
    <row r="30" spans="1:8" ht="22.5" x14ac:dyDescent="0.2">
      <c r="A30" s="266" t="s">
        <v>411</v>
      </c>
      <c r="B30" s="266"/>
      <c r="C30" s="266"/>
      <c r="D30" s="266"/>
      <c r="E30" s="267" t="s">
        <v>417</v>
      </c>
      <c r="F30" s="270">
        <v>787757</v>
      </c>
      <c r="G30" s="270">
        <v>594193</v>
      </c>
      <c r="H30" s="271">
        <v>-193564</v>
      </c>
    </row>
    <row r="31" spans="1:8" x14ac:dyDescent="0.2">
      <c r="A31" s="266" t="s">
        <v>418</v>
      </c>
      <c r="B31" s="266"/>
      <c r="C31" s="266"/>
      <c r="D31" s="266"/>
      <c r="E31" s="267" t="s">
        <v>419</v>
      </c>
      <c r="F31" s="270">
        <v>350025</v>
      </c>
      <c r="G31" s="270">
        <v>1299992</v>
      </c>
      <c r="H31" s="271">
        <v>949967</v>
      </c>
    </row>
    <row r="32" spans="1:8" x14ac:dyDescent="0.2">
      <c r="A32" s="266" t="s">
        <v>420</v>
      </c>
      <c r="B32" s="266"/>
      <c r="C32" s="266"/>
      <c r="D32" s="266"/>
      <c r="E32" s="272" t="s">
        <v>421</v>
      </c>
      <c r="F32" s="270">
        <v>3206303</v>
      </c>
      <c r="G32" s="270">
        <v>3048404</v>
      </c>
      <c r="H32" s="271">
        <v>-157899</v>
      </c>
    </row>
    <row r="33" spans="1:8" x14ac:dyDescent="0.2">
      <c r="A33" s="266" t="s">
        <v>412</v>
      </c>
      <c r="B33" s="266"/>
      <c r="C33" s="266"/>
      <c r="D33" s="266"/>
      <c r="E33" s="272" t="s">
        <v>422</v>
      </c>
      <c r="F33" s="270">
        <v>14144825</v>
      </c>
      <c r="G33" s="270">
        <v>16677839</v>
      </c>
      <c r="H33" s="271">
        <v>2533014</v>
      </c>
    </row>
    <row r="34" spans="1:8" ht="23.25" thickBot="1" x14ac:dyDescent="0.25">
      <c r="A34" s="266" t="s">
        <v>423</v>
      </c>
      <c r="B34" s="266"/>
      <c r="C34" s="266"/>
      <c r="D34" s="266"/>
      <c r="E34" s="273" t="s">
        <v>424</v>
      </c>
      <c r="F34" s="274">
        <v>1735740</v>
      </c>
      <c r="G34" s="274">
        <v>2541996</v>
      </c>
      <c r="H34" s="275">
        <v>806256</v>
      </c>
    </row>
    <row r="36" spans="1:8" x14ac:dyDescent="0.2">
      <c r="E36" s="276" t="s">
        <v>425</v>
      </c>
    </row>
    <row r="37" spans="1:8" x14ac:dyDescent="0.2">
      <c r="E37" s="276" t="s">
        <v>426</v>
      </c>
    </row>
  </sheetData>
  <conditionalFormatting sqref="H6:H8 H10:H13 H15">
    <cfRule type="cellIs" dxfId="3" priority="13" operator="greaterThan">
      <formula>0</formula>
    </cfRule>
  </conditionalFormatting>
  <conditionalFormatting sqref="H16 H9 H14">
    <cfRule type="cellIs" dxfId="2" priority="12" operator="lessThan">
      <formula>0</formula>
    </cfRule>
  </conditionalFormatting>
  <conditionalFormatting sqref="H24:H26 H28:H31 H33">
    <cfRule type="cellIs" dxfId="1" priority="5" operator="greaterThan">
      <formula>0</formula>
    </cfRule>
  </conditionalFormatting>
  <conditionalFormatting sqref="H34 H27 H32">
    <cfRule type="cellIs" dxfId="0" priority="4" operator="lessThan">
      <formula>0</formula>
    </cfRule>
  </conditionalFormatting>
  <dataValidations count="2">
    <dataValidation type="list" allowBlank="1" showInputMessage="1" showErrorMessage="1" sqref="E3 E21">
      <formula1>mun_codes</formula1>
    </dataValidation>
    <dataValidation type="list" allowBlank="1" showInputMessage="1" showErrorMessage="1" sqref="F5:G5 F23:G23">
      <formula1>quarter_list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T317"/>
  <sheetViews>
    <sheetView showGridLines="0" zoomScale="70" zoomScaleNormal="70" zoomScaleSheetLayoutView="100" workbookViewId="0">
      <pane xSplit="3" ySplit="1" topLeftCell="D2" activePane="bottomRight" state="frozen"/>
      <selection activeCell="T1" sqref="T1"/>
      <selection pane="topRight" activeCell="T1" sqref="T1"/>
      <selection pane="bottomLeft" activeCell="T1" sqref="T1"/>
      <selection pane="bottomRight"/>
    </sheetView>
  </sheetViews>
  <sheetFormatPr defaultRowHeight="15.75" x14ac:dyDescent="0.25"/>
  <cols>
    <col min="1" max="1" width="12.42578125" style="100" customWidth="1"/>
    <col min="2" max="2" width="9.7109375" style="100" customWidth="1"/>
    <col min="3" max="3" width="19.7109375" style="100" customWidth="1"/>
    <col min="4" max="7" width="20.28515625" style="101" customWidth="1"/>
    <col min="8" max="8" width="21.85546875" style="101" customWidth="1"/>
    <col min="9" max="9" width="20.5703125" style="102" customWidth="1"/>
    <col min="10" max="10" width="21.85546875" style="102" customWidth="1"/>
    <col min="11" max="11" width="21.42578125" style="102" customWidth="1"/>
    <col min="12" max="12" width="22.42578125" style="102" customWidth="1"/>
    <col min="13" max="13" width="33.42578125" style="38" customWidth="1"/>
    <col min="14" max="14" width="11.140625" style="38" customWidth="1"/>
    <col min="15" max="15" width="10.28515625" style="38" customWidth="1"/>
    <col min="16" max="16" width="10" style="38" customWidth="1"/>
    <col min="17" max="16384" width="9.140625" style="38"/>
  </cols>
  <sheetData>
    <row r="1" spans="1:17" s="12" customFormat="1" ht="150" customHeight="1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10</v>
      </c>
      <c r="J1" s="4" t="s">
        <v>311</v>
      </c>
      <c r="K1" s="4" t="s">
        <v>312</v>
      </c>
      <c r="L1" s="4" t="s">
        <v>313</v>
      </c>
      <c r="M1" s="118" t="s">
        <v>314</v>
      </c>
    </row>
    <row r="2" spans="1:17" s="21" customFormat="1" x14ac:dyDescent="0.25">
      <c r="A2" s="119"/>
      <c r="B2" s="119"/>
      <c r="C2" s="119"/>
      <c r="D2" s="120"/>
      <c r="E2" s="120"/>
      <c r="F2" s="120"/>
      <c r="G2" s="120"/>
      <c r="H2" s="120"/>
      <c r="I2" s="121"/>
      <c r="J2" s="121"/>
      <c r="K2" s="121"/>
      <c r="L2" s="121"/>
      <c r="M2" s="122"/>
    </row>
    <row r="3" spans="1:17" x14ac:dyDescent="0.25">
      <c r="A3" s="40" t="s">
        <v>38</v>
      </c>
      <c r="B3" s="41">
        <v>5101</v>
      </c>
      <c r="C3" s="40" t="s">
        <v>39</v>
      </c>
      <c r="D3" s="42">
        <v>25906263</v>
      </c>
      <c r="E3" s="42">
        <v>32013915</v>
      </c>
      <c r="F3" s="42">
        <v>56316848</v>
      </c>
      <c r="G3" s="42">
        <v>46281436</v>
      </c>
      <c r="H3" s="42">
        <v>40129616</v>
      </c>
      <c r="I3" s="44">
        <v>24622020.630000003</v>
      </c>
      <c r="J3" s="44"/>
      <c r="K3" s="44">
        <v>9107526.3100000005</v>
      </c>
      <c r="L3" s="44">
        <v>0</v>
      </c>
      <c r="M3" s="123">
        <v>0.38660958829010478</v>
      </c>
      <c r="O3" s="39"/>
      <c r="Q3" s="39"/>
    </row>
    <row r="4" spans="1:17" x14ac:dyDescent="0.25">
      <c r="A4" s="40"/>
      <c r="B4" s="41">
        <v>5102</v>
      </c>
      <c r="C4" s="40" t="s">
        <v>40</v>
      </c>
      <c r="D4" s="42">
        <v>12151441</v>
      </c>
      <c r="E4" s="42">
        <v>14944250</v>
      </c>
      <c r="F4" s="42">
        <v>20600839</v>
      </c>
      <c r="G4" s="42">
        <v>25144229</v>
      </c>
      <c r="H4" s="42">
        <v>18210190</v>
      </c>
      <c r="I4" s="44">
        <v>25221801.549999997</v>
      </c>
      <c r="J4" s="44"/>
      <c r="K4" s="44">
        <v>1191930</v>
      </c>
      <c r="L4" s="44">
        <v>19291639</v>
      </c>
      <c r="M4" s="123">
        <v>0.26019676620617344</v>
      </c>
      <c r="O4" s="39"/>
      <c r="Q4" s="39"/>
    </row>
    <row r="5" spans="1:17" x14ac:dyDescent="0.25">
      <c r="A5" s="40"/>
      <c r="B5" s="41">
        <v>5103</v>
      </c>
      <c r="C5" s="40" t="s">
        <v>38</v>
      </c>
      <c r="D5" s="42">
        <v>94937172</v>
      </c>
      <c r="E5" s="42">
        <v>110475891</v>
      </c>
      <c r="F5" s="42">
        <v>128684957</v>
      </c>
      <c r="G5" s="42">
        <v>160512380</v>
      </c>
      <c r="H5" s="42">
        <v>123652600</v>
      </c>
      <c r="I5" s="44">
        <v>42307273.850000001</v>
      </c>
      <c r="J5" s="44"/>
      <c r="K5" s="44"/>
      <c r="L5" s="44">
        <v>18069206</v>
      </c>
      <c r="M5" s="123">
        <v>0.19601745414168406</v>
      </c>
      <c r="O5" s="39"/>
      <c r="Q5" s="39"/>
    </row>
    <row r="6" spans="1:17" x14ac:dyDescent="0.25">
      <c r="A6" s="40"/>
      <c r="B6" s="41">
        <v>5104</v>
      </c>
      <c r="C6" s="40" t="s">
        <v>41</v>
      </c>
      <c r="D6" s="42">
        <v>43221142</v>
      </c>
      <c r="E6" s="42">
        <v>51642458</v>
      </c>
      <c r="F6" s="42">
        <v>59331960</v>
      </c>
      <c r="G6" s="42">
        <v>66517789</v>
      </c>
      <c r="H6" s="42">
        <v>55178337</v>
      </c>
      <c r="I6" s="44">
        <v>29581352.720000003</v>
      </c>
      <c r="J6" s="44">
        <v>22000</v>
      </c>
      <c r="K6" s="44">
        <v>6224873</v>
      </c>
      <c r="L6" s="44">
        <v>10838544</v>
      </c>
      <c r="M6" s="123">
        <v>0.22646452211852638</v>
      </c>
      <c r="O6" s="39"/>
      <c r="Q6" s="39"/>
    </row>
    <row r="7" spans="1:17" x14ac:dyDescent="0.25">
      <c r="A7" s="40"/>
      <c r="B7" s="41">
        <v>5105</v>
      </c>
      <c r="C7" s="40" t="s">
        <v>42</v>
      </c>
      <c r="D7" s="42">
        <v>25072298</v>
      </c>
      <c r="E7" s="42">
        <v>28496603</v>
      </c>
      <c r="F7" s="42">
        <v>32649506</v>
      </c>
      <c r="G7" s="42">
        <v>38193583</v>
      </c>
      <c r="H7" s="42">
        <v>31102998</v>
      </c>
      <c r="I7" s="44">
        <v>21128916.460000001</v>
      </c>
      <c r="J7" s="44"/>
      <c r="K7" s="44"/>
      <c r="L7" s="44">
        <v>17226167</v>
      </c>
      <c r="M7" s="123">
        <v>0.12547824039341804</v>
      </c>
      <c r="O7" s="39"/>
      <c r="Q7" s="39"/>
    </row>
    <row r="8" spans="1:17" x14ac:dyDescent="0.25">
      <c r="A8" s="40"/>
      <c r="B8" s="41">
        <v>5106</v>
      </c>
      <c r="C8" s="40" t="s">
        <v>43</v>
      </c>
      <c r="D8" s="42">
        <v>7288171</v>
      </c>
      <c r="E8" s="42">
        <v>9060910</v>
      </c>
      <c r="F8" s="42">
        <v>19490071</v>
      </c>
      <c r="G8" s="42">
        <v>23105911</v>
      </c>
      <c r="H8" s="42">
        <v>14736266</v>
      </c>
      <c r="I8" s="44">
        <v>33784723.18</v>
      </c>
      <c r="J8" s="44"/>
      <c r="K8" s="44">
        <v>33600</v>
      </c>
      <c r="L8" s="44">
        <v>0</v>
      </c>
      <c r="M8" s="123">
        <v>2.2903443233177252</v>
      </c>
      <c r="O8" s="39"/>
      <c r="Q8" s="39"/>
    </row>
    <row r="9" spans="1:17" x14ac:dyDescent="0.25">
      <c r="A9" s="40"/>
      <c r="B9" s="41">
        <v>5107</v>
      </c>
      <c r="C9" s="40" t="s">
        <v>44</v>
      </c>
      <c r="D9" s="42">
        <v>56731140</v>
      </c>
      <c r="E9" s="42">
        <v>64195371</v>
      </c>
      <c r="F9" s="42">
        <v>77393524</v>
      </c>
      <c r="G9" s="42">
        <v>97735774</v>
      </c>
      <c r="H9" s="42">
        <v>74013952</v>
      </c>
      <c r="I9" s="44">
        <v>34841981.060000002</v>
      </c>
      <c r="J9" s="44">
        <v>0</v>
      </c>
      <c r="K9" s="44">
        <v>3920961</v>
      </c>
      <c r="L9" s="44">
        <v>972523</v>
      </c>
      <c r="M9" s="123">
        <v>0.40463312998068257</v>
      </c>
      <c r="O9" s="39"/>
      <c r="Q9" s="39"/>
    </row>
    <row r="10" spans="1:17" x14ac:dyDescent="0.25">
      <c r="A10" s="40"/>
      <c r="B10" s="41">
        <v>5108</v>
      </c>
      <c r="C10" s="40" t="s">
        <v>45</v>
      </c>
      <c r="D10" s="42">
        <v>31513970</v>
      </c>
      <c r="E10" s="42">
        <v>32560532</v>
      </c>
      <c r="F10" s="42">
        <v>49548328</v>
      </c>
      <c r="G10" s="42">
        <v>47779570</v>
      </c>
      <c r="H10" s="42">
        <v>40350600</v>
      </c>
      <c r="I10" s="44">
        <v>23982333.520000003</v>
      </c>
      <c r="J10" s="44"/>
      <c r="K10" s="44">
        <v>461518</v>
      </c>
      <c r="L10" s="44">
        <v>1285605</v>
      </c>
      <c r="M10" s="123">
        <v>0.55105030705863123</v>
      </c>
      <c r="O10" s="39"/>
      <c r="Q10" s="39"/>
    </row>
    <row r="11" spans="1:17" x14ac:dyDescent="0.25">
      <c r="A11" s="40"/>
      <c r="B11" s="41">
        <v>5109</v>
      </c>
      <c r="C11" s="40" t="s">
        <v>46</v>
      </c>
      <c r="D11" s="42">
        <v>48671228</v>
      </c>
      <c r="E11" s="42">
        <v>59023488</v>
      </c>
      <c r="F11" s="42">
        <v>74890568</v>
      </c>
      <c r="G11" s="42">
        <v>75307749</v>
      </c>
      <c r="H11" s="42">
        <v>64473258</v>
      </c>
      <c r="I11" s="44">
        <v>37765832.379999995</v>
      </c>
      <c r="J11" s="44"/>
      <c r="K11" s="44">
        <v>198775</v>
      </c>
      <c r="L11" s="44"/>
      <c r="M11" s="123">
        <v>0.58267657855912902</v>
      </c>
      <c r="O11" s="39"/>
      <c r="Q11" s="39"/>
    </row>
    <row r="12" spans="1:17" x14ac:dyDescent="0.25">
      <c r="A12" s="40"/>
      <c r="B12" s="41">
        <v>5110</v>
      </c>
      <c r="C12" s="40" t="s">
        <v>47</v>
      </c>
      <c r="D12" s="42">
        <v>18543111</v>
      </c>
      <c r="E12" s="42">
        <v>19365831</v>
      </c>
      <c r="F12" s="42">
        <v>23996010</v>
      </c>
      <c r="G12" s="42">
        <v>32141936</v>
      </c>
      <c r="H12" s="42">
        <v>23511722</v>
      </c>
      <c r="I12" s="44">
        <v>5375827.4000000004</v>
      </c>
      <c r="J12" s="44">
        <v>0</v>
      </c>
      <c r="K12" s="44"/>
      <c r="L12" s="44"/>
      <c r="M12" s="123">
        <v>0.22864456291206575</v>
      </c>
      <c r="O12" s="39"/>
      <c r="Q12" s="39"/>
    </row>
    <row r="13" spans="1:17" x14ac:dyDescent="0.25">
      <c r="A13" s="40"/>
      <c r="B13" s="41">
        <v>5111</v>
      </c>
      <c r="C13" s="40" t="s">
        <v>48</v>
      </c>
      <c r="D13" s="42">
        <v>20002288</v>
      </c>
      <c r="E13" s="42">
        <v>23870671</v>
      </c>
      <c r="F13" s="42">
        <v>26857322</v>
      </c>
      <c r="G13" s="42">
        <v>34772297</v>
      </c>
      <c r="H13" s="42">
        <v>26375645</v>
      </c>
      <c r="I13" s="44">
        <v>19003113.48</v>
      </c>
      <c r="J13" s="44"/>
      <c r="K13" s="44">
        <v>548313</v>
      </c>
      <c r="L13" s="44">
        <v>1461923</v>
      </c>
      <c r="M13" s="123">
        <v>0.64426395942165582</v>
      </c>
      <c r="O13" s="39"/>
      <c r="Q13" s="39"/>
    </row>
    <row r="14" spans="1:17" x14ac:dyDescent="0.25">
      <c r="A14" s="40"/>
      <c r="B14" s="41">
        <v>5112</v>
      </c>
      <c r="C14" s="40" t="s">
        <v>49</v>
      </c>
      <c r="D14" s="42">
        <v>8014124</v>
      </c>
      <c r="E14" s="42">
        <v>9398560</v>
      </c>
      <c r="F14" s="42">
        <v>16182903</v>
      </c>
      <c r="G14" s="42">
        <v>17748408</v>
      </c>
      <c r="H14" s="42">
        <v>12835999</v>
      </c>
      <c r="I14" s="44">
        <v>13548910.149999999</v>
      </c>
      <c r="J14" s="44">
        <v>0</v>
      </c>
      <c r="K14" s="44">
        <v>66800</v>
      </c>
      <c r="L14" s="44">
        <v>7126418</v>
      </c>
      <c r="M14" s="123">
        <v>0.49514589008615523</v>
      </c>
      <c r="O14" s="39"/>
      <c r="Q14" s="39"/>
    </row>
    <row r="15" spans="1:17" x14ac:dyDescent="0.25">
      <c r="A15" s="40"/>
      <c r="B15" s="41">
        <v>5113</v>
      </c>
      <c r="C15" s="40" t="s">
        <v>50</v>
      </c>
      <c r="D15" s="42">
        <v>11962271</v>
      </c>
      <c r="E15" s="42">
        <v>12296389</v>
      </c>
      <c r="F15" s="42">
        <v>17471727</v>
      </c>
      <c r="G15" s="42">
        <v>17384197</v>
      </c>
      <c r="H15" s="42">
        <v>14778646</v>
      </c>
      <c r="I15" s="44">
        <v>10985704.09</v>
      </c>
      <c r="J15" s="44"/>
      <c r="K15" s="44">
        <v>10985704</v>
      </c>
      <c r="L15" s="44"/>
      <c r="M15" s="123">
        <v>6.0898677626481064E-9</v>
      </c>
      <c r="O15" s="39"/>
      <c r="Q15" s="39"/>
    </row>
    <row r="16" spans="1:17" x14ac:dyDescent="0.25">
      <c r="A16" s="40"/>
      <c r="B16" s="41">
        <v>5114</v>
      </c>
      <c r="C16" s="40" t="s">
        <v>51</v>
      </c>
      <c r="D16" s="42">
        <v>12290308</v>
      </c>
      <c r="E16" s="42">
        <v>14804970</v>
      </c>
      <c r="F16" s="42">
        <v>14982771</v>
      </c>
      <c r="G16" s="42">
        <v>21138305</v>
      </c>
      <c r="H16" s="42">
        <v>15804089</v>
      </c>
      <c r="I16" s="44">
        <v>10655093.73</v>
      </c>
      <c r="J16" s="44"/>
      <c r="K16" s="44"/>
      <c r="L16" s="44">
        <v>9874477</v>
      </c>
      <c r="M16" s="123">
        <v>4.9393339280739336E-2</v>
      </c>
      <c r="O16" s="39"/>
      <c r="Q16" s="39"/>
    </row>
    <row r="17" spans="1:17" x14ac:dyDescent="0.25">
      <c r="A17" s="40" t="s">
        <v>52</v>
      </c>
      <c r="B17" s="41">
        <v>5201</v>
      </c>
      <c r="C17" s="40" t="s">
        <v>53</v>
      </c>
      <c r="D17" s="42">
        <v>30928274</v>
      </c>
      <c r="E17" s="42">
        <v>34922643</v>
      </c>
      <c r="F17" s="42">
        <v>41447662</v>
      </c>
      <c r="G17" s="42">
        <v>52909588</v>
      </c>
      <c r="H17" s="42">
        <v>40052042</v>
      </c>
      <c r="I17" s="44">
        <v>24420678.010000002</v>
      </c>
      <c r="J17" s="44">
        <v>0</v>
      </c>
      <c r="K17" s="44">
        <v>1306666</v>
      </c>
      <c r="L17" s="44">
        <v>437482</v>
      </c>
      <c r="M17" s="123">
        <v>0.56617662615054687</v>
      </c>
      <c r="O17" s="39"/>
      <c r="Q17" s="39"/>
    </row>
    <row r="18" spans="1:17" x14ac:dyDescent="0.25">
      <c r="A18" s="40"/>
      <c r="B18" s="41">
        <v>5202</v>
      </c>
      <c r="C18" s="40" t="s">
        <v>52</v>
      </c>
      <c r="D18" s="42">
        <v>271677115</v>
      </c>
      <c r="E18" s="42">
        <v>297226699</v>
      </c>
      <c r="F18" s="42">
        <v>374119821</v>
      </c>
      <c r="G18" s="42">
        <v>514426620</v>
      </c>
      <c r="H18" s="42">
        <v>364362564</v>
      </c>
      <c r="I18" s="44">
        <v>416911696.73000002</v>
      </c>
      <c r="J18" s="44"/>
      <c r="K18" s="44">
        <v>3524856</v>
      </c>
      <c r="L18" s="44">
        <v>259875449</v>
      </c>
      <c r="M18" s="123">
        <v>0.42131493983558643</v>
      </c>
      <c r="O18" s="39"/>
      <c r="Q18" s="39"/>
    </row>
    <row r="19" spans="1:17" x14ac:dyDescent="0.25">
      <c r="A19" s="40"/>
      <c r="B19" s="41">
        <v>5203</v>
      </c>
      <c r="C19" s="40" t="s">
        <v>54</v>
      </c>
      <c r="D19" s="42">
        <v>14488647</v>
      </c>
      <c r="E19" s="42">
        <v>18883176</v>
      </c>
      <c r="F19" s="42">
        <v>20718464</v>
      </c>
      <c r="G19" s="42">
        <v>28806308</v>
      </c>
      <c r="H19" s="42">
        <v>20724149</v>
      </c>
      <c r="I19" s="44">
        <v>14164744.289999999</v>
      </c>
      <c r="J19" s="44"/>
      <c r="K19" s="44"/>
      <c r="L19" s="44"/>
      <c r="M19" s="123">
        <v>0.6834897920295786</v>
      </c>
      <c r="O19" s="39"/>
      <c r="Q19" s="39"/>
    </row>
    <row r="20" spans="1:17" x14ac:dyDescent="0.25">
      <c r="A20" s="40"/>
      <c r="B20" s="41">
        <v>5204</v>
      </c>
      <c r="C20" s="40" t="s">
        <v>55</v>
      </c>
      <c r="D20" s="42">
        <v>28474962</v>
      </c>
      <c r="E20" s="42">
        <v>35744692</v>
      </c>
      <c r="F20" s="42">
        <v>39776048</v>
      </c>
      <c r="G20" s="42">
        <v>47736264</v>
      </c>
      <c r="H20" s="42">
        <v>37932992</v>
      </c>
      <c r="I20" s="44">
        <v>4281220.7999999989</v>
      </c>
      <c r="J20" s="44"/>
      <c r="K20" s="44">
        <v>235286</v>
      </c>
      <c r="L20" s="44">
        <v>1863844</v>
      </c>
      <c r="M20" s="123">
        <v>5.7524879661483043E-2</v>
      </c>
      <c r="O20" s="39"/>
      <c r="Q20" s="39"/>
    </row>
    <row r="21" spans="1:17" x14ac:dyDescent="0.25">
      <c r="A21" s="40"/>
      <c r="B21" s="41">
        <v>5205</v>
      </c>
      <c r="C21" s="40" t="s">
        <v>56</v>
      </c>
      <c r="D21" s="42">
        <v>7514699</v>
      </c>
      <c r="E21" s="42">
        <v>8357080</v>
      </c>
      <c r="F21" s="42">
        <v>10453895</v>
      </c>
      <c r="G21" s="42">
        <v>9804709</v>
      </c>
      <c r="H21" s="42">
        <v>9032596</v>
      </c>
      <c r="I21" s="44">
        <v>8759732.4499999993</v>
      </c>
      <c r="J21" s="44"/>
      <c r="K21" s="44">
        <v>599662</v>
      </c>
      <c r="L21" s="44">
        <v>715568</v>
      </c>
      <c r="M21" s="123">
        <v>0.82418193507160065</v>
      </c>
      <c r="O21" s="39"/>
      <c r="Q21" s="39"/>
    </row>
    <row r="22" spans="1:17" x14ac:dyDescent="0.25">
      <c r="A22" s="40"/>
      <c r="B22" s="41">
        <v>5206</v>
      </c>
      <c r="C22" s="40" t="s">
        <v>57</v>
      </c>
      <c r="D22" s="42">
        <v>60209958</v>
      </c>
      <c r="E22" s="42">
        <v>74247920</v>
      </c>
      <c r="F22" s="42">
        <v>113380966</v>
      </c>
      <c r="G22" s="42">
        <v>109385683</v>
      </c>
      <c r="H22" s="42">
        <v>89306132</v>
      </c>
      <c r="I22" s="44">
        <v>59647044.170000002</v>
      </c>
      <c r="J22" s="44"/>
      <c r="K22" s="44">
        <v>7310928</v>
      </c>
      <c r="L22" s="44">
        <v>27452672</v>
      </c>
      <c r="M22" s="123">
        <v>0.27863085784523733</v>
      </c>
      <c r="O22" s="39"/>
      <c r="Q22" s="39"/>
    </row>
    <row r="23" spans="1:17" x14ac:dyDescent="0.25">
      <c r="A23" s="40"/>
      <c r="B23" s="41">
        <v>5207</v>
      </c>
      <c r="C23" s="40" t="s">
        <v>58</v>
      </c>
      <c r="D23" s="42">
        <v>35598705</v>
      </c>
      <c r="E23" s="42">
        <v>40423777</v>
      </c>
      <c r="F23" s="42">
        <v>50801774</v>
      </c>
      <c r="G23" s="42">
        <v>67801541</v>
      </c>
      <c r="H23" s="42">
        <v>48656449</v>
      </c>
      <c r="I23" s="44">
        <v>52301121.079999998</v>
      </c>
      <c r="J23" s="44"/>
      <c r="K23" s="44">
        <v>9165762</v>
      </c>
      <c r="L23" s="44">
        <v>27843044</v>
      </c>
      <c r="M23" s="123">
        <v>0.31429163850407577</v>
      </c>
      <c r="O23" s="39"/>
      <c r="Q23" s="39"/>
    </row>
    <row r="24" spans="1:17" x14ac:dyDescent="0.25">
      <c r="A24" s="40"/>
      <c r="B24" s="41">
        <v>5208</v>
      </c>
      <c r="C24" s="40" t="s">
        <v>59</v>
      </c>
      <c r="D24" s="42">
        <v>14980789</v>
      </c>
      <c r="E24" s="42">
        <v>22125648</v>
      </c>
      <c r="F24" s="42">
        <v>27750518</v>
      </c>
      <c r="G24" s="42">
        <v>26393046</v>
      </c>
      <c r="H24" s="42">
        <v>22812500</v>
      </c>
      <c r="I24" s="44">
        <v>6776897.8000000017</v>
      </c>
      <c r="J24" s="44"/>
      <c r="K24" s="44"/>
      <c r="L24" s="44">
        <v>330053</v>
      </c>
      <c r="M24" s="123">
        <v>0.28260141589041105</v>
      </c>
      <c r="O24" s="39"/>
      <c r="Q24" s="39"/>
    </row>
    <row r="25" spans="1:17" x14ac:dyDescent="0.25">
      <c r="A25" s="40"/>
      <c r="B25" s="41">
        <v>5209</v>
      </c>
      <c r="C25" s="40" t="s">
        <v>60</v>
      </c>
      <c r="D25" s="42">
        <v>29271891</v>
      </c>
      <c r="E25" s="42">
        <v>32569472</v>
      </c>
      <c r="F25" s="42">
        <v>39058614</v>
      </c>
      <c r="G25" s="42">
        <v>45944714</v>
      </c>
      <c r="H25" s="42">
        <v>36711173</v>
      </c>
      <c r="I25" s="44">
        <v>8162382.6500000004</v>
      </c>
      <c r="J25" s="44"/>
      <c r="K25" s="44">
        <v>252000</v>
      </c>
      <c r="L25" s="44">
        <v>435312</v>
      </c>
      <c r="M25" s="123">
        <v>0.20361840930552669</v>
      </c>
      <c r="O25" s="39"/>
      <c r="Q25" s="39"/>
    </row>
    <row r="26" spans="1:17" x14ac:dyDescent="0.25">
      <c r="A26" s="40"/>
      <c r="B26" s="41">
        <v>5210</v>
      </c>
      <c r="C26" s="40" t="s">
        <v>61</v>
      </c>
      <c r="D26" s="42">
        <v>22622071</v>
      </c>
      <c r="E26" s="42">
        <v>27903868</v>
      </c>
      <c r="F26" s="42">
        <v>34058777</v>
      </c>
      <c r="G26" s="42">
        <v>39667113</v>
      </c>
      <c r="H26" s="42">
        <v>31062957</v>
      </c>
      <c r="I26" s="44">
        <v>34515783.239999995</v>
      </c>
      <c r="J26" s="44"/>
      <c r="K26" s="44">
        <v>27157961</v>
      </c>
      <c r="L26" s="44"/>
      <c r="M26" s="123">
        <v>0.2368680560578954</v>
      </c>
      <c r="O26" s="39"/>
      <c r="Q26" s="39"/>
    </row>
    <row r="27" spans="1:17" x14ac:dyDescent="0.25">
      <c r="A27" s="40"/>
      <c r="B27" s="41">
        <v>5211</v>
      </c>
      <c r="C27" s="40" t="s">
        <v>62</v>
      </c>
      <c r="D27" s="42">
        <v>22142709</v>
      </c>
      <c r="E27" s="42">
        <v>31691944</v>
      </c>
      <c r="F27" s="42">
        <v>34745047</v>
      </c>
      <c r="G27" s="42">
        <v>38831495</v>
      </c>
      <c r="H27" s="42">
        <v>31852799</v>
      </c>
      <c r="I27" s="44">
        <v>9258680.0400000028</v>
      </c>
      <c r="J27" s="44"/>
      <c r="K27" s="44">
        <v>147813</v>
      </c>
      <c r="L27" s="44">
        <v>6075602</v>
      </c>
      <c r="M27" s="123">
        <v>9.529037118527646E-2</v>
      </c>
      <c r="O27" s="39"/>
      <c r="Q27" s="39"/>
    </row>
    <row r="28" spans="1:17" x14ac:dyDescent="0.25">
      <c r="A28" s="40"/>
      <c r="B28" s="41">
        <v>5212</v>
      </c>
      <c r="C28" s="40" t="s">
        <v>63</v>
      </c>
      <c r="D28" s="42">
        <v>16772108</v>
      </c>
      <c r="E28" s="42">
        <v>20773489</v>
      </c>
      <c r="F28" s="42">
        <v>29064047</v>
      </c>
      <c r="G28" s="42">
        <v>36665456</v>
      </c>
      <c r="H28" s="42">
        <v>25818775</v>
      </c>
      <c r="I28" s="44">
        <v>16874753.73</v>
      </c>
      <c r="J28" s="44"/>
      <c r="K28" s="44"/>
      <c r="L28" s="44">
        <v>11803648</v>
      </c>
      <c r="M28" s="123">
        <v>0.19641155438242133</v>
      </c>
      <c r="O28" s="39"/>
      <c r="Q28" s="39"/>
    </row>
    <row r="29" spans="1:17" x14ac:dyDescent="0.25">
      <c r="A29" s="40"/>
      <c r="B29" s="41">
        <v>5213</v>
      </c>
      <c r="C29" s="40" t="s">
        <v>64</v>
      </c>
      <c r="D29" s="42">
        <v>16931902</v>
      </c>
      <c r="E29" s="42">
        <v>20135478</v>
      </c>
      <c r="F29" s="42">
        <v>41123022</v>
      </c>
      <c r="G29" s="42">
        <v>51870912</v>
      </c>
      <c r="H29" s="42">
        <v>32515329</v>
      </c>
      <c r="I29" s="44">
        <v>53425294.749999993</v>
      </c>
      <c r="J29" s="44"/>
      <c r="K29" s="44">
        <v>7304832</v>
      </c>
      <c r="L29" s="44">
        <v>20169293</v>
      </c>
      <c r="M29" s="123">
        <v>0.79812108774910417</v>
      </c>
      <c r="O29" s="39"/>
      <c r="Q29" s="39"/>
    </row>
    <row r="30" spans="1:17" x14ac:dyDescent="0.25">
      <c r="A30" s="40" t="s">
        <v>65</v>
      </c>
      <c r="B30" s="41">
        <v>5301</v>
      </c>
      <c r="C30" s="40" t="s">
        <v>66</v>
      </c>
      <c r="D30" s="42">
        <v>12432536</v>
      </c>
      <c r="E30" s="42">
        <v>13323437</v>
      </c>
      <c r="F30" s="42">
        <v>14961101</v>
      </c>
      <c r="G30" s="42">
        <v>23204619</v>
      </c>
      <c r="H30" s="42">
        <v>15980423</v>
      </c>
      <c r="I30" s="44">
        <v>7870583.7599999998</v>
      </c>
      <c r="J30" s="44"/>
      <c r="K30" s="44">
        <v>904524</v>
      </c>
      <c r="L30" s="44"/>
      <c r="M30" s="123">
        <v>0.43591210069971237</v>
      </c>
      <c r="O30" s="39"/>
      <c r="Q30" s="39"/>
    </row>
    <row r="31" spans="1:17" x14ac:dyDescent="0.25">
      <c r="A31" s="40"/>
      <c r="B31" s="41">
        <v>5302</v>
      </c>
      <c r="C31" s="40" t="s">
        <v>67</v>
      </c>
      <c r="D31" s="42">
        <v>27253635</v>
      </c>
      <c r="E31" s="42">
        <v>32125163</v>
      </c>
      <c r="F31" s="42">
        <v>42096934</v>
      </c>
      <c r="G31" s="42">
        <v>52569606</v>
      </c>
      <c r="H31" s="42">
        <v>38511335</v>
      </c>
      <c r="I31" s="44">
        <v>33191836.609999999</v>
      </c>
      <c r="J31" s="44"/>
      <c r="K31" s="44">
        <v>12784466.34</v>
      </c>
      <c r="L31" s="44">
        <v>13378541</v>
      </c>
      <c r="M31" s="123">
        <v>0.18251325927808007</v>
      </c>
      <c r="O31" s="39"/>
      <c r="Q31" s="39"/>
    </row>
    <row r="32" spans="1:17" x14ac:dyDescent="0.25">
      <c r="A32" s="40"/>
      <c r="B32" s="41">
        <v>5303</v>
      </c>
      <c r="C32" s="40" t="s">
        <v>68</v>
      </c>
      <c r="D32" s="42">
        <v>15255293</v>
      </c>
      <c r="E32" s="42">
        <v>20664521</v>
      </c>
      <c r="F32" s="42">
        <v>20028646</v>
      </c>
      <c r="G32" s="42">
        <v>24508445</v>
      </c>
      <c r="H32" s="42">
        <v>20114226</v>
      </c>
      <c r="I32" s="44">
        <v>8929584.8499999978</v>
      </c>
      <c r="J32" s="44">
        <v>0</v>
      </c>
      <c r="K32" s="44">
        <v>232455</v>
      </c>
      <c r="L32" s="44">
        <v>323586</v>
      </c>
      <c r="M32" s="123">
        <v>0.41629958070472101</v>
      </c>
      <c r="O32" s="39"/>
      <c r="Q32" s="39"/>
    </row>
    <row r="33" spans="1:17" x14ac:dyDescent="0.25">
      <c r="A33" s="40"/>
      <c r="B33" s="41">
        <v>5304</v>
      </c>
      <c r="C33" s="40" t="s">
        <v>69</v>
      </c>
      <c r="D33" s="42">
        <v>8672481</v>
      </c>
      <c r="E33" s="42">
        <v>11607575</v>
      </c>
      <c r="F33" s="42">
        <v>21527960</v>
      </c>
      <c r="G33" s="42">
        <v>18825446</v>
      </c>
      <c r="H33" s="42">
        <v>15158366</v>
      </c>
      <c r="I33" s="44">
        <v>44721854.519999996</v>
      </c>
      <c r="J33" s="44"/>
      <c r="K33" s="44">
        <v>939667</v>
      </c>
      <c r="L33" s="44">
        <v>31073173</v>
      </c>
      <c r="M33" s="123">
        <v>0.83841586355679731</v>
      </c>
      <c r="O33" s="39"/>
      <c r="Q33" s="39"/>
    </row>
    <row r="34" spans="1:17" x14ac:dyDescent="0.25">
      <c r="A34" s="40"/>
      <c r="B34" s="41">
        <v>5305</v>
      </c>
      <c r="C34" s="40" t="s">
        <v>65</v>
      </c>
      <c r="D34" s="42">
        <v>392217481</v>
      </c>
      <c r="E34" s="42">
        <v>445244390</v>
      </c>
      <c r="F34" s="42">
        <v>577153402</v>
      </c>
      <c r="G34" s="42">
        <v>670151520</v>
      </c>
      <c r="H34" s="42">
        <v>521191698</v>
      </c>
      <c r="I34" s="44">
        <v>159386059.90999997</v>
      </c>
      <c r="J34" s="44"/>
      <c r="K34" s="44">
        <v>48172132</v>
      </c>
      <c r="L34" s="44"/>
      <c r="M34" s="123">
        <v>0.21338392061264178</v>
      </c>
      <c r="O34" s="39"/>
      <c r="Q34" s="39"/>
    </row>
    <row r="35" spans="1:17" x14ac:dyDescent="0.25">
      <c r="A35" s="40"/>
      <c r="B35" s="41">
        <v>5306</v>
      </c>
      <c r="C35" s="40" t="s">
        <v>70</v>
      </c>
      <c r="D35" s="42">
        <v>6347124</v>
      </c>
      <c r="E35" s="42">
        <v>9725723</v>
      </c>
      <c r="F35" s="42">
        <v>12414053</v>
      </c>
      <c r="G35" s="42">
        <v>20093927</v>
      </c>
      <c r="H35" s="42">
        <v>12145207</v>
      </c>
      <c r="I35" s="44">
        <v>2282081.7200000007</v>
      </c>
      <c r="J35" s="44"/>
      <c r="K35" s="44">
        <v>212793</v>
      </c>
      <c r="L35" s="44">
        <v>0</v>
      </c>
      <c r="M35" s="123">
        <v>0.17037904088419412</v>
      </c>
      <c r="O35" s="39"/>
      <c r="Q35" s="39"/>
    </row>
    <row r="36" spans="1:17" x14ac:dyDescent="0.25">
      <c r="A36" s="40"/>
      <c r="B36" s="41">
        <v>5307</v>
      </c>
      <c r="C36" s="40" t="s">
        <v>71</v>
      </c>
      <c r="D36" s="42">
        <v>14303645</v>
      </c>
      <c r="E36" s="42">
        <v>16860034</v>
      </c>
      <c r="F36" s="42">
        <v>17526450</v>
      </c>
      <c r="G36" s="42">
        <v>21256809</v>
      </c>
      <c r="H36" s="42">
        <v>17486735</v>
      </c>
      <c r="I36" s="44">
        <v>6499823.6799999997</v>
      </c>
      <c r="J36" s="44">
        <v>0</v>
      </c>
      <c r="K36" s="44">
        <v>129598</v>
      </c>
      <c r="L36" s="44"/>
      <c r="M36" s="123">
        <v>0.36428902708252853</v>
      </c>
      <c r="O36" s="39"/>
      <c r="Q36" s="39"/>
    </row>
    <row r="37" spans="1:17" x14ac:dyDescent="0.25">
      <c r="A37" s="40"/>
      <c r="B37" s="41">
        <v>5308</v>
      </c>
      <c r="C37" s="40" t="s">
        <v>72</v>
      </c>
      <c r="D37" s="42">
        <v>11885519</v>
      </c>
      <c r="E37" s="42">
        <v>22300119</v>
      </c>
      <c r="F37" s="42">
        <v>18468252</v>
      </c>
      <c r="G37" s="42">
        <v>23090851</v>
      </c>
      <c r="H37" s="42">
        <v>18936185</v>
      </c>
      <c r="I37" s="44">
        <v>10296871.66</v>
      </c>
      <c r="J37" s="44"/>
      <c r="K37" s="44">
        <v>78566</v>
      </c>
      <c r="L37" s="44"/>
      <c r="M37" s="123">
        <v>0.53961796739945245</v>
      </c>
      <c r="O37" s="39"/>
      <c r="Q37" s="39"/>
    </row>
    <row r="38" spans="1:17" x14ac:dyDescent="0.25">
      <c r="A38" s="40"/>
      <c r="B38" s="41">
        <v>5309</v>
      </c>
      <c r="C38" s="40" t="s">
        <v>73</v>
      </c>
      <c r="D38" s="42">
        <v>24585377</v>
      </c>
      <c r="E38" s="42">
        <v>25173765</v>
      </c>
      <c r="F38" s="42">
        <v>30017385</v>
      </c>
      <c r="G38" s="42">
        <v>37449886</v>
      </c>
      <c r="H38" s="42">
        <v>29306603</v>
      </c>
      <c r="I38" s="44">
        <v>13224394</v>
      </c>
      <c r="J38" s="44"/>
      <c r="K38" s="44">
        <v>959054.76</v>
      </c>
      <c r="L38" s="44">
        <v>3431961</v>
      </c>
      <c r="M38" s="123">
        <v>0.30141256016604862</v>
      </c>
      <c r="O38" s="39"/>
      <c r="Q38" s="39"/>
    </row>
    <row r="39" spans="1:17" x14ac:dyDescent="0.25">
      <c r="A39" s="40"/>
      <c r="B39" s="41">
        <v>5310</v>
      </c>
      <c r="C39" s="40" t="s">
        <v>74</v>
      </c>
      <c r="D39" s="42">
        <v>18794409</v>
      </c>
      <c r="E39" s="42">
        <v>23854014</v>
      </c>
      <c r="F39" s="42">
        <v>23756987</v>
      </c>
      <c r="G39" s="42">
        <v>26179362</v>
      </c>
      <c r="H39" s="42">
        <v>23146193</v>
      </c>
      <c r="I39" s="44">
        <v>8022003.7700000005</v>
      </c>
      <c r="J39" s="44"/>
      <c r="K39" s="44">
        <v>977985</v>
      </c>
      <c r="L39" s="44">
        <v>5059506</v>
      </c>
      <c r="M39" s="123">
        <v>8.5738193317579287E-2</v>
      </c>
      <c r="O39" s="39"/>
      <c r="Q39" s="39"/>
    </row>
    <row r="40" spans="1:17" x14ac:dyDescent="0.25">
      <c r="A40" s="40"/>
      <c r="B40" s="41">
        <v>5311</v>
      </c>
      <c r="C40" s="40" t="s">
        <v>75</v>
      </c>
      <c r="D40" s="42">
        <v>26414083</v>
      </c>
      <c r="E40" s="42">
        <v>31433075</v>
      </c>
      <c r="F40" s="42">
        <v>34078125</v>
      </c>
      <c r="G40" s="42">
        <v>40231740</v>
      </c>
      <c r="H40" s="42">
        <v>33039256</v>
      </c>
      <c r="I40" s="44">
        <v>12542433.930000003</v>
      </c>
      <c r="J40" s="44"/>
      <c r="K40" s="44">
        <v>2279733</v>
      </c>
      <c r="L40" s="44"/>
      <c r="M40" s="123">
        <v>0.31062142955035077</v>
      </c>
      <c r="O40" s="39"/>
      <c r="Q40" s="39"/>
    </row>
    <row r="41" spans="1:17" x14ac:dyDescent="0.25">
      <c r="A41" s="40"/>
      <c r="B41" s="41">
        <v>5312</v>
      </c>
      <c r="C41" s="40" t="s">
        <v>76</v>
      </c>
      <c r="D41" s="42">
        <v>13044668</v>
      </c>
      <c r="E41" s="42">
        <v>13947365</v>
      </c>
      <c r="F41" s="42">
        <v>14778297</v>
      </c>
      <c r="G41" s="42">
        <v>20645010</v>
      </c>
      <c r="H41" s="42">
        <v>15603835</v>
      </c>
      <c r="I41" s="44">
        <v>17519195.07</v>
      </c>
      <c r="J41" s="44">
        <v>0</v>
      </c>
      <c r="K41" s="44">
        <v>631099</v>
      </c>
      <c r="L41" s="44">
        <v>12873069</v>
      </c>
      <c r="M41" s="123">
        <v>0.25731027468567824</v>
      </c>
      <c r="O41" s="39"/>
      <c r="Q41" s="39"/>
    </row>
    <row r="42" spans="1:17" x14ac:dyDescent="0.25">
      <c r="A42" s="40" t="s">
        <v>77</v>
      </c>
      <c r="B42" s="41">
        <v>5401</v>
      </c>
      <c r="C42" s="40" t="s">
        <v>77</v>
      </c>
      <c r="D42" s="42">
        <v>104873865</v>
      </c>
      <c r="E42" s="42">
        <v>123854784</v>
      </c>
      <c r="F42" s="42">
        <v>142990563</v>
      </c>
      <c r="G42" s="42">
        <v>175167292</v>
      </c>
      <c r="H42" s="42">
        <v>136721626</v>
      </c>
      <c r="I42" s="44">
        <v>51118867.470000006</v>
      </c>
      <c r="J42" s="44"/>
      <c r="K42" s="44">
        <v>15007021</v>
      </c>
      <c r="L42" s="44">
        <v>7687268</v>
      </c>
      <c r="M42" s="123">
        <v>0.20790111485362239</v>
      </c>
      <c r="O42" s="39"/>
      <c r="Q42" s="39"/>
    </row>
    <row r="43" spans="1:17" x14ac:dyDescent="0.25">
      <c r="A43" s="40"/>
      <c r="B43" s="41">
        <v>5402</v>
      </c>
      <c r="C43" s="40" t="s">
        <v>78</v>
      </c>
      <c r="D43" s="42">
        <v>43453285</v>
      </c>
      <c r="E43" s="42">
        <v>48592940</v>
      </c>
      <c r="F43" s="42">
        <v>59592209</v>
      </c>
      <c r="G43" s="42">
        <v>66310308</v>
      </c>
      <c r="H43" s="42">
        <v>54487186</v>
      </c>
      <c r="I43" s="44">
        <v>22125428.030000001</v>
      </c>
      <c r="J43" s="44"/>
      <c r="K43" s="44">
        <v>11109533</v>
      </c>
      <c r="L43" s="44"/>
      <c r="M43" s="123">
        <v>0.20217404932601954</v>
      </c>
      <c r="O43" s="39"/>
      <c r="Q43" s="39"/>
    </row>
    <row r="44" spans="1:17" x14ac:dyDescent="0.25">
      <c r="A44" s="40"/>
      <c r="B44" s="41">
        <v>5403</v>
      </c>
      <c r="C44" s="40" t="s">
        <v>79</v>
      </c>
      <c r="D44" s="42">
        <v>13063523</v>
      </c>
      <c r="E44" s="42">
        <v>18472248</v>
      </c>
      <c r="F44" s="42">
        <v>21049173</v>
      </c>
      <c r="G44" s="42">
        <v>25149459</v>
      </c>
      <c r="H44" s="42">
        <v>19433601</v>
      </c>
      <c r="I44" s="44">
        <v>15903912.65</v>
      </c>
      <c r="J44" s="44"/>
      <c r="K44" s="44"/>
      <c r="L44" s="44">
        <v>6765954</v>
      </c>
      <c r="M44" s="123">
        <v>0.47021438023761014</v>
      </c>
      <c r="O44" s="39"/>
      <c r="Q44" s="39"/>
    </row>
    <row r="45" spans="1:17" x14ac:dyDescent="0.25">
      <c r="A45" s="40"/>
      <c r="B45" s="41">
        <v>5404</v>
      </c>
      <c r="C45" s="40" t="s">
        <v>80</v>
      </c>
      <c r="D45" s="42">
        <v>6303261</v>
      </c>
      <c r="E45" s="42">
        <v>9070239</v>
      </c>
      <c r="F45" s="42">
        <v>13444865</v>
      </c>
      <c r="G45" s="42">
        <v>15493715</v>
      </c>
      <c r="H45" s="42">
        <v>11078020</v>
      </c>
      <c r="I45" s="44">
        <v>13560615.640000001</v>
      </c>
      <c r="J45" s="44"/>
      <c r="K45" s="44">
        <v>65103</v>
      </c>
      <c r="L45" s="44">
        <v>8973465</v>
      </c>
      <c r="M45" s="123">
        <v>0.40819998880666408</v>
      </c>
      <c r="O45" s="39"/>
      <c r="Q45" s="39"/>
    </row>
    <row r="46" spans="1:17" x14ac:dyDescent="0.25">
      <c r="A46" s="40"/>
      <c r="B46" s="41">
        <v>5405</v>
      </c>
      <c r="C46" s="40" t="s">
        <v>81</v>
      </c>
      <c r="D46" s="42">
        <v>12205682</v>
      </c>
      <c r="E46" s="42">
        <v>14047283</v>
      </c>
      <c r="F46" s="42">
        <v>17522028</v>
      </c>
      <c r="G46" s="42">
        <v>19469745</v>
      </c>
      <c r="H46" s="42">
        <v>15811185</v>
      </c>
      <c r="I46" s="44">
        <v>6774376.1399999978</v>
      </c>
      <c r="J46" s="44">
        <v>0</v>
      </c>
      <c r="K46" s="44">
        <v>1228947</v>
      </c>
      <c r="L46" s="44">
        <v>116279</v>
      </c>
      <c r="M46" s="123">
        <v>0.34337401908838572</v>
      </c>
      <c r="O46" s="39"/>
      <c r="Q46" s="39"/>
    </row>
    <row r="47" spans="1:17" x14ac:dyDescent="0.25">
      <c r="A47" s="40"/>
      <c r="B47" s="41">
        <v>5406</v>
      </c>
      <c r="C47" s="40" t="s">
        <v>82</v>
      </c>
      <c r="D47" s="42">
        <v>31406922</v>
      </c>
      <c r="E47" s="42">
        <v>34715376</v>
      </c>
      <c r="F47" s="42">
        <v>40329941</v>
      </c>
      <c r="G47" s="42">
        <v>44290251</v>
      </c>
      <c r="H47" s="42">
        <v>37685623</v>
      </c>
      <c r="I47" s="44">
        <v>20073052.16</v>
      </c>
      <c r="J47" s="44"/>
      <c r="K47" s="44"/>
      <c r="L47" s="44">
        <v>9160749.3499999996</v>
      </c>
      <c r="M47" s="123">
        <v>0.28956142797480089</v>
      </c>
      <c r="O47" s="39"/>
      <c r="Q47" s="39"/>
    </row>
    <row r="48" spans="1:17" x14ac:dyDescent="0.25">
      <c r="A48" s="40"/>
      <c r="B48" s="41">
        <v>5407</v>
      </c>
      <c r="C48" s="40" t="s">
        <v>83</v>
      </c>
      <c r="D48" s="42">
        <v>15025354</v>
      </c>
      <c r="E48" s="42">
        <v>18304676</v>
      </c>
      <c r="F48" s="42">
        <v>23393817</v>
      </c>
      <c r="G48" s="42">
        <v>26482399</v>
      </c>
      <c r="H48" s="42">
        <v>20801562</v>
      </c>
      <c r="I48" s="44">
        <v>9824488.2100000009</v>
      </c>
      <c r="J48" s="44"/>
      <c r="K48" s="44"/>
      <c r="L48" s="44">
        <v>8155307</v>
      </c>
      <c r="M48" s="123">
        <v>8.02430706886339E-2</v>
      </c>
      <c r="O48" s="39"/>
      <c r="Q48" s="39"/>
    </row>
    <row r="49" spans="1:17" x14ac:dyDescent="0.25">
      <c r="A49" s="40"/>
      <c r="B49" s="41">
        <v>5408</v>
      </c>
      <c r="C49" s="40" t="s">
        <v>84</v>
      </c>
      <c r="D49" s="42">
        <v>38836436</v>
      </c>
      <c r="E49" s="42">
        <v>43309650</v>
      </c>
      <c r="F49" s="42">
        <v>47523504</v>
      </c>
      <c r="G49" s="42">
        <v>60045036</v>
      </c>
      <c r="H49" s="42">
        <v>47428657</v>
      </c>
      <c r="I49" s="44">
        <v>22183975.470000003</v>
      </c>
      <c r="J49" s="44"/>
      <c r="K49" s="44">
        <v>137769</v>
      </c>
      <c r="L49" s="44">
        <v>314827</v>
      </c>
      <c r="M49" s="123">
        <v>0.45819090913748628</v>
      </c>
      <c r="O49" s="39"/>
      <c r="Q49" s="39"/>
    </row>
    <row r="50" spans="1:17" x14ac:dyDescent="0.25">
      <c r="A50" s="40"/>
      <c r="B50" s="41">
        <v>5409</v>
      </c>
      <c r="C50" s="40" t="s">
        <v>85</v>
      </c>
      <c r="D50" s="42">
        <v>17711870</v>
      </c>
      <c r="E50" s="42">
        <v>20391825</v>
      </c>
      <c r="F50" s="42">
        <v>23058669</v>
      </c>
      <c r="G50" s="42">
        <v>27120928</v>
      </c>
      <c r="H50" s="42">
        <v>22070823</v>
      </c>
      <c r="I50" s="44">
        <v>17769380.689999998</v>
      </c>
      <c r="J50" s="44"/>
      <c r="K50" s="44"/>
      <c r="L50" s="44">
        <v>7491527</v>
      </c>
      <c r="M50" s="123">
        <v>0.46567605068465268</v>
      </c>
      <c r="O50" s="39"/>
      <c r="Q50" s="39"/>
    </row>
    <row r="51" spans="1:17" x14ac:dyDescent="0.25">
      <c r="A51" s="40"/>
      <c r="B51" s="41">
        <v>5410</v>
      </c>
      <c r="C51" s="40" t="s">
        <v>86</v>
      </c>
      <c r="D51" s="42">
        <v>7355439</v>
      </c>
      <c r="E51" s="42">
        <v>9451446</v>
      </c>
      <c r="F51" s="42">
        <v>12592140</v>
      </c>
      <c r="G51" s="42">
        <v>8924941</v>
      </c>
      <c r="H51" s="42">
        <v>9580992</v>
      </c>
      <c r="I51" s="44">
        <v>1804475.5999999996</v>
      </c>
      <c r="J51" s="44"/>
      <c r="K51" s="44"/>
      <c r="L51" s="44">
        <v>943992.79</v>
      </c>
      <c r="M51" s="123">
        <v>8.9811452718048357E-2</v>
      </c>
      <c r="O51" s="39"/>
      <c r="Q51" s="39"/>
    </row>
    <row r="52" spans="1:17" x14ac:dyDescent="0.25">
      <c r="A52" s="40" t="s">
        <v>87</v>
      </c>
      <c r="B52" s="41">
        <v>5501</v>
      </c>
      <c r="C52" s="40" t="s">
        <v>88</v>
      </c>
      <c r="D52" s="42">
        <v>10419854</v>
      </c>
      <c r="E52" s="42">
        <v>11386220</v>
      </c>
      <c r="F52" s="42">
        <v>13801696</v>
      </c>
      <c r="G52" s="42">
        <v>17508156</v>
      </c>
      <c r="H52" s="42">
        <v>13278982</v>
      </c>
      <c r="I52" s="44">
        <v>3533438.55</v>
      </c>
      <c r="J52" s="44"/>
      <c r="K52" s="44">
        <v>2634105</v>
      </c>
      <c r="L52" s="44"/>
      <c r="M52" s="123">
        <v>6.7726091503098648E-2</v>
      </c>
      <c r="O52" s="39"/>
      <c r="Q52" s="39"/>
    </row>
    <row r="53" spans="1:17" x14ac:dyDescent="0.25">
      <c r="A53" s="40"/>
      <c r="B53" s="41">
        <v>5502</v>
      </c>
      <c r="C53" s="40" t="s">
        <v>89</v>
      </c>
      <c r="D53" s="42">
        <v>4089204</v>
      </c>
      <c r="E53" s="42">
        <v>4370472</v>
      </c>
      <c r="F53" s="42">
        <v>4760265</v>
      </c>
      <c r="G53" s="42">
        <v>6314597</v>
      </c>
      <c r="H53" s="42">
        <v>4883635</v>
      </c>
      <c r="I53" s="44">
        <v>2127703.7199999997</v>
      </c>
      <c r="J53" s="44">
        <v>0</v>
      </c>
      <c r="K53" s="44">
        <v>0</v>
      </c>
      <c r="L53" s="44"/>
      <c r="M53" s="123">
        <v>0.43568033237537196</v>
      </c>
      <c r="O53" s="39"/>
      <c r="Q53" s="39"/>
    </row>
    <row r="54" spans="1:17" x14ac:dyDescent="0.25">
      <c r="A54" s="40"/>
      <c r="B54" s="41">
        <v>5503</v>
      </c>
      <c r="C54" s="40" t="s">
        <v>90</v>
      </c>
      <c r="D54" s="42">
        <v>9829106</v>
      </c>
      <c r="E54" s="42">
        <v>9933225</v>
      </c>
      <c r="F54" s="42">
        <v>11775897</v>
      </c>
      <c r="G54" s="42">
        <v>14295614</v>
      </c>
      <c r="H54" s="42">
        <v>11458461</v>
      </c>
      <c r="I54" s="44">
        <v>6221755.7999999998</v>
      </c>
      <c r="J54" s="44"/>
      <c r="K54" s="44"/>
      <c r="L54" s="44"/>
      <c r="M54" s="123">
        <v>0.54298354726694975</v>
      </c>
      <c r="O54" s="39"/>
      <c r="Q54" s="39"/>
    </row>
    <row r="55" spans="1:17" x14ac:dyDescent="0.25">
      <c r="A55" s="40"/>
      <c r="B55" s="41">
        <v>5504</v>
      </c>
      <c r="C55" s="40" t="s">
        <v>87</v>
      </c>
      <c r="D55" s="42">
        <v>56671615</v>
      </c>
      <c r="E55" s="42">
        <v>65860823</v>
      </c>
      <c r="F55" s="42">
        <v>84665001</v>
      </c>
      <c r="G55" s="42">
        <v>104630259</v>
      </c>
      <c r="H55" s="42">
        <v>77956925</v>
      </c>
      <c r="I55" s="44">
        <v>18871553.969999999</v>
      </c>
      <c r="J55" s="44"/>
      <c r="K55" s="44">
        <v>229680</v>
      </c>
      <c r="L55" s="44"/>
      <c r="M55" s="123">
        <v>0.23913044248474397</v>
      </c>
      <c r="O55" s="39"/>
      <c r="Q55" s="39"/>
    </row>
    <row r="56" spans="1:17" x14ac:dyDescent="0.25">
      <c r="A56" s="40"/>
      <c r="B56" s="41">
        <v>5505</v>
      </c>
      <c r="C56" s="40" t="s">
        <v>91</v>
      </c>
      <c r="D56" s="42">
        <v>3100561</v>
      </c>
      <c r="E56" s="42">
        <v>4088704</v>
      </c>
      <c r="F56" s="42">
        <v>5091835</v>
      </c>
      <c r="G56" s="42">
        <v>5106859</v>
      </c>
      <c r="H56" s="42">
        <v>4346990</v>
      </c>
      <c r="I56" s="44">
        <v>2107573.5999999996</v>
      </c>
      <c r="J56" s="44"/>
      <c r="K56" s="44"/>
      <c r="L56" s="44">
        <v>1190637</v>
      </c>
      <c r="M56" s="123">
        <v>0.21093598098914412</v>
      </c>
      <c r="O56" s="39"/>
      <c r="Q56" s="39"/>
    </row>
    <row r="57" spans="1:17" x14ac:dyDescent="0.25">
      <c r="A57" s="40"/>
      <c r="B57" s="41">
        <v>5506</v>
      </c>
      <c r="C57" s="40" t="s">
        <v>92</v>
      </c>
      <c r="D57" s="42">
        <v>8940445</v>
      </c>
      <c r="E57" s="42">
        <v>13523133</v>
      </c>
      <c r="F57" s="42">
        <v>12504814</v>
      </c>
      <c r="G57" s="42">
        <v>17712095</v>
      </c>
      <c r="H57" s="42">
        <v>13170122</v>
      </c>
      <c r="I57" s="44">
        <v>3144563.7800000003</v>
      </c>
      <c r="J57" s="44"/>
      <c r="K57" s="44"/>
      <c r="L57" s="44"/>
      <c r="M57" s="123">
        <v>0.23876496967909638</v>
      </c>
      <c r="O57" s="39"/>
      <c r="Q57" s="39"/>
    </row>
    <row r="58" spans="1:17" x14ac:dyDescent="0.25">
      <c r="A58" s="40"/>
      <c r="B58" s="41">
        <v>5507</v>
      </c>
      <c r="C58" s="40" t="s">
        <v>93</v>
      </c>
      <c r="D58" s="42">
        <v>6551387</v>
      </c>
      <c r="E58" s="42">
        <v>7946603</v>
      </c>
      <c r="F58" s="42">
        <v>9058820</v>
      </c>
      <c r="G58" s="42">
        <v>10411523</v>
      </c>
      <c r="H58" s="42">
        <v>8492083</v>
      </c>
      <c r="I58" s="44">
        <v>365729.95000000007</v>
      </c>
      <c r="J58" s="44"/>
      <c r="K58" s="44"/>
      <c r="L58" s="44"/>
      <c r="M58" s="123">
        <v>4.3067166206453712E-2</v>
      </c>
      <c r="O58" s="39"/>
      <c r="Q58" s="39"/>
    </row>
    <row r="59" spans="1:17" x14ac:dyDescent="0.25">
      <c r="A59" s="40"/>
      <c r="B59" s="41">
        <v>5508</v>
      </c>
      <c r="C59" s="40" t="s">
        <v>94</v>
      </c>
      <c r="D59" s="42">
        <v>2551649</v>
      </c>
      <c r="E59" s="42">
        <v>3233603</v>
      </c>
      <c r="F59" s="42">
        <v>4278968</v>
      </c>
      <c r="G59" s="42">
        <v>4499004</v>
      </c>
      <c r="H59" s="42">
        <v>3640806</v>
      </c>
      <c r="I59" s="44">
        <v>982570.30000000028</v>
      </c>
      <c r="J59" s="44"/>
      <c r="K59" s="44"/>
      <c r="L59" s="44">
        <v>200390</v>
      </c>
      <c r="M59" s="123">
        <v>0.21483712672413754</v>
      </c>
      <c r="O59" s="39"/>
      <c r="Q59" s="39"/>
    </row>
    <row r="60" spans="1:17" x14ac:dyDescent="0.25">
      <c r="A60" s="40"/>
      <c r="B60" s="41">
        <v>5509</v>
      </c>
      <c r="C60" s="40" t="s">
        <v>95</v>
      </c>
      <c r="D60" s="42">
        <v>5751746</v>
      </c>
      <c r="E60" s="42">
        <v>6122160</v>
      </c>
      <c r="F60" s="42">
        <v>6956235</v>
      </c>
      <c r="G60" s="42">
        <v>8111331</v>
      </c>
      <c r="H60" s="42">
        <v>6735368</v>
      </c>
      <c r="I60" s="44">
        <v>1899838.78</v>
      </c>
      <c r="J60" s="44"/>
      <c r="K60" s="44">
        <v>387989</v>
      </c>
      <c r="L60" s="44"/>
      <c r="M60" s="123">
        <v>0.22446431731718297</v>
      </c>
      <c r="O60" s="39"/>
      <c r="Q60" s="39"/>
    </row>
    <row r="61" spans="1:17" x14ac:dyDescent="0.25">
      <c r="A61" s="40"/>
      <c r="B61" s="41">
        <v>5510</v>
      </c>
      <c r="C61" s="40" t="s">
        <v>96</v>
      </c>
      <c r="D61" s="42">
        <v>7698711</v>
      </c>
      <c r="E61" s="42">
        <v>10164989</v>
      </c>
      <c r="F61" s="42">
        <v>10938374</v>
      </c>
      <c r="G61" s="42">
        <v>12439116</v>
      </c>
      <c r="H61" s="42">
        <v>10310298</v>
      </c>
      <c r="I61" s="44">
        <v>3663991.1399999997</v>
      </c>
      <c r="J61" s="44"/>
      <c r="K61" s="44"/>
      <c r="L61" s="44"/>
      <c r="M61" s="123">
        <v>0.35537199215774362</v>
      </c>
      <c r="O61" s="39"/>
      <c r="Q61" s="39"/>
    </row>
    <row r="62" spans="1:17" x14ac:dyDescent="0.25">
      <c r="A62" s="40"/>
      <c r="B62" s="41">
        <v>5511</v>
      </c>
      <c r="C62" s="40" t="s">
        <v>97</v>
      </c>
      <c r="D62" s="42">
        <v>4629711</v>
      </c>
      <c r="E62" s="42">
        <v>4459398</v>
      </c>
      <c r="F62" s="42">
        <v>5468517</v>
      </c>
      <c r="G62" s="42">
        <v>7154706</v>
      </c>
      <c r="H62" s="42">
        <v>5428083</v>
      </c>
      <c r="I62" s="44">
        <v>1602960.11</v>
      </c>
      <c r="J62" s="44"/>
      <c r="K62" s="44"/>
      <c r="L62" s="44"/>
      <c r="M62" s="123">
        <v>0.29530869553763273</v>
      </c>
      <c r="O62" s="39"/>
      <c r="Q62" s="39"/>
    </row>
    <row r="63" spans="1:17" x14ac:dyDescent="0.25">
      <c r="A63" s="40" t="s">
        <v>98</v>
      </c>
      <c r="B63" s="41">
        <v>5601</v>
      </c>
      <c r="C63" s="40" t="s">
        <v>99</v>
      </c>
      <c r="D63" s="42">
        <v>7552591</v>
      </c>
      <c r="E63" s="42">
        <v>8816698</v>
      </c>
      <c r="F63" s="42">
        <v>13627851</v>
      </c>
      <c r="G63" s="42">
        <v>12809277</v>
      </c>
      <c r="H63" s="42">
        <v>10701604</v>
      </c>
      <c r="I63" s="44">
        <v>9504784.4900000002</v>
      </c>
      <c r="J63" s="44"/>
      <c r="K63" s="44"/>
      <c r="L63" s="44"/>
      <c r="M63" s="123">
        <v>0.88816447422274269</v>
      </c>
      <c r="O63" s="39"/>
      <c r="Q63" s="39"/>
    </row>
    <row r="64" spans="1:17" x14ac:dyDescent="0.25">
      <c r="A64" s="40"/>
      <c r="B64" s="41">
        <v>5602</v>
      </c>
      <c r="C64" s="40" t="s">
        <v>100</v>
      </c>
      <c r="D64" s="42">
        <v>32214797</v>
      </c>
      <c r="E64" s="42">
        <v>34082559</v>
      </c>
      <c r="F64" s="42">
        <v>53206864</v>
      </c>
      <c r="G64" s="42">
        <v>57335147</v>
      </c>
      <c r="H64" s="42">
        <v>44209842</v>
      </c>
      <c r="I64" s="44">
        <v>22004007.530000001</v>
      </c>
      <c r="J64" s="44"/>
      <c r="K64" s="44"/>
      <c r="L64" s="44">
        <v>341113</v>
      </c>
      <c r="M64" s="123">
        <v>0.49000162746566706</v>
      </c>
      <c r="O64" s="39"/>
      <c r="Q64" s="39"/>
    </row>
    <row r="65" spans="1:17" x14ac:dyDescent="0.25">
      <c r="A65" s="40"/>
      <c r="B65" s="41">
        <v>5603</v>
      </c>
      <c r="C65" s="40" t="s">
        <v>98</v>
      </c>
      <c r="D65" s="42">
        <v>87789951</v>
      </c>
      <c r="E65" s="42">
        <v>97071175</v>
      </c>
      <c r="F65" s="42">
        <v>123448985</v>
      </c>
      <c r="G65" s="42">
        <v>151640535</v>
      </c>
      <c r="H65" s="42">
        <v>114987662</v>
      </c>
      <c r="I65" s="44">
        <v>46198710.760000005</v>
      </c>
      <c r="J65" s="44">
        <v>0</v>
      </c>
      <c r="K65" s="44">
        <v>147356</v>
      </c>
      <c r="L65" s="44">
        <v>0</v>
      </c>
      <c r="M65" s="123">
        <v>0.40048953043327384</v>
      </c>
      <c r="O65" s="39"/>
      <c r="Q65" s="39"/>
    </row>
    <row r="66" spans="1:17" x14ac:dyDescent="0.25">
      <c r="A66" s="40"/>
      <c r="B66" s="41">
        <v>5605</v>
      </c>
      <c r="C66" s="40" t="s">
        <v>101</v>
      </c>
      <c r="D66" s="42">
        <v>30486012</v>
      </c>
      <c r="E66" s="42">
        <v>39438689</v>
      </c>
      <c r="F66" s="42">
        <v>44881178</v>
      </c>
      <c r="G66" s="42">
        <v>51475793</v>
      </c>
      <c r="H66" s="42">
        <v>41570418</v>
      </c>
      <c r="I66" s="44">
        <v>21948390.880000003</v>
      </c>
      <c r="J66" s="44">
        <v>1624230</v>
      </c>
      <c r="K66" s="44">
        <v>3626000</v>
      </c>
      <c r="L66" s="44">
        <v>12471262</v>
      </c>
      <c r="M66" s="123">
        <v>0.10168045170967496</v>
      </c>
      <c r="O66" s="39"/>
      <c r="Q66" s="39"/>
    </row>
    <row r="67" spans="1:17" x14ac:dyDescent="0.25">
      <c r="A67" s="40"/>
      <c r="B67" s="41">
        <v>5606</v>
      </c>
      <c r="C67" s="40" t="s">
        <v>102</v>
      </c>
      <c r="D67" s="42">
        <v>9474940</v>
      </c>
      <c r="E67" s="42">
        <v>13126215</v>
      </c>
      <c r="F67" s="42">
        <v>20640894</v>
      </c>
      <c r="G67" s="42">
        <v>17515972</v>
      </c>
      <c r="H67" s="42">
        <v>15189505</v>
      </c>
      <c r="I67" s="44">
        <v>13501785.380000001</v>
      </c>
      <c r="J67" s="44"/>
      <c r="K67" s="44"/>
      <c r="L67" s="44"/>
      <c r="M67" s="123">
        <v>0.88888909678096828</v>
      </c>
      <c r="O67" s="39"/>
      <c r="Q67" s="39"/>
    </row>
    <row r="68" spans="1:17" x14ac:dyDescent="0.25">
      <c r="A68" s="40"/>
      <c r="B68" s="41">
        <v>5607</v>
      </c>
      <c r="C68" s="40" t="s">
        <v>103</v>
      </c>
      <c r="D68" s="42">
        <v>23457817</v>
      </c>
      <c r="E68" s="42">
        <v>31998682</v>
      </c>
      <c r="F68" s="42">
        <v>34957358</v>
      </c>
      <c r="G68" s="42">
        <v>44148888</v>
      </c>
      <c r="H68" s="42">
        <v>33640686</v>
      </c>
      <c r="I68" s="44">
        <v>6539411.959999999</v>
      </c>
      <c r="J68" s="44"/>
      <c r="K68" s="44">
        <v>11092</v>
      </c>
      <c r="L68" s="44">
        <v>1659489</v>
      </c>
      <c r="M68" s="123">
        <v>0.14473043028908503</v>
      </c>
      <c r="O68" s="39"/>
      <c r="Q68" s="39"/>
    </row>
    <row r="69" spans="1:17" x14ac:dyDescent="0.25">
      <c r="A69" s="40"/>
      <c r="B69" s="41">
        <v>5608</v>
      </c>
      <c r="C69" s="40" t="s">
        <v>104</v>
      </c>
      <c r="D69" s="42">
        <v>9204050</v>
      </c>
      <c r="E69" s="42">
        <v>10935047</v>
      </c>
      <c r="F69" s="42">
        <v>12232138</v>
      </c>
      <c r="G69" s="42">
        <v>15607500</v>
      </c>
      <c r="H69" s="42">
        <v>11994684</v>
      </c>
      <c r="I69" s="44">
        <v>12381778.790000001</v>
      </c>
      <c r="J69" s="44"/>
      <c r="K69" s="44"/>
      <c r="L69" s="44">
        <v>1558093</v>
      </c>
      <c r="M69" s="123">
        <v>0.90237356732365781</v>
      </c>
      <c r="O69" s="39"/>
      <c r="Q69" s="39"/>
    </row>
    <row r="70" spans="1:17" x14ac:dyDescent="0.25">
      <c r="A70" s="40"/>
      <c r="B70" s="41">
        <v>5609</v>
      </c>
      <c r="C70" s="40" t="s">
        <v>105</v>
      </c>
      <c r="D70" s="42">
        <v>15504055</v>
      </c>
      <c r="E70" s="42">
        <v>14141038</v>
      </c>
      <c r="F70" s="42">
        <v>18308549</v>
      </c>
      <c r="G70" s="42">
        <v>26475675</v>
      </c>
      <c r="H70" s="42">
        <v>18607329</v>
      </c>
      <c r="I70" s="44">
        <v>13297817.75</v>
      </c>
      <c r="J70" s="44"/>
      <c r="K70" s="44"/>
      <c r="L70" s="44"/>
      <c r="M70" s="123">
        <v>0.71465484111126321</v>
      </c>
      <c r="O70" s="39"/>
      <c r="Q70" s="39"/>
    </row>
    <row r="71" spans="1:17" x14ac:dyDescent="0.25">
      <c r="A71" s="40"/>
      <c r="B71" s="41">
        <v>5610</v>
      </c>
      <c r="C71" s="40" t="s">
        <v>106</v>
      </c>
      <c r="D71" s="42">
        <v>9770596</v>
      </c>
      <c r="E71" s="42">
        <v>11838298</v>
      </c>
      <c r="F71" s="42">
        <v>18812685</v>
      </c>
      <c r="G71" s="42">
        <v>18901316</v>
      </c>
      <c r="H71" s="42">
        <v>14830724</v>
      </c>
      <c r="I71" s="44">
        <v>12362163.65</v>
      </c>
      <c r="J71" s="44">
        <v>0</v>
      </c>
      <c r="K71" s="44">
        <v>0</v>
      </c>
      <c r="L71" s="44">
        <v>7653178</v>
      </c>
      <c r="M71" s="123">
        <v>0.31751556093957384</v>
      </c>
      <c r="O71" s="39"/>
      <c r="Q71" s="39"/>
    </row>
    <row r="72" spans="1:17" x14ac:dyDescent="0.25">
      <c r="A72" s="40"/>
      <c r="B72" s="41">
        <v>5611</v>
      </c>
      <c r="C72" s="40" t="s">
        <v>107</v>
      </c>
      <c r="D72" s="42">
        <v>6434392</v>
      </c>
      <c r="E72" s="42">
        <v>8481556</v>
      </c>
      <c r="F72" s="42">
        <v>10974296</v>
      </c>
      <c r="G72" s="42">
        <v>12050770</v>
      </c>
      <c r="H72" s="42">
        <v>9485254</v>
      </c>
      <c r="I72" s="44">
        <v>2333739</v>
      </c>
      <c r="J72" s="44"/>
      <c r="K72" s="44"/>
      <c r="L72" s="44"/>
      <c r="M72" s="123">
        <v>0.24603864060994043</v>
      </c>
      <c r="O72" s="39"/>
      <c r="Q72" s="39"/>
    </row>
    <row r="73" spans="1:17" x14ac:dyDescent="0.25">
      <c r="A73" s="40" t="s">
        <v>108</v>
      </c>
      <c r="B73" s="41">
        <v>5701</v>
      </c>
      <c r="C73" s="40" t="s">
        <v>108</v>
      </c>
      <c r="D73" s="42">
        <v>64001278</v>
      </c>
      <c r="E73" s="42">
        <v>80064545</v>
      </c>
      <c r="F73" s="42">
        <v>86789691</v>
      </c>
      <c r="G73" s="42">
        <v>102042695</v>
      </c>
      <c r="H73" s="42">
        <v>83224552</v>
      </c>
      <c r="I73" s="44">
        <v>87508328.5</v>
      </c>
      <c r="J73" s="44"/>
      <c r="K73" s="44">
        <v>3066901</v>
      </c>
      <c r="L73" s="44">
        <v>70970426</v>
      </c>
      <c r="M73" s="123">
        <v>0.16186331048078217</v>
      </c>
      <c r="O73" s="39"/>
      <c r="Q73" s="39"/>
    </row>
    <row r="74" spans="1:17" x14ac:dyDescent="0.25">
      <c r="A74" s="40"/>
      <c r="B74" s="41">
        <v>5702</v>
      </c>
      <c r="C74" s="40" t="s">
        <v>109</v>
      </c>
      <c r="D74" s="42">
        <v>14845257</v>
      </c>
      <c r="E74" s="42">
        <v>18855601</v>
      </c>
      <c r="F74" s="42">
        <v>24194423</v>
      </c>
      <c r="G74" s="42">
        <v>29813309</v>
      </c>
      <c r="H74" s="42">
        <v>21927148</v>
      </c>
      <c r="I74" s="44">
        <v>16844446.469999999</v>
      </c>
      <c r="J74" s="44">
        <v>0</v>
      </c>
      <c r="K74" s="44">
        <v>346800</v>
      </c>
      <c r="L74" s="44">
        <v>6870698</v>
      </c>
      <c r="M74" s="123">
        <v>0.43904243588815101</v>
      </c>
      <c r="O74" s="39"/>
      <c r="Q74" s="39"/>
    </row>
    <row r="75" spans="1:17" x14ac:dyDescent="0.25">
      <c r="A75" s="40"/>
      <c r="B75" s="41">
        <v>5703</v>
      </c>
      <c r="C75" s="40" t="s">
        <v>110</v>
      </c>
      <c r="D75" s="42">
        <v>49120653</v>
      </c>
      <c r="E75" s="42">
        <v>48088174</v>
      </c>
      <c r="F75" s="42">
        <v>58289740</v>
      </c>
      <c r="G75" s="42">
        <v>67635422</v>
      </c>
      <c r="H75" s="42">
        <v>55783497</v>
      </c>
      <c r="I75" s="44">
        <v>28596981.740000002</v>
      </c>
      <c r="J75" s="44"/>
      <c r="K75" s="44">
        <v>12910069</v>
      </c>
      <c r="L75" s="44"/>
      <c r="M75" s="123">
        <v>0.28121063726069384</v>
      </c>
      <c r="O75" s="39"/>
      <c r="Q75" s="39"/>
    </row>
    <row r="76" spans="1:17" x14ac:dyDescent="0.25">
      <c r="A76" s="40"/>
      <c r="B76" s="41">
        <v>5704</v>
      </c>
      <c r="C76" s="40" t="s">
        <v>111</v>
      </c>
      <c r="D76" s="42">
        <v>13020940</v>
      </c>
      <c r="E76" s="42">
        <v>16264171</v>
      </c>
      <c r="F76" s="42">
        <v>24011562</v>
      </c>
      <c r="G76" s="42">
        <v>25083382</v>
      </c>
      <c r="H76" s="42">
        <v>19595014</v>
      </c>
      <c r="I76" s="44">
        <v>15380396.379999999</v>
      </c>
      <c r="J76" s="44"/>
      <c r="K76" s="44">
        <v>350796</v>
      </c>
      <c r="L76" s="44"/>
      <c r="M76" s="123">
        <v>0.76701146424289357</v>
      </c>
      <c r="O76" s="39"/>
      <c r="Q76" s="39"/>
    </row>
    <row r="77" spans="1:17" x14ac:dyDescent="0.25">
      <c r="A77" s="40" t="s">
        <v>112</v>
      </c>
      <c r="B77" s="41">
        <v>5801</v>
      </c>
      <c r="C77" s="40" t="s">
        <v>113</v>
      </c>
      <c r="D77" s="42">
        <v>28911874</v>
      </c>
      <c r="E77" s="42">
        <v>31252565</v>
      </c>
      <c r="F77" s="42">
        <v>39569079</v>
      </c>
      <c r="G77" s="42">
        <v>42971071</v>
      </c>
      <c r="H77" s="42">
        <v>35676147</v>
      </c>
      <c r="I77" s="44">
        <v>12869380.770000001</v>
      </c>
      <c r="J77" s="44"/>
      <c r="K77" s="44">
        <v>1317785</v>
      </c>
      <c r="L77" s="44"/>
      <c r="M77" s="123">
        <v>0.32379045220326069</v>
      </c>
      <c r="O77" s="39"/>
      <c r="Q77" s="39"/>
    </row>
    <row r="78" spans="1:17" x14ac:dyDescent="0.25">
      <c r="A78" s="40"/>
      <c r="B78" s="41">
        <v>5802</v>
      </c>
      <c r="C78" s="40" t="s">
        <v>114</v>
      </c>
      <c r="D78" s="42">
        <v>16966170</v>
      </c>
      <c r="E78" s="42">
        <v>20352587</v>
      </c>
      <c r="F78" s="42">
        <v>26503758</v>
      </c>
      <c r="G78" s="42">
        <v>28423230</v>
      </c>
      <c r="H78" s="42">
        <v>23061436</v>
      </c>
      <c r="I78" s="44">
        <v>7784473.5299999993</v>
      </c>
      <c r="J78" s="44"/>
      <c r="K78" s="44">
        <v>983407</v>
      </c>
      <c r="L78" s="44"/>
      <c r="M78" s="123">
        <v>0.29491079957033028</v>
      </c>
      <c r="O78" s="39"/>
      <c r="Q78" s="39"/>
    </row>
    <row r="79" spans="1:17" x14ac:dyDescent="0.25">
      <c r="A79" s="40"/>
      <c r="B79" s="41">
        <v>5803</v>
      </c>
      <c r="C79" s="40" t="s">
        <v>112</v>
      </c>
      <c r="D79" s="42">
        <v>92746891</v>
      </c>
      <c r="E79" s="42">
        <v>106452463</v>
      </c>
      <c r="F79" s="42">
        <v>125177159</v>
      </c>
      <c r="G79" s="42">
        <v>144577632</v>
      </c>
      <c r="H79" s="42">
        <v>117238536</v>
      </c>
      <c r="I79" s="44">
        <v>96863025.929999992</v>
      </c>
      <c r="J79" s="44"/>
      <c r="K79" s="44">
        <v>25071253</v>
      </c>
      <c r="L79" s="44">
        <v>0</v>
      </c>
      <c r="M79" s="123">
        <v>0.61235644336261574</v>
      </c>
      <c r="O79" s="39"/>
      <c r="Q79" s="39"/>
    </row>
    <row r="80" spans="1:17" x14ac:dyDescent="0.25">
      <c r="A80" s="40"/>
      <c r="B80" s="41">
        <v>5804</v>
      </c>
      <c r="C80" s="40" t="s">
        <v>115</v>
      </c>
      <c r="D80" s="42">
        <v>24429997</v>
      </c>
      <c r="E80" s="42">
        <v>30183634</v>
      </c>
      <c r="F80" s="42">
        <v>36824086</v>
      </c>
      <c r="G80" s="42">
        <v>41781371</v>
      </c>
      <c r="H80" s="42">
        <v>33304772</v>
      </c>
      <c r="I80" s="44">
        <v>13282338.939999999</v>
      </c>
      <c r="J80" s="44"/>
      <c r="K80" s="44">
        <v>1326158</v>
      </c>
      <c r="L80" s="44">
        <v>1374443</v>
      </c>
      <c r="M80" s="123">
        <v>0.31772437715532176</v>
      </c>
      <c r="O80" s="39"/>
      <c r="Q80" s="39"/>
    </row>
    <row r="81" spans="1:17" x14ac:dyDescent="0.25">
      <c r="A81" s="40"/>
      <c r="B81" s="41">
        <v>5805</v>
      </c>
      <c r="C81" s="40" t="s">
        <v>116</v>
      </c>
      <c r="D81" s="42">
        <v>19350576</v>
      </c>
      <c r="E81" s="42">
        <v>23129530</v>
      </c>
      <c r="F81" s="42">
        <v>38857600</v>
      </c>
      <c r="G81" s="42">
        <v>36561876</v>
      </c>
      <c r="H81" s="42">
        <v>29474896</v>
      </c>
      <c r="I81" s="44">
        <v>8869933.959999999</v>
      </c>
      <c r="J81" s="44"/>
      <c r="K81" s="44">
        <v>602985.1</v>
      </c>
      <c r="L81" s="44">
        <v>940936</v>
      </c>
      <c r="M81" s="123">
        <v>0.24855093161312594</v>
      </c>
      <c r="O81" s="39"/>
      <c r="Q81" s="39"/>
    </row>
    <row r="82" spans="1:17" x14ac:dyDescent="0.25">
      <c r="A82" s="40"/>
      <c r="B82" s="41">
        <v>5806</v>
      </c>
      <c r="C82" s="40" t="s">
        <v>117</v>
      </c>
      <c r="D82" s="42">
        <v>7518349</v>
      </c>
      <c r="E82" s="42">
        <v>8126015</v>
      </c>
      <c r="F82" s="42">
        <v>11870911</v>
      </c>
      <c r="G82" s="42">
        <v>11272458</v>
      </c>
      <c r="H82" s="42">
        <v>9696933</v>
      </c>
      <c r="I82" s="44">
        <v>678860.33999999985</v>
      </c>
      <c r="J82" s="44">
        <v>0</v>
      </c>
      <c r="K82" s="44">
        <v>0</v>
      </c>
      <c r="L82" s="44">
        <v>0</v>
      </c>
      <c r="M82" s="123">
        <v>7.0007737498031575E-2</v>
      </c>
      <c r="O82" s="39"/>
      <c r="Q82" s="39"/>
    </row>
    <row r="83" spans="1:17" x14ac:dyDescent="0.25">
      <c r="A83" s="40"/>
      <c r="B83" s="41">
        <v>5807</v>
      </c>
      <c r="C83" s="40" t="s">
        <v>118</v>
      </c>
      <c r="D83" s="42">
        <v>17871652</v>
      </c>
      <c r="E83" s="42">
        <v>21104438</v>
      </c>
      <c r="F83" s="42">
        <v>23864397</v>
      </c>
      <c r="G83" s="42">
        <v>26794794</v>
      </c>
      <c r="H83" s="42">
        <v>22408820</v>
      </c>
      <c r="I83" s="44">
        <v>8105465.4100000001</v>
      </c>
      <c r="J83" s="44">
        <v>0</v>
      </c>
      <c r="K83" s="44">
        <v>0</v>
      </c>
      <c r="L83" s="44">
        <v>0</v>
      </c>
      <c r="M83" s="123">
        <v>0.36170871156981937</v>
      </c>
      <c r="O83" s="39"/>
      <c r="Q83" s="39"/>
    </row>
    <row r="84" spans="1:17" x14ac:dyDescent="0.25">
      <c r="A84" s="40"/>
      <c r="B84" s="41">
        <v>5808</v>
      </c>
      <c r="C84" s="40" t="s">
        <v>119</v>
      </c>
      <c r="D84" s="42">
        <v>11342057</v>
      </c>
      <c r="E84" s="42">
        <v>9179059</v>
      </c>
      <c r="F84" s="42">
        <v>12339662</v>
      </c>
      <c r="G84" s="42">
        <v>19022683</v>
      </c>
      <c r="H84" s="42">
        <v>12970865</v>
      </c>
      <c r="I84" s="44">
        <v>6997989.8100000005</v>
      </c>
      <c r="J84" s="44">
        <v>0</v>
      </c>
      <c r="K84" s="44">
        <v>69700.61</v>
      </c>
      <c r="L84" s="44">
        <v>10337</v>
      </c>
      <c r="M84" s="123">
        <v>0.53334547850124103</v>
      </c>
      <c r="O84" s="39"/>
      <c r="Q84" s="39"/>
    </row>
    <row r="85" spans="1:17" x14ac:dyDescent="0.25">
      <c r="A85" s="40" t="s">
        <v>120</v>
      </c>
      <c r="B85" s="41">
        <v>5901</v>
      </c>
      <c r="C85" s="40" t="s">
        <v>121</v>
      </c>
      <c r="D85" s="42">
        <v>13350807</v>
      </c>
      <c r="E85" s="42">
        <v>16116362</v>
      </c>
      <c r="F85" s="42">
        <v>20985257</v>
      </c>
      <c r="G85" s="42">
        <v>26213695</v>
      </c>
      <c r="H85" s="42">
        <v>19166530</v>
      </c>
      <c r="I85" s="44">
        <v>11880262.67</v>
      </c>
      <c r="J85" s="44"/>
      <c r="K85" s="44"/>
      <c r="L85" s="44"/>
      <c r="M85" s="123">
        <v>0.61984421123698452</v>
      </c>
      <c r="O85" s="39"/>
      <c r="Q85" s="39"/>
    </row>
    <row r="86" spans="1:17" x14ac:dyDescent="0.25">
      <c r="A86" s="40"/>
      <c r="B86" s="41">
        <v>5902</v>
      </c>
      <c r="C86" s="40" t="s">
        <v>122</v>
      </c>
      <c r="D86" s="42">
        <v>12694503</v>
      </c>
      <c r="E86" s="42">
        <v>14596561</v>
      </c>
      <c r="F86" s="42">
        <v>15622951</v>
      </c>
      <c r="G86" s="42">
        <v>23960510</v>
      </c>
      <c r="H86" s="42">
        <v>16718631</v>
      </c>
      <c r="I86" s="44">
        <v>8937725.0700000022</v>
      </c>
      <c r="J86" s="44"/>
      <c r="K86" s="44">
        <v>1240889</v>
      </c>
      <c r="L86" s="44">
        <v>342072</v>
      </c>
      <c r="M86" s="123">
        <v>0.4399142531466842</v>
      </c>
      <c r="O86" s="39"/>
      <c r="Q86" s="39"/>
    </row>
    <row r="87" spans="1:17" x14ac:dyDescent="0.25">
      <c r="A87" s="40"/>
      <c r="B87" s="41">
        <v>5903</v>
      </c>
      <c r="C87" s="40" t="s">
        <v>123</v>
      </c>
      <c r="D87" s="42">
        <v>24976141</v>
      </c>
      <c r="E87" s="42">
        <v>29108163</v>
      </c>
      <c r="F87" s="42">
        <v>37592260</v>
      </c>
      <c r="G87" s="42">
        <v>44580032</v>
      </c>
      <c r="H87" s="42">
        <v>34064149</v>
      </c>
      <c r="I87" s="44">
        <v>13108667.82</v>
      </c>
      <c r="J87" s="44">
        <v>0</v>
      </c>
      <c r="K87" s="44">
        <v>7121682</v>
      </c>
      <c r="L87" s="44"/>
      <c r="M87" s="123">
        <v>0.17575621278547132</v>
      </c>
      <c r="O87" s="39"/>
      <c r="Q87" s="39"/>
    </row>
    <row r="88" spans="1:17" x14ac:dyDescent="0.25">
      <c r="A88" s="40"/>
      <c r="B88" s="41">
        <v>5904</v>
      </c>
      <c r="C88" s="40" t="s">
        <v>124</v>
      </c>
      <c r="D88" s="42">
        <v>29061565</v>
      </c>
      <c r="E88" s="42">
        <v>43554787</v>
      </c>
      <c r="F88" s="42">
        <v>53940799</v>
      </c>
      <c r="G88" s="42">
        <v>47821115</v>
      </c>
      <c r="H88" s="42">
        <v>43594567</v>
      </c>
      <c r="I88" s="44">
        <v>13936254.52</v>
      </c>
      <c r="J88" s="44">
        <v>113062</v>
      </c>
      <c r="K88" s="44">
        <v>105097</v>
      </c>
      <c r="L88" s="44">
        <v>6344630</v>
      </c>
      <c r="M88" s="123">
        <v>0.16913725786059533</v>
      </c>
      <c r="O88" s="39"/>
      <c r="Q88" s="39"/>
    </row>
    <row r="89" spans="1:17" x14ac:dyDescent="0.25">
      <c r="A89" s="40"/>
      <c r="B89" s="41">
        <v>5905</v>
      </c>
      <c r="C89" s="40" t="s">
        <v>120</v>
      </c>
      <c r="D89" s="42">
        <v>85691801</v>
      </c>
      <c r="E89" s="42">
        <v>106653299</v>
      </c>
      <c r="F89" s="42">
        <v>115980180</v>
      </c>
      <c r="G89" s="42">
        <v>161099423</v>
      </c>
      <c r="H89" s="42">
        <v>117356176</v>
      </c>
      <c r="I89" s="44">
        <v>94588016.00999999</v>
      </c>
      <c r="J89" s="44"/>
      <c r="K89" s="44">
        <v>29166073</v>
      </c>
      <c r="L89" s="44">
        <v>42325109</v>
      </c>
      <c r="M89" s="123">
        <v>0.19680970186008778</v>
      </c>
      <c r="O89" s="39"/>
      <c r="Q89" s="39"/>
    </row>
    <row r="90" spans="1:17" x14ac:dyDescent="0.25">
      <c r="A90" s="40"/>
      <c r="B90" s="41">
        <v>5906</v>
      </c>
      <c r="C90" s="40" t="s">
        <v>125</v>
      </c>
      <c r="D90" s="42">
        <v>19572776</v>
      </c>
      <c r="E90" s="42">
        <v>24040718</v>
      </c>
      <c r="F90" s="42">
        <v>28343776</v>
      </c>
      <c r="G90" s="42">
        <v>32016823</v>
      </c>
      <c r="H90" s="42">
        <v>25993523</v>
      </c>
      <c r="I90" s="44">
        <v>12953993.98</v>
      </c>
      <c r="J90" s="44"/>
      <c r="K90" s="44">
        <v>45596</v>
      </c>
      <c r="L90" s="44">
        <v>1715120</v>
      </c>
      <c r="M90" s="123">
        <v>0.43061796509845934</v>
      </c>
      <c r="O90" s="39"/>
      <c r="Q90" s="39"/>
    </row>
    <row r="91" spans="1:17" x14ac:dyDescent="0.25">
      <c r="A91" s="40"/>
      <c r="B91" s="41">
        <v>5907</v>
      </c>
      <c r="C91" s="40" t="s">
        <v>126</v>
      </c>
      <c r="D91" s="42">
        <v>11544912</v>
      </c>
      <c r="E91" s="42">
        <v>13199396</v>
      </c>
      <c r="F91" s="42">
        <v>17068367</v>
      </c>
      <c r="G91" s="42">
        <v>20832885</v>
      </c>
      <c r="H91" s="42">
        <v>15661390</v>
      </c>
      <c r="I91" s="44">
        <v>3087827.5999999996</v>
      </c>
      <c r="J91" s="44"/>
      <c r="K91" s="44">
        <v>127149</v>
      </c>
      <c r="L91" s="44">
        <v>2960678.5999999996</v>
      </c>
      <c r="M91" s="123">
        <v>0</v>
      </c>
      <c r="O91" s="39"/>
      <c r="Q91" s="39"/>
    </row>
    <row r="92" spans="1:17" x14ac:dyDescent="0.25">
      <c r="A92" s="40" t="s">
        <v>127</v>
      </c>
      <c r="B92" s="41">
        <v>6001</v>
      </c>
      <c r="C92" s="40" t="s">
        <v>128</v>
      </c>
      <c r="D92" s="42">
        <v>11670036</v>
      </c>
      <c r="E92" s="42">
        <v>12978456</v>
      </c>
      <c r="F92" s="42">
        <v>14144825</v>
      </c>
      <c r="G92" s="42">
        <v>16677839</v>
      </c>
      <c r="H92" s="42">
        <v>13867789</v>
      </c>
      <c r="I92" s="44">
        <v>4528434.25</v>
      </c>
      <c r="J92" s="44"/>
      <c r="K92" s="44">
        <v>1033437</v>
      </c>
      <c r="L92" s="44">
        <v>790878</v>
      </c>
      <c r="M92" s="123">
        <v>0.19499281752844669</v>
      </c>
      <c r="O92" s="39"/>
      <c r="Q92" s="39"/>
    </row>
    <row r="93" spans="1:17" x14ac:dyDescent="0.25">
      <c r="A93" s="40"/>
      <c r="B93" s="41">
        <v>6002</v>
      </c>
      <c r="C93" s="40" t="s">
        <v>129</v>
      </c>
      <c r="D93" s="42">
        <v>3264428</v>
      </c>
      <c r="E93" s="42">
        <v>3250195</v>
      </c>
      <c r="F93" s="42">
        <v>5061149</v>
      </c>
      <c r="G93" s="42">
        <v>4741896</v>
      </c>
      <c r="H93" s="42">
        <v>4079417</v>
      </c>
      <c r="I93" s="44">
        <v>44846.999999999985</v>
      </c>
      <c r="J93" s="44"/>
      <c r="K93" s="44"/>
      <c r="L93" s="44">
        <v>44847</v>
      </c>
      <c r="M93" s="123">
        <v>-3.5671556078642734E-18</v>
      </c>
      <c r="O93" s="39"/>
      <c r="Q93" s="39"/>
    </row>
    <row r="94" spans="1:17" x14ac:dyDescent="0.25">
      <c r="A94" s="40"/>
      <c r="B94" s="41">
        <v>6003</v>
      </c>
      <c r="C94" s="40" t="s">
        <v>130</v>
      </c>
      <c r="D94" s="42">
        <v>42835236</v>
      </c>
      <c r="E94" s="42">
        <v>50161938</v>
      </c>
      <c r="F94" s="42">
        <v>56610312</v>
      </c>
      <c r="G94" s="42">
        <v>70939419</v>
      </c>
      <c r="H94" s="42">
        <v>55136726</v>
      </c>
      <c r="I94" s="44">
        <v>33674659.399999999</v>
      </c>
      <c r="J94" s="44"/>
      <c r="K94" s="44">
        <v>2116067.85</v>
      </c>
      <c r="L94" s="44">
        <v>15169864</v>
      </c>
      <c r="M94" s="123">
        <v>0.2972379526125653</v>
      </c>
      <c r="O94" s="39"/>
      <c r="Q94" s="39"/>
    </row>
    <row r="95" spans="1:17" x14ac:dyDescent="0.25">
      <c r="A95" s="40"/>
      <c r="B95" s="41">
        <v>6004</v>
      </c>
      <c r="C95" s="40" t="s">
        <v>131</v>
      </c>
      <c r="D95" s="42">
        <v>7232161</v>
      </c>
      <c r="E95" s="42">
        <v>8239731</v>
      </c>
      <c r="F95" s="42">
        <v>8919891</v>
      </c>
      <c r="G95" s="42">
        <v>13629529</v>
      </c>
      <c r="H95" s="42">
        <v>9505328</v>
      </c>
      <c r="I95" s="44">
        <v>8209506.6599999992</v>
      </c>
      <c r="J95" s="44"/>
      <c r="K95" s="44"/>
      <c r="L95" s="44"/>
      <c r="M95" s="123">
        <v>0.86367421092675589</v>
      </c>
      <c r="O95" s="39"/>
      <c r="Q95" s="39"/>
    </row>
    <row r="96" spans="1:17" x14ac:dyDescent="0.25">
      <c r="A96" s="40"/>
      <c r="B96" s="41">
        <v>6005</v>
      </c>
      <c r="C96" s="40" t="s">
        <v>127</v>
      </c>
      <c r="D96" s="42">
        <v>63443565</v>
      </c>
      <c r="E96" s="42">
        <v>72723361</v>
      </c>
      <c r="F96" s="42">
        <v>89900019</v>
      </c>
      <c r="G96" s="42">
        <v>109784611</v>
      </c>
      <c r="H96" s="42">
        <v>83962889</v>
      </c>
      <c r="I96" s="44">
        <v>63988667.970000014</v>
      </c>
      <c r="J96" s="44"/>
      <c r="K96" s="44">
        <v>2639716</v>
      </c>
      <c r="L96" s="44"/>
      <c r="M96" s="123">
        <v>0.73066747345961391</v>
      </c>
      <c r="O96" s="39"/>
      <c r="Q96" s="39"/>
    </row>
    <row r="97" spans="1:17" x14ac:dyDescent="0.25">
      <c r="A97" s="40"/>
      <c r="B97" s="41">
        <v>6006</v>
      </c>
      <c r="C97" s="40" t="s">
        <v>132</v>
      </c>
      <c r="D97" s="42">
        <v>4170993</v>
      </c>
      <c r="E97" s="42">
        <v>4732338</v>
      </c>
      <c r="F97" s="42">
        <v>6212781</v>
      </c>
      <c r="G97" s="42">
        <v>7034640</v>
      </c>
      <c r="H97" s="42">
        <v>5537688</v>
      </c>
      <c r="I97" s="44">
        <v>574129.76000000024</v>
      </c>
      <c r="J97" s="44"/>
      <c r="K97" s="44"/>
      <c r="L97" s="44"/>
      <c r="M97" s="123">
        <v>0.10367679797056105</v>
      </c>
      <c r="O97" s="39"/>
      <c r="Q97" s="39"/>
    </row>
    <row r="98" spans="1:17" x14ac:dyDescent="0.25">
      <c r="A98" s="40"/>
      <c r="B98" s="41">
        <v>6007</v>
      </c>
      <c r="C98" s="40" t="s">
        <v>133</v>
      </c>
      <c r="D98" s="42">
        <v>4198875</v>
      </c>
      <c r="E98" s="42">
        <v>6324908</v>
      </c>
      <c r="F98" s="42">
        <v>5856412</v>
      </c>
      <c r="G98" s="42">
        <v>6343704</v>
      </c>
      <c r="H98" s="42">
        <v>5680975</v>
      </c>
      <c r="I98" s="44">
        <v>512526.17999999993</v>
      </c>
      <c r="J98" s="44"/>
      <c r="K98" s="44">
        <v>291782</v>
      </c>
      <c r="L98" s="44"/>
      <c r="M98" s="123">
        <v>3.8856742020515832E-2</v>
      </c>
      <c r="O98" s="39"/>
      <c r="Q98" s="39"/>
    </row>
    <row r="99" spans="1:17" x14ac:dyDescent="0.25">
      <c r="A99" s="40"/>
      <c r="B99" s="41">
        <v>6008</v>
      </c>
      <c r="C99" s="40" t="s">
        <v>134</v>
      </c>
      <c r="D99" s="42">
        <v>10489971</v>
      </c>
      <c r="E99" s="42">
        <v>12137665</v>
      </c>
      <c r="F99" s="42">
        <v>14213388</v>
      </c>
      <c r="G99" s="42">
        <v>16771968</v>
      </c>
      <c r="H99" s="42">
        <v>13403248</v>
      </c>
      <c r="I99" s="44">
        <v>5798444.2599999998</v>
      </c>
      <c r="J99" s="44"/>
      <c r="K99" s="44"/>
      <c r="L99" s="44"/>
      <c r="M99" s="123">
        <v>0.43261486021895584</v>
      </c>
      <c r="O99" s="39"/>
      <c r="Q99" s="39"/>
    </row>
    <row r="100" spans="1:17" x14ac:dyDescent="0.25">
      <c r="A100" s="40"/>
      <c r="B100" s="41">
        <v>6009</v>
      </c>
      <c r="C100" s="40" t="s">
        <v>135</v>
      </c>
      <c r="D100" s="42">
        <v>2338216</v>
      </c>
      <c r="E100" s="42">
        <v>2764453</v>
      </c>
      <c r="F100" s="42">
        <v>2905986</v>
      </c>
      <c r="G100" s="42">
        <v>4073568</v>
      </c>
      <c r="H100" s="42">
        <v>3020556</v>
      </c>
      <c r="I100" s="44">
        <v>62224.800000000003</v>
      </c>
      <c r="J100" s="44"/>
      <c r="K100" s="44">
        <v>62225</v>
      </c>
      <c r="L100" s="44"/>
      <c r="M100" s="123">
        <v>-6.6212975358539823E-8</v>
      </c>
      <c r="O100" s="39"/>
      <c r="Q100" s="39"/>
    </row>
    <row r="101" spans="1:17" x14ac:dyDescent="0.25">
      <c r="A101" s="40" t="s">
        <v>136</v>
      </c>
      <c r="B101" s="41">
        <v>6101</v>
      </c>
      <c r="C101" s="40" t="s">
        <v>137</v>
      </c>
      <c r="D101" s="42">
        <v>6930121</v>
      </c>
      <c r="E101" s="42">
        <v>8633761</v>
      </c>
      <c r="F101" s="42">
        <v>9236178</v>
      </c>
      <c r="G101" s="42">
        <v>16192765</v>
      </c>
      <c r="H101" s="42">
        <v>10248206</v>
      </c>
      <c r="I101" s="44">
        <v>11805772.15</v>
      </c>
      <c r="J101" s="44"/>
      <c r="K101" s="44"/>
      <c r="L101" s="44">
        <v>6850272</v>
      </c>
      <c r="M101" s="123">
        <v>0.48354806197299316</v>
      </c>
      <c r="O101" s="39"/>
      <c r="Q101" s="39"/>
    </row>
    <row r="102" spans="1:17" x14ac:dyDescent="0.25">
      <c r="A102" s="40"/>
      <c r="B102" s="41">
        <v>6102</v>
      </c>
      <c r="C102" s="40" t="s">
        <v>138</v>
      </c>
      <c r="D102" s="42">
        <v>6354077</v>
      </c>
      <c r="E102" s="42">
        <v>7138288</v>
      </c>
      <c r="F102" s="42">
        <v>9517249</v>
      </c>
      <c r="G102" s="42">
        <v>9271223</v>
      </c>
      <c r="H102" s="42">
        <v>8070209</v>
      </c>
      <c r="I102" s="44">
        <v>6929951.2800000003</v>
      </c>
      <c r="J102" s="44">
        <v>691171</v>
      </c>
      <c r="K102" s="44">
        <v>0</v>
      </c>
      <c r="L102" s="44"/>
      <c r="M102" s="123">
        <v>0.77306303715306512</v>
      </c>
      <c r="O102" s="39"/>
      <c r="Q102" s="39"/>
    </row>
    <row r="103" spans="1:17" x14ac:dyDescent="0.25">
      <c r="A103" s="40"/>
      <c r="B103" s="41">
        <v>6103</v>
      </c>
      <c r="C103" s="40" t="s">
        <v>136</v>
      </c>
      <c r="D103" s="42">
        <v>49625131</v>
      </c>
      <c r="E103" s="42">
        <v>59953371</v>
      </c>
      <c r="F103" s="42">
        <v>71692458</v>
      </c>
      <c r="G103" s="42">
        <v>80489015</v>
      </c>
      <c r="H103" s="42">
        <v>65439994</v>
      </c>
      <c r="I103" s="44">
        <v>39264685.599999994</v>
      </c>
      <c r="J103" s="44">
        <v>1746006</v>
      </c>
      <c r="K103" s="44">
        <v>10795871</v>
      </c>
      <c r="L103" s="44">
        <v>23918374</v>
      </c>
      <c r="M103" s="123">
        <v>4.2855055885243416E-2</v>
      </c>
      <c r="O103" s="39"/>
      <c r="Q103" s="39"/>
    </row>
    <row r="104" spans="1:17" x14ac:dyDescent="0.25">
      <c r="A104" s="40"/>
      <c r="B104" s="41">
        <v>6104</v>
      </c>
      <c r="C104" s="40" t="s">
        <v>139</v>
      </c>
      <c r="D104" s="42">
        <v>25128357</v>
      </c>
      <c r="E104" s="42">
        <v>26029535</v>
      </c>
      <c r="F104" s="42">
        <v>31199858</v>
      </c>
      <c r="G104" s="42">
        <v>38410344</v>
      </c>
      <c r="H104" s="42">
        <v>30192024</v>
      </c>
      <c r="I104" s="44">
        <v>37651315.460000001</v>
      </c>
      <c r="J104" s="44"/>
      <c r="K104" s="44">
        <v>814138</v>
      </c>
      <c r="L104" s="44">
        <v>27564871</v>
      </c>
      <c r="M104" s="123">
        <v>0.3071111251103934</v>
      </c>
      <c r="O104" s="39"/>
      <c r="Q104" s="39"/>
    </row>
    <row r="105" spans="1:17" x14ac:dyDescent="0.25">
      <c r="A105" s="40"/>
      <c r="B105" s="41">
        <v>6105</v>
      </c>
      <c r="C105" s="40" t="s">
        <v>140</v>
      </c>
      <c r="D105" s="42">
        <v>25722727</v>
      </c>
      <c r="E105" s="42">
        <v>28895850</v>
      </c>
      <c r="F105" s="42">
        <v>34412907</v>
      </c>
      <c r="G105" s="42">
        <v>40166727</v>
      </c>
      <c r="H105" s="42">
        <v>32299553</v>
      </c>
      <c r="I105" s="44">
        <v>11254991.670000002</v>
      </c>
      <c r="J105" s="44"/>
      <c r="K105" s="44">
        <v>3156728</v>
      </c>
      <c r="L105" s="44">
        <v>65464</v>
      </c>
      <c r="M105" s="123">
        <v>0.24869692995441769</v>
      </c>
      <c r="O105" s="39"/>
      <c r="Q105" s="39"/>
    </row>
    <row r="106" spans="1:17" x14ac:dyDescent="0.25">
      <c r="A106" s="40"/>
      <c r="B106" s="41">
        <v>6106</v>
      </c>
      <c r="C106" s="40" t="s">
        <v>141</v>
      </c>
      <c r="D106" s="42">
        <v>33399311</v>
      </c>
      <c r="E106" s="42">
        <v>36419534</v>
      </c>
      <c r="F106" s="42">
        <v>46634381</v>
      </c>
      <c r="G106" s="42">
        <v>53037923</v>
      </c>
      <c r="H106" s="42">
        <v>42372787</v>
      </c>
      <c r="I106" s="44">
        <v>14887917.43</v>
      </c>
      <c r="J106" s="44"/>
      <c r="K106" s="44"/>
      <c r="L106" s="44">
        <v>232223</v>
      </c>
      <c r="M106" s="123">
        <v>0.3458751587428035</v>
      </c>
      <c r="O106" s="39"/>
      <c r="Q106" s="39"/>
    </row>
    <row r="107" spans="1:17" x14ac:dyDescent="0.25">
      <c r="A107" s="40"/>
      <c r="B107" s="41">
        <v>6107</v>
      </c>
      <c r="C107" s="40" t="s">
        <v>142</v>
      </c>
      <c r="D107" s="42">
        <v>11898415</v>
      </c>
      <c r="E107" s="42">
        <v>13077874</v>
      </c>
      <c r="F107" s="42">
        <v>16556722</v>
      </c>
      <c r="G107" s="42">
        <v>24990397</v>
      </c>
      <c r="H107" s="42">
        <v>16630852</v>
      </c>
      <c r="I107" s="44">
        <v>19460063.890000001</v>
      </c>
      <c r="J107" s="44"/>
      <c r="K107" s="44">
        <v>321577</v>
      </c>
      <c r="L107" s="44">
        <v>17700844</v>
      </c>
      <c r="M107" s="123">
        <v>8.6444331895924556E-2</v>
      </c>
      <c r="O107" s="39"/>
      <c r="Q107" s="39"/>
    </row>
    <row r="108" spans="1:17" x14ac:dyDescent="0.25">
      <c r="A108" s="40"/>
      <c r="B108" s="41">
        <v>6108</v>
      </c>
      <c r="C108" s="40" t="s">
        <v>143</v>
      </c>
      <c r="D108" s="42">
        <v>10130181</v>
      </c>
      <c r="E108" s="42">
        <v>12211264</v>
      </c>
      <c r="F108" s="42">
        <v>14179911</v>
      </c>
      <c r="G108" s="42">
        <v>16872260</v>
      </c>
      <c r="H108" s="42">
        <v>13348404</v>
      </c>
      <c r="I108" s="44">
        <v>21307548.790000003</v>
      </c>
      <c r="J108" s="44"/>
      <c r="K108" s="44"/>
      <c r="L108" s="44"/>
      <c r="M108" s="123">
        <v>1.5962619044194348</v>
      </c>
      <c r="O108" s="39"/>
      <c r="Q108" s="39"/>
    </row>
    <row r="109" spans="1:17" x14ac:dyDescent="0.25">
      <c r="A109" s="40" t="s">
        <v>144</v>
      </c>
      <c r="B109" s="41">
        <v>6201</v>
      </c>
      <c r="C109" s="40" t="s">
        <v>145</v>
      </c>
      <c r="D109" s="42">
        <v>22501362</v>
      </c>
      <c r="E109" s="42">
        <v>25347819</v>
      </c>
      <c r="F109" s="42">
        <v>31077385</v>
      </c>
      <c r="G109" s="42">
        <v>37757402</v>
      </c>
      <c r="H109" s="42">
        <v>29170992</v>
      </c>
      <c r="I109" s="44">
        <v>11130600.41</v>
      </c>
      <c r="J109" s="44"/>
      <c r="K109" s="44">
        <v>293491</v>
      </c>
      <c r="L109" s="44">
        <v>4065070</v>
      </c>
      <c r="M109" s="123">
        <v>0.23214978119359123</v>
      </c>
      <c r="O109" s="39"/>
      <c r="Q109" s="39"/>
    </row>
    <row r="110" spans="1:17" x14ac:dyDescent="0.25">
      <c r="A110" s="40"/>
      <c r="B110" s="41">
        <v>6202</v>
      </c>
      <c r="C110" s="40" t="s">
        <v>146</v>
      </c>
      <c r="D110" s="42">
        <v>9159876</v>
      </c>
      <c r="E110" s="42">
        <v>13037171</v>
      </c>
      <c r="F110" s="42">
        <v>15602588</v>
      </c>
      <c r="G110" s="42">
        <v>15568065</v>
      </c>
      <c r="H110" s="42">
        <v>13341925</v>
      </c>
      <c r="I110" s="44">
        <v>5053801.91</v>
      </c>
      <c r="J110" s="44"/>
      <c r="K110" s="44">
        <v>409814</v>
      </c>
      <c r="L110" s="44">
        <v>1380716</v>
      </c>
      <c r="M110" s="123">
        <v>0.24458778699475525</v>
      </c>
      <c r="O110" s="39"/>
      <c r="Q110" s="39"/>
    </row>
    <row r="111" spans="1:17" x14ac:dyDescent="0.25">
      <c r="A111" s="40"/>
      <c r="B111" s="41">
        <v>6203</v>
      </c>
      <c r="C111" s="40" t="s">
        <v>147</v>
      </c>
      <c r="D111" s="42">
        <v>6754182</v>
      </c>
      <c r="E111" s="42">
        <v>8294941</v>
      </c>
      <c r="F111" s="42">
        <v>9804895</v>
      </c>
      <c r="G111" s="42">
        <v>13897060</v>
      </c>
      <c r="H111" s="42">
        <v>9687770</v>
      </c>
      <c r="I111" s="44">
        <v>10270968.039999999</v>
      </c>
      <c r="J111" s="44">
        <v>0</v>
      </c>
      <c r="K111" s="44">
        <v>0</v>
      </c>
      <c r="L111" s="44">
        <v>6190359</v>
      </c>
      <c r="M111" s="123">
        <v>0.4212124193699891</v>
      </c>
      <c r="O111" s="39"/>
      <c r="Q111" s="39"/>
    </row>
    <row r="112" spans="1:17" x14ac:dyDescent="0.25">
      <c r="A112" s="40"/>
      <c r="B112" s="41">
        <v>6204</v>
      </c>
      <c r="C112" s="40" t="s">
        <v>148</v>
      </c>
      <c r="D112" s="42">
        <v>11827382</v>
      </c>
      <c r="E112" s="42">
        <v>14298935</v>
      </c>
      <c r="F112" s="42">
        <v>15925208</v>
      </c>
      <c r="G112" s="42">
        <v>17645637</v>
      </c>
      <c r="H112" s="42">
        <v>14924291</v>
      </c>
      <c r="I112" s="44">
        <v>8208858.46</v>
      </c>
      <c r="J112" s="44"/>
      <c r="K112" s="44"/>
      <c r="L112" s="44">
        <v>6091720</v>
      </c>
      <c r="M112" s="123">
        <v>0.14185856199132005</v>
      </c>
      <c r="O112" s="39"/>
      <c r="Q112" s="39"/>
    </row>
    <row r="113" spans="1:17" x14ac:dyDescent="0.25">
      <c r="A113" s="40"/>
      <c r="B113" s="41">
        <v>6205</v>
      </c>
      <c r="C113" s="40" t="s">
        <v>149</v>
      </c>
      <c r="D113" s="42">
        <v>10091460</v>
      </c>
      <c r="E113" s="42">
        <v>11674988</v>
      </c>
      <c r="F113" s="42">
        <v>16025965</v>
      </c>
      <c r="G113" s="42">
        <v>17152739</v>
      </c>
      <c r="H113" s="42">
        <v>13736288</v>
      </c>
      <c r="I113" s="44">
        <v>7517778.4899999993</v>
      </c>
      <c r="J113" s="44"/>
      <c r="K113" s="44"/>
      <c r="L113" s="44">
        <v>1200015</v>
      </c>
      <c r="M113" s="123">
        <v>0.4599323696474622</v>
      </c>
      <c r="O113" s="39"/>
      <c r="Q113" s="39"/>
    </row>
    <row r="114" spans="1:17" x14ac:dyDescent="0.25">
      <c r="A114" s="40"/>
      <c r="B114" s="41">
        <v>6206</v>
      </c>
      <c r="C114" s="40" t="s">
        <v>150</v>
      </c>
      <c r="D114" s="42">
        <v>5107232</v>
      </c>
      <c r="E114" s="42">
        <v>5158371</v>
      </c>
      <c r="F114" s="42">
        <v>6454246</v>
      </c>
      <c r="G114" s="42">
        <v>12403474</v>
      </c>
      <c r="H114" s="42">
        <v>7280831</v>
      </c>
      <c r="I114" s="44">
        <v>10786319.640000001</v>
      </c>
      <c r="J114" s="44"/>
      <c r="K114" s="44">
        <v>168467</v>
      </c>
      <c r="L114" s="44">
        <v>953692</v>
      </c>
      <c r="M114" s="123">
        <v>1.3273430793820102</v>
      </c>
      <c r="O114" s="39"/>
      <c r="Q114" s="39"/>
    </row>
    <row r="115" spans="1:17" x14ac:dyDescent="0.25">
      <c r="A115" s="40"/>
      <c r="B115" s="41">
        <v>6207</v>
      </c>
      <c r="C115" s="40" t="s">
        <v>151</v>
      </c>
      <c r="D115" s="42">
        <v>30467645</v>
      </c>
      <c r="E115" s="42">
        <v>34217114</v>
      </c>
      <c r="F115" s="42">
        <v>38497067</v>
      </c>
      <c r="G115" s="42">
        <v>66049188</v>
      </c>
      <c r="H115" s="42">
        <v>42307754</v>
      </c>
      <c r="I115" s="44">
        <v>13887069.329999998</v>
      </c>
      <c r="J115" s="44"/>
      <c r="K115" s="44"/>
      <c r="L115" s="44"/>
      <c r="M115" s="123">
        <v>0.32823934189463233</v>
      </c>
      <c r="O115" s="39"/>
      <c r="Q115" s="39"/>
    </row>
    <row r="116" spans="1:17" x14ac:dyDescent="0.25">
      <c r="A116" s="40"/>
      <c r="B116" s="41">
        <v>6208</v>
      </c>
      <c r="C116" s="40" t="s">
        <v>152</v>
      </c>
      <c r="D116" s="42">
        <v>6696312</v>
      </c>
      <c r="E116" s="42">
        <v>7285417</v>
      </c>
      <c r="F116" s="42">
        <v>7689952</v>
      </c>
      <c r="G116" s="42">
        <v>10212602</v>
      </c>
      <c r="H116" s="42">
        <v>7971071</v>
      </c>
      <c r="I116" s="44">
        <v>354717.27</v>
      </c>
      <c r="J116" s="44"/>
      <c r="K116" s="44"/>
      <c r="L116" s="44"/>
      <c r="M116" s="123">
        <v>4.4500578404081462E-2</v>
      </c>
      <c r="O116" s="39"/>
      <c r="Q116" s="39"/>
    </row>
    <row r="117" spans="1:17" x14ac:dyDescent="0.25">
      <c r="A117" s="40"/>
      <c r="B117" s="41">
        <v>6209</v>
      </c>
      <c r="C117" s="40" t="s">
        <v>144</v>
      </c>
      <c r="D117" s="42">
        <v>56727110</v>
      </c>
      <c r="E117" s="42">
        <v>69642209</v>
      </c>
      <c r="F117" s="42">
        <v>78717659</v>
      </c>
      <c r="G117" s="42">
        <v>106811870</v>
      </c>
      <c r="H117" s="42">
        <v>77974712</v>
      </c>
      <c r="I117" s="44">
        <v>22919257</v>
      </c>
      <c r="J117" s="44">
        <v>0</v>
      </c>
      <c r="K117" s="44">
        <v>0</v>
      </c>
      <c r="L117" s="44">
        <v>0</v>
      </c>
      <c r="M117" s="123">
        <v>0.293931922441727</v>
      </c>
      <c r="O117" s="39"/>
      <c r="Q117" s="39"/>
    </row>
    <row r="118" spans="1:17" x14ac:dyDescent="0.25">
      <c r="A118" s="40"/>
      <c r="B118" s="41">
        <v>6210</v>
      </c>
      <c r="C118" s="40" t="s">
        <v>153</v>
      </c>
      <c r="D118" s="42">
        <v>4717646</v>
      </c>
      <c r="E118" s="42">
        <v>6057698</v>
      </c>
      <c r="F118" s="42">
        <v>6627763</v>
      </c>
      <c r="G118" s="42">
        <v>8514703</v>
      </c>
      <c r="H118" s="42">
        <v>6479453</v>
      </c>
      <c r="I118" s="44">
        <v>9302665.7300000004</v>
      </c>
      <c r="J118" s="44"/>
      <c r="K118" s="44">
        <v>139959</v>
      </c>
      <c r="L118" s="44"/>
      <c r="M118" s="123">
        <v>1.4141173228666062</v>
      </c>
      <c r="O118" s="39"/>
      <c r="Q118" s="39"/>
    </row>
    <row r="119" spans="1:17" x14ac:dyDescent="0.25">
      <c r="A119" s="40"/>
      <c r="B119" s="41">
        <v>6211</v>
      </c>
      <c r="C119" s="40" t="s">
        <v>154</v>
      </c>
      <c r="D119" s="42">
        <v>5301728</v>
      </c>
      <c r="E119" s="42">
        <v>6230344</v>
      </c>
      <c r="F119" s="42">
        <v>7489561</v>
      </c>
      <c r="G119" s="42">
        <v>8904729</v>
      </c>
      <c r="H119" s="42">
        <v>6981591</v>
      </c>
      <c r="I119" s="44">
        <v>3327192.96</v>
      </c>
      <c r="J119" s="44"/>
      <c r="K119" s="44"/>
      <c r="L119" s="44">
        <v>3327192.96</v>
      </c>
      <c r="M119" s="123">
        <v>0</v>
      </c>
      <c r="O119" s="39"/>
      <c r="Q119" s="39"/>
    </row>
    <row r="120" spans="1:17" x14ac:dyDescent="0.25">
      <c r="A120" s="40" t="s">
        <v>155</v>
      </c>
      <c r="B120" s="41">
        <v>6301</v>
      </c>
      <c r="C120" s="40" t="s">
        <v>156</v>
      </c>
      <c r="D120" s="42">
        <v>9027500</v>
      </c>
      <c r="E120" s="42">
        <v>10648646</v>
      </c>
      <c r="F120" s="42">
        <v>14917964</v>
      </c>
      <c r="G120" s="42">
        <v>16791708</v>
      </c>
      <c r="H120" s="42">
        <v>12846455</v>
      </c>
      <c r="I120" s="44">
        <v>3486251.58</v>
      </c>
      <c r="J120" s="44"/>
      <c r="K120" s="44">
        <v>282030</v>
      </c>
      <c r="L120" s="44"/>
      <c r="M120" s="123">
        <v>0.24942457510651772</v>
      </c>
      <c r="O120" s="39"/>
      <c r="Q120" s="39"/>
    </row>
    <row r="121" spans="1:17" x14ac:dyDescent="0.25">
      <c r="A121" s="40"/>
      <c r="B121" s="41">
        <v>6302</v>
      </c>
      <c r="C121" s="40" t="s">
        <v>157</v>
      </c>
      <c r="D121" s="42">
        <v>13673685</v>
      </c>
      <c r="E121" s="42">
        <v>15439423</v>
      </c>
      <c r="F121" s="42">
        <v>14483151</v>
      </c>
      <c r="G121" s="42">
        <v>16005097</v>
      </c>
      <c r="H121" s="42">
        <v>14900339</v>
      </c>
      <c r="I121" s="44">
        <v>9333645.1300000008</v>
      </c>
      <c r="J121" s="44"/>
      <c r="K121" s="44"/>
      <c r="L121" s="44">
        <v>4576188</v>
      </c>
      <c r="M121" s="123">
        <v>0.31928516055909872</v>
      </c>
      <c r="O121" s="39"/>
      <c r="Q121" s="39"/>
    </row>
    <row r="122" spans="1:17" x14ac:dyDescent="0.25">
      <c r="A122" s="40"/>
      <c r="B122" s="41">
        <v>6303</v>
      </c>
      <c r="C122" s="40" t="s">
        <v>158</v>
      </c>
      <c r="D122" s="42">
        <v>9346582</v>
      </c>
      <c r="E122" s="42">
        <v>11574349</v>
      </c>
      <c r="F122" s="42">
        <v>12761328</v>
      </c>
      <c r="G122" s="42">
        <v>14345159</v>
      </c>
      <c r="H122" s="42">
        <v>12006855</v>
      </c>
      <c r="I122" s="44">
        <v>5145128.57</v>
      </c>
      <c r="J122" s="44">
        <v>0</v>
      </c>
      <c r="K122" s="44">
        <v>1136273</v>
      </c>
      <c r="L122" s="44">
        <v>30203</v>
      </c>
      <c r="M122" s="123">
        <v>0.33136508852651259</v>
      </c>
      <c r="O122" s="39"/>
      <c r="Q122" s="39"/>
    </row>
    <row r="123" spans="1:17" x14ac:dyDescent="0.25">
      <c r="A123" s="40"/>
      <c r="B123" s="41">
        <v>6304</v>
      </c>
      <c r="C123" s="40" t="s">
        <v>159</v>
      </c>
      <c r="D123" s="42">
        <v>46587176</v>
      </c>
      <c r="E123" s="42">
        <v>56775201</v>
      </c>
      <c r="F123" s="42">
        <v>56274469</v>
      </c>
      <c r="G123" s="42">
        <v>73843054</v>
      </c>
      <c r="H123" s="42">
        <v>58369975</v>
      </c>
      <c r="I123" s="44">
        <v>62079074.039999999</v>
      </c>
      <c r="J123" s="44">
        <v>0</v>
      </c>
      <c r="K123" s="44">
        <v>15323926</v>
      </c>
      <c r="L123" s="44">
        <v>4367953</v>
      </c>
      <c r="M123" s="123">
        <v>0.72618148354526446</v>
      </c>
      <c r="O123" s="39"/>
      <c r="Q123" s="39"/>
    </row>
    <row r="124" spans="1:17" x14ac:dyDescent="0.25">
      <c r="A124" s="40"/>
      <c r="B124" s="41">
        <v>6305</v>
      </c>
      <c r="C124" s="40" t="s">
        <v>160</v>
      </c>
      <c r="D124" s="42">
        <v>8161362</v>
      </c>
      <c r="E124" s="42">
        <v>9031689</v>
      </c>
      <c r="F124" s="42">
        <v>11764388</v>
      </c>
      <c r="G124" s="42">
        <v>16294612</v>
      </c>
      <c r="H124" s="42">
        <v>11313013</v>
      </c>
      <c r="I124" s="44">
        <v>17290680.68</v>
      </c>
      <c r="J124" s="44"/>
      <c r="K124" s="44">
        <v>107195</v>
      </c>
      <c r="L124" s="44"/>
      <c r="M124" s="123">
        <v>1.5189132797778981</v>
      </c>
      <c r="O124" s="39"/>
      <c r="Q124" s="39"/>
    </row>
    <row r="125" spans="1:17" x14ac:dyDescent="0.25">
      <c r="A125" s="40"/>
      <c r="B125" s="41">
        <v>6306</v>
      </c>
      <c r="C125" s="40" t="s">
        <v>155</v>
      </c>
      <c r="D125" s="42">
        <v>121810906</v>
      </c>
      <c r="E125" s="42">
        <v>141414543</v>
      </c>
      <c r="F125" s="42">
        <v>147845295</v>
      </c>
      <c r="G125" s="42">
        <v>183628758</v>
      </c>
      <c r="H125" s="42">
        <v>148674876</v>
      </c>
      <c r="I125" s="44">
        <v>72075169.489999995</v>
      </c>
      <c r="J125" s="44"/>
      <c r="K125" s="44">
        <v>3051900</v>
      </c>
      <c r="L125" s="44">
        <v>30592</v>
      </c>
      <c r="M125" s="123">
        <v>0.46405068123278603</v>
      </c>
      <c r="O125" s="39"/>
      <c r="Q125" s="39"/>
    </row>
    <row r="126" spans="1:17" x14ac:dyDescent="0.25">
      <c r="A126" s="40"/>
      <c r="B126" s="41">
        <v>6307</v>
      </c>
      <c r="C126" s="40" t="s">
        <v>161</v>
      </c>
      <c r="D126" s="42">
        <v>23114005</v>
      </c>
      <c r="E126" s="42">
        <v>29303271</v>
      </c>
      <c r="F126" s="42">
        <v>32797799</v>
      </c>
      <c r="G126" s="42">
        <v>41223047</v>
      </c>
      <c r="H126" s="42">
        <v>31609531</v>
      </c>
      <c r="I126" s="44">
        <v>34205903</v>
      </c>
      <c r="J126" s="44"/>
      <c r="K126" s="44"/>
      <c r="L126" s="44"/>
      <c r="M126" s="123">
        <v>1.0821388966511398</v>
      </c>
      <c r="O126" s="39"/>
      <c r="Q126" s="39"/>
    </row>
    <row r="127" spans="1:17" x14ac:dyDescent="0.25">
      <c r="A127" s="40"/>
      <c r="B127" s="41">
        <v>6308</v>
      </c>
      <c r="C127" s="40" t="s">
        <v>162</v>
      </c>
      <c r="D127" s="42">
        <v>20107779</v>
      </c>
      <c r="E127" s="42">
        <v>25508744</v>
      </c>
      <c r="F127" s="42">
        <v>35409598</v>
      </c>
      <c r="G127" s="42">
        <v>36201911</v>
      </c>
      <c r="H127" s="42">
        <v>29307008</v>
      </c>
      <c r="I127" s="44">
        <v>13575826.430000002</v>
      </c>
      <c r="J127" s="44">
        <v>0</v>
      </c>
      <c r="K127" s="44">
        <v>0</v>
      </c>
      <c r="L127" s="44">
        <v>0</v>
      </c>
      <c r="M127" s="123">
        <v>0.46322799072494886</v>
      </c>
      <c r="O127" s="39"/>
      <c r="Q127" s="39"/>
    </row>
    <row r="128" spans="1:17" x14ac:dyDescent="0.25">
      <c r="A128" s="40"/>
      <c r="B128" s="41">
        <v>6309</v>
      </c>
      <c r="C128" s="40" t="s">
        <v>163</v>
      </c>
      <c r="D128" s="42">
        <v>15406838</v>
      </c>
      <c r="E128" s="42">
        <v>18547796</v>
      </c>
      <c r="F128" s="42">
        <v>26136031</v>
      </c>
      <c r="G128" s="42">
        <v>31319440</v>
      </c>
      <c r="H128" s="42">
        <v>22852526</v>
      </c>
      <c r="I128" s="44">
        <v>8053537.7199999988</v>
      </c>
      <c r="J128" s="44"/>
      <c r="K128" s="44">
        <v>0</v>
      </c>
      <c r="L128" s="44"/>
      <c r="M128" s="123">
        <v>0.35241345836342114</v>
      </c>
      <c r="O128" s="39"/>
      <c r="Q128" s="39"/>
    </row>
    <row r="129" spans="1:17" x14ac:dyDescent="0.25">
      <c r="A129" s="40"/>
      <c r="B129" s="41">
        <v>6310</v>
      </c>
      <c r="C129" s="40" t="s">
        <v>164</v>
      </c>
      <c r="D129" s="42">
        <v>25204679</v>
      </c>
      <c r="E129" s="42">
        <v>30469167</v>
      </c>
      <c r="F129" s="42">
        <v>34053583</v>
      </c>
      <c r="G129" s="42">
        <v>44555770</v>
      </c>
      <c r="H129" s="42">
        <v>33570800</v>
      </c>
      <c r="I129" s="44">
        <v>57863508.329999998</v>
      </c>
      <c r="J129" s="44"/>
      <c r="K129" s="44">
        <v>1901741.77</v>
      </c>
      <c r="L129" s="44">
        <v>2580089</v>
      </c>
      <c r="M129" s="123">
        <v>1.590122295566385</v>
      </c>
      <c r="O129" s="39"/>
      <c r="Q129" s="39"/>
    </row>
    <row r="130" spans="1:17" x14ac:dyDescent="0.25">
      <c r="A130" s="40"/>
      <c r="B130" s="41">
        <v>6311</v>
      </c>
      <c r="C130" s="40" t="s">
        <v>165</v>
      </c>
      <c r="D130" s="42">
        <v>8558398</v>
      </c>
      <c r="E130" s="42">
        <v>8474391</v>
      </c>
      <c r="F130" s="42">
        <v>12601683</v>
      </c>
      <c r="G130" s="42">
        <v>16781019</v>
      </c>
      <c r="H130" s="42">
        <v>11603873</v>
      </c>
      <c r="I130" s="44">
        <v>9378786.4100000001</v>
      </c>
      <c r="J130" s="44">
        <v>3616</v>
      </c>
      <c r="K130" s="44"/>
      <c r="L130" s="44"/>
      <c r="M130" s="123">
        <v>0.80793459304492565</v>
      </c>
      <c r="O130" s="39"/>
      <c r="Q130" s="39"/>
    </row>
    <row r="131" spans="1:17" x14ac:dyDescent="0.25">
      <c r="A131" s="40"/>
      <c r="B131" s="41">
        <v>6312</v>
      </c>
      <c r="C131" s="40" t="s">
        <v>166</v>
      </c>
      <c r="D131" s="42">
        <v>6892767</v>
      </c>
      <c r="E131" s="42">
        <v>7114546</v>
      </c>
      <c r="F131" s="42">
        <v>11240222</v>
      </c>
      <c r="G131" s="42">
        <v>12999003</v>
      </c>
      <c r="H131" s="42">
        <v>9561635</v>
      </c>
      <c r="I131" s="44">
        <v>7199130.1999999993</v>
      </c>
      <c r="J131" s="44"/>
      <c r="K131" s="44"/>
      <c r="L131" s="44"/>
      <c r="M131" s="123">
        <v>0.7529183241150702</v>
      </c>
      <c r="O131" s="39"/>
      <c r="Q131" s="39"/>
    </row>
    <row r="132" spans="1:17" x14ac:dyDescent="0.25">
      <c r="A132" s="40" t="s">
        <v>167</v>
      </c>
      <c r="B132" s="41">
        <v>6401</v>
      </c>
      <c r="C132" s="40" t="s">
        <v>168</v>
      </c>
      <c r="D132" s="42">
        <v>11322263</v>
      </c>
      <c r="E132" s="42">
        <v>12475194</v>
      </c>
      <c r="F132" s="42">
        <v>13668986</v>
      </c>
      <c r="G132" s="42">
        <v>18032524</v>
      </c>
      <c r="H132" s="42">
        <v>13874742</v>
      </c>
      <c r="I132" s="44">
        <v>5852161.6800000016</v>
      </c>
      <c r="J132" s="44"/>
      <c r="K132" s="44"/>
      <c r="L132" s="44"/>
      <c r="M132" s="123">
        <v>0.42178526130431843</v>
      </c>
      <c r="O132" s="39"/>
      <c r="Q132" s="39"/>
    </row>
    <row r="133" spans="1:17" x14ac:dyDescent="0.25">
      <c r="A133" s="40"/>
      <c r="B133" s="41">
        <v>6402</v>
      </c>
      <c r="C133" s="40" t="s">
        <v>169</v>
      </c>
      <c r="D133" s="42">
        <v>4905325</v>
      </c>
      <c r="E133" s="42">
        <v>6555414</v>
      </c>
      <c r="F133" s="42">
        <v>7563748</v>
      </c>
      <c r="G133" s="42">
        <v>9015565</v>
      </c>
      <c r="H133" s="42">
        <v>7010013</v>
      </c>
      <c r="I133" s="44">
        <v>290475.52000000048</v>
      </c>
      <c r="J133" s="44">
        <v>0</v>
      </c>
      <c r="K133" s="44">
        <v>0</v>
      </c>
      <c r="L133" s="44">
        <v>0</v>
      </c>
      <c r="M133" s="123">
        <v>4.1437229859630859E-2</v>
      </c>
      <c r="O133" s="39"/>
      <c r="Q133" s="39"/>
    </row>
    <row r="134" spans="1:17" x14ac:dyDescent="0.25">
      <c r="A134" s="40"/>
      <c r="B134" s="41">
        <v>6403</v>
      </c>
      <c r="C134" s="40" t="s">
        <v>170</v>
      </c>
      <c r="D134" s="42">
        <v>3592094</v>
      </c>
      <c r="E134" s="42">
        <v>4872598</v>
      </c>
      <c r="F134" s="42">
        <v>4699949</v>
      </c>
      <c r="G134" s="42">
        <v>6625382</v>
      </c>
      <c r="H134" s="42">
        <v>4947506</v>
      </c>
      <c r="I134" s="44">
        <v>1526393.39</v>
      </c>
      <c r="J134" s="44"/>
      <c r="K134" s="44"/>
      <c r="L134" s="44"/>
      <c r="M134" s="123">
        <v>0.3085177440916696</v>
      </c>
      <c r="O134" s="39"/>
      <c r="Q134" s="39"/>
    </row>
    <row r="135" spans="1:17" x14ac:dyDescent="0.25">
      <c r="A135" s="40"/>
      <c r="B135" s="41">
        <v>6404</v>
      </c>
      <c r="C135" s="40" t="s">
        <v>167</v>
      </c>
      <c r="D135" s="42">
        <v>101389760</v>
      </c>
      <c r="E135" s="42">
        <v>115817218</v>
      </c>
      <c r="F135" s="42">
        <v>145385191</v>
      </c>
      <c r="G135" s="42">
        <v>168443586</v>
      </c>
      <c r="H135" s="42">
        <v>132758939</v>
      </c>
      <c r="I135" s="44">
        <v>49880752.490000002</v>
      </c>
      <c r="J135" s="44"/>
      <c r="K135" s="44">
        <v>22408772</v>
      </c>
      <c r="L135" s="44">
        <v>9535620</v>
      </c>
      <c r="M135" s="123">
        <v>0.13510472910603785</v>
      </c>
      <c r="O135" s="39"/>
      <c r="Q135" s="39"/>
    </row>
    <row r="136" spans="1:17" x14ac:dyDescent="0.25">
      <c r="A136" s="40"/>
      <c r="B136" s="41">
        <v>6405</v>
      </c>
      <c r="C136" s="40" t="s">
        <v>171</v>
      </c>
      <c r="D136" s="42">
        <v>29485178</v>
      </c>
      <c r="E136" s="42">
        <v>28359917</v>
      </c>
      <c r="F136" s="42">
        <v>33327719</v>
      </c>
      <c r="G136" s="42">
        <v>42066794</v>
      </c>
      <c r="H136" s="42">
        <v>33309902</v>
      </c>
      <c r="I136" s="44">
        <v>13013683.880000001</v>
      </c>
      <c r="J136" s="44"/>
      <c r="K136" s="44"/>
      <c r="L136" s="44"/>
      <c r="M136" s="123">
        <v>0.39068514461555609</v>
      </c>
      <c r="O136" s="39"/>
      <c r="Q136" s="39"/>
    </row>
    <row r="137" spans="1:17" x14ac:dyDescent="0.25">
      <c r="A137" s="40"/>
      <c r="B137" s="41">
        <v>6406</v>
      </c>
      <c r="C137" s="40" t="s">
        <v>172</v>
      </c>
      <c r="D137" s="42">
        <v>11377677</v>
      </c>
      <c r="E137" s="42">
        <v>11832789</v>
      </c>
      <c r="F137" s="42">
        <v>12655083</v>
      </c>
      <c r="G137" s="42">
        <v>14870268</v>
      </c>
      <c r="H137" s="42">
        <v>12683954</v>
      </c>
      <c r="I137" s="44">
        <v>9898229.1899999995</v>
      </c>
      <c r="J137" s="44">
        <v>0</v>
      </c>
      <c r="K137" s="44">
        <v>0</v>
      </c>
      <c r="L137" s="44">
        <v>0</v>
      </c>
      <c r="M137" s="123">
        <v>0.78037410022142928</v>
      </c>
      <c r="O137" s="39"/>
      <c r="Q137" s="39"/>
    </row>
    <row r="138" spans="1:17" x14ac:dyDescent="0.25">
      <c r="A138" s="40" t="s">
        <v>173</v>
      </c>
      <c r="B138" s="41">
        <v>6501</v>
      </c>
      <c r="C138" s="40" t="s">
        <v>174</v>
      </c>
      <c r="D138" s="42">
        <v>9192743</v>
      </c>
      <c r="E138" s="42">
        <v>10646954</v>
      </c>
      <c r="F138" s="42">
        <v>14281931</v>
      </c>
      <c r="G138" s="42">
        <v>16308711</v>
      </c>
      <c r="H138" s="42">
        <v>12607585</v>
      </c>
      <c r="I138" s="44">
        <v>7054571.8700000001</v>
      </c>
      <c r="J138" s="44">
        <v>0</v>
      </c>
      <c r="K138" s="44">
        <v>0</v>
      </c>
      <c r="L138" s="44">
        <v>5763509</v>
      </c>
      <c r="M138" s="123">
        <v>0.10240366176393022</v>
      </c>
      <c r="O138" s="39"/>
      <c r="Q138" s="39"/>
    </row>
    <row r="139" spans="1:17" x14ac:dyDescent="0.25">
      <c r="A139" s="40"/>
      <c r="B139" s="41">
        <v>6502</v>
      </c>
      <c r="C139" s="40" t="s">
        <v>175</v>
      </c>
      <c r="D139" s="42">
        <v>13580757</v>
      </c>
      <c r="E139" s="42">
        <v>17405314</v>
      </c>
      <c r="F139" s="42">
        <v>21700302</v>
      </c>
      <c r="G139" s="42">
        <v>32564751</v>
      </c>
      <c r="H139" s="42">
        <v>21312781</v>
      </c>
      <c r="I139" s="44">
        <v>13417297.33</v>
      </c>
      <c r="J139" s="44"/>
      <c r="K139" s="44"/>
      <c r="L139" s="44">
        <v>11056188</v>
      </c>
      <c r="M139" s="123">
        <v>0.11078372784856186</v>
      </c>
      <c r="O139" s="39"/>
      <c r="Q139" s="39"/>
    </row>
    <row r="140" spans="1:17" x14ac:dyDescent="0.25">
      <c r="A140" s="40"/>
      <c r="B140" s="41">
        <v>6503</v>
      </c>
      <c r="C140" s="40" t="s">
        <v>176</v>
      </c>
      <c r="D140" s="42">
        <v>18979251</v>
      </c>
      <c r="E140" s="42">
        <v>22190821</v>
      </c>
      <c r="F140" s="42">
        <v>25950330</v>
      </c>
      <c r="G140" s="42">
        <v>34503892</v>
      </c>
      <c r="H140" s="42">
        <v>25406074</v>
      </c>
      <c r="I140" s="44">
        <v>11995121.699999999</v>
      </c>
      <c r="J140" s="44"/>
      <c r="K140" s="44">
        <v>1614559</v>
      </c>
      <c r="L140" s="44"/>
      <c r="M140" s="123">
        <v>0.40858586415201337</v>
      </c>
      <c r="O140" s="39"/>
      <c r="Q140" s="39"/>
    </row>
    <row r="141" spans="1:17" x14ac:dyDescent="0.25">
      <c r="A141" s="40"/>
      <c r="B141" s="41">
        <v>6504</v>
      </c>
      <c r="C141" s="40" t="s">
        <v>177</v>
      </c>
      <c r="D141" s="42">
        <v>14287995</v>
      </c>
      <c r="E141" s="42">
        <v>16433541</v>
      </c>
      <c r="F141" s="42">
        <v>19952288</v>
      </c>
      <c r="G141" s="42">
        <v>23817585</v>
      </c>
      <c r="H141" s="42">
        <v>18622852</v>
      </c>
      <c r="I141" s="44">
        <v>2300645.9699999997</v>
      </c>
      <c r="J141" s="44"/>
      <c r="K141" s="44">
        <v>375942</v>
      </c>
      <c r="L141" s="44">
        <v>95300</v>
      </c>
      <c r="M141" s="123">
        <v>9.8234361203106788E-2</v>
      </c>
      <c r="O141" s="39"/>
      <c r="Q141" s="39"/>
    </row>
    <row r="142" spans="1:17" x14ac:dyDescent="0.25">
      <c r="A142" s="40"/>
      <c r="B142" s="41">
        <v>6505</v>
      </c>
      <c r="C142" s="40" t="s">
        <v>178</v>
      </c>
      <c r="D142" s="42">
        <v>7285247</v>
      </c>
      <c r="E142" s="42">
        <v>9838452</v>
      </c>
      <c r="F142" s="42">
        <v>13165811</v>
      </c>
      <c r="G142" s="42">
        <v>11773475</v>
      </c>
      <c r="H142" s="42">
        <v>10515746</v>
      </c>
      <c r="I142" s="44">
        <v>7363615.3399999999</v>
      </c>
      <c r="J142" s="44"/>
      <c r="K142" s="44"/>
      <c r="L142" s="44"/>
      <c r="M142" s="123">
        <v>0.70024659591435545</v>
      </c>
      <c r="O142" s="39"/>
      <c r="Q142" s="39"/>
    </row>
    <row r="143" spans="1:17" x14ac:dyDescent="0.25">
      <c r="A143" s="40"/>
      <c r="B143" s="41">
        <v>6506</v>
      </c>
      <c r="C143" s="40" t="s">
        <v>179</v>
      </c>
      <c r="D143" s="42">
        <v>19984278</v>
      </c>
      <c r="E143" s="42">
        <v>29867284</v>
      </c>
      <c r="F143" s="42">
        <v>31309511</v>
      </c>
      <c r="G143" s="42">
        <v>35561338</v>
      </c>
      <c r="H143" s="42">
        <v>29180603</v>
      </c>
      <c r="I143" s="44">
        <v>17912821.449999999</v>
      </c>
      <c r="J143" s="44"/>
      <c r="K143" s="44"/>
      <c r="L143" s="44"/>
      <c r="M143" s="123">
        <v>0.61386056518434517</v>
      </c>
      <c r="O143" s="39"/>
      <c r="Q143" s="39"/>
    </row>
    <row r="144" spans="1:17" x14ac:dyDescent="0.25">
      <c r="A144" s="40"/>
      <c r="B144" s="41">
        <v>6507</v>
      </c>
      <c r="C144" s="40" t="s">
        <v>180</v>
      </c>
      <c r="D144" s="42">
        <v>11554412</v>
      </c>
      <c r="E144" s="42">
        <v>13711217</v>
      </c>
      <c r="F144" s="42">
        <v>15518426</v>
      </c>
      <c r="G144" s="42">
        <v>21221967</v>
      </c>
      <c r="H144" s="42">
        <v>15501506</v>
      </c>
      <c r="I144" s="44">
        <v>8238120.0599999996</v>
      </c>
      <c r="J144" s="44"/>
      <c r="K144" s="44">
        <v>321824</v>
      </c>
      <c r="L144" s="44">
        <v>626390</v>
      </c>
      <c r="M144" s="123">
        <v>0.47027082787956215</v>
      </c>
      <c r="O144" s="39"/>
      <c r="Q144" s="39"/>
    </row>
    <row r="145" spans="1:17" x14ac:dyDescent="0.25">
      <c r="A145" s="40"/>
      <c r="B145" s="41">
        <v>6508</v>
      </c>
      <c r="C145" s="40" t="s">
        <v>173</v>
      </c>
      <c r="D145" s="42">
        <v>130680100</v>
      </c>
      <c r="E145" s="42">
        <v>157902257</v>
      </c>
      <c r="F145" s="42">
        <v>182978925</v>
      </c>
      <c r="G145" s="42">
        <v>212560550</v>
      </c>
      <c r="H145" s="42">
        <v>171030458</v>
      </c>
      <c r="I145" s="44">
        <v>74545989.350000009</v>
      </c>
      <c r="J145" s="44">
        <v>0</v>
      </c>
      <c r="K145" s="44">
        <v>13011661</v>
      </c>
      <c r="L145" s="44">
        <v>1481274</v>
      </c>
      <c r="M145" s="123">
        <v>0.35112491103777554</v>
      </c>
      <c r="O145" s="39"/>
      <c r="Q145" s="39"/>
    </row>
    <row r="146" spans="1:17" x14ac:dyDescent="0.25">
      <c r="A146" s="40"/>
      <c r="B146" s="41">
        <v>6509</v>
      </c>
      <c r="C146" s="40" t="s">
        <v>181</v>
      </c>
      <c r="D146" s="42">
        <v>10026035</v>
      </c>
      <c r="E146" s="42">
        <v>12275579</v>
      </c>
      <c r="F146" s="42">
        <v>13957958</v>
      </c>
      <c r="G146" s="42">
        <v>17266225</v>
      </c>
      <c r="H146" s="42">
        <v>13381449</v>
      </c>
      <c r="I146" s="44">
        <v>5519242</v>
      </c>
      <c r="J146" s="44"/>
      <c r="K146" s="44"/>
      <c r="L146" s="44">
        <v>4621498</v>
      </c>
      <c r="M146" s="123">
        <v>6.7088698690253953E-2</v>
      </c>
      <c r="O146" s="39"/>
      <c r="Q146" s="39"/>
    </row>
    <row r="147" spans="1:17" x14ac:dyDescent="0.25">
      <c r="A147" s="40"/>
      <c r="B147" s="41">
        <v>6510</v>
      </c>
      <c r="C147" s="40" t="s">
        <v>182</v>
      </c>
      <c r="D147" s="42">
        <v>29464073</v>
      </c>
      <c r="E147" s="42">
        <v>35226817</v>
      </c>
      <c r="F147" s="42">
        <v>44738769</v>
      </c>
      <c r="G147" s="42">
        <v>44561531</v>
      </c>
      <c r="H147" s="42">
        <v>38497798</v>
      </c>
      <c r="I147" s="44">
        <v>31799105.289999999</v>
      </c>
      <c r="J147" s="44"/>
      <c r="K147" s="44">
        <v>2002314</v>
      </c>
      <c r="L147" s="44">
        <v>80915.199999999997</v>
      </c>
      <c r="M147" s="123">
        <v>0.77188508521967936</v>
      </c>
      <c r="O147" s="39"/>
      <c r="Q147" s="39"/>
    </row>
    <row r="148" spans="1:17" x14ac:dyDescent="0.25">
      <c r="A148" s="40"/>
      <c r="B148" s="41">
        <v>6511</v>
      </c>
      <c r="C148" s="40" t="s">
        <v>183</v>
      </c>
      <c r="D148" s="42">
        <v>19585760</v>
      </c>
      <c r="E148" s="42">
        <v>21825810</v>
      </c>
      <c r="F148" s="42">
        <v>26017054</v>
      </c>
      <c r="G148" s="42">
        <v>36997397</v>
      </c>
      <c r="H148" s="42">
        <v>26106505</v>
      </c>
      <c r="I148" s="44">
        <v>8540021.6699999999</v>
      </c>
      <c r="J148" s="44">
        <v>0</v>
      </c>
      <c r="K148" s="44">
        <v>1571636</v>
      </c>
      <c r="L148" s="44">
        <v>653381</v>
      </c>
      <c r="M148" s="123">
        <v>0.24189391379658057</v>
      </c>
      <c r="O148" s="39"/>
      <c r="Q148" s="39"/>
    </row>
    <row r="149" spans="1:17" x14ac:dyDescent="0.25">
      <c r="A149" s="40" t="s">
        <v>184</v>
      </c>
      <c r="B149" s="41">
        <v>6601</v>
      </c>
      <c r="C149" s="40" t="s">
        <v>185</v>
      </c>
      <c r="D149" s="42">
        <v>56185557</v>
      </c>
      <c r="E149" s="42">
        <v>66161003</v>
      </c>
      <c r="F149" s="42">
        <v>81240943</v>
      </c>
      <c r="G149" s="42">
        <v>95107593</v>
      </c>
      <c r="H149" s="42">
        <v>74673774</v>
      </c>
      <c r="I149" s="44">
        <v>60745007.890000001</v>
      </c>
      <c r="J149" s="44"/>
      <c r="K149" s="44">
        <v>1942230</v>
      </c>
      <c r="L149" s="44">
        <v>30905560</v>
      </c>
      <c r="M149" s="123">
        <v>0.37358789298636497</v>
      </c>
      <c r="O149" s="39"/>
      <c r="Q149" s="39"/>
    </row>
    <row r="150" spans="1:17" x14ac:dyDescent="0.25">
      <c r="A150" s="40"/>
      <c r="B150" s="41">
        <v>6602</v>
      </c>
      <c r="C150" s="40" t="s">
        <v>186</v>
      </c>
      <c r="D150" s="42">
        <v>11298555</v>
      </c>
      <c r="E150" s="42">
        <v>11154169</v>
      </c>
      <c r="F150" s="42">
        <v>13757834</v>
      </c>
      <c r="G150" s="42">
        <v>17927634</v>
      </c>
      <c r="H150" s="42">
        <v>13534548</v>
      </c>
      <c r="I150" s="44">
        <v>8444153.4100000001</v>
      </c>
      <c r="J150" s="44"/>
      <c r="K150" s="44"/>
      <c r="L150" s="44"/>
      <c r="M150" s="123">
        <v>0.6238962254225261</v>
      </c>
      <c r="O150" s="39"/>
      <c r="Q150" s="39"/>
    </row>
    <row r="151" spans="1:17" x14ac:dyDescent="0.25">
      <c r="A151" s="40"/>
      <c r="B151" s="41">
        <v>6603</v>
      </c>
      <c r="C151" s="40" t="s">
        <v>187</v>
      </c>
      <c r="D151" s="42">
        <v>12147898</v>
      </c>
      <c r="E151" s="42">
        <v>13766697</v>
      </c>
      <c r="F151" s="42">
        <v>16607072</v>
      </c>
      <c r="G151" s="42">
        <v>21560796</v>
      </c>
      <c r="H151" s="42">
        <v>16020616</v>
      </c>
      <c r="I151" s="44">
        <v>5104140.8699999992</v>
      </c>
      <c r="J151" s="44"/>
      <c r="K151" s="44">
        <v>137055</v>
      </c>
      <c r="L151" s="44">
        <v>1400413</v>
      </c>
      <c r="M151" s="123">
        <v>0.22263019536826795</v>
      </c>
      <c r="O151" s="39"/>
      <c r="Q151" s="39"/>
    </row>
    <row r="152" spans="1:17" x14ac:dyDescent="0.25">
      <c r="A152" s="40"/>
      <c r="B152" s="41">
        <v>6604</v>
      </c>
      <c r="C152" s="40" t="s">
        <v>188</v>
      </c>
      <c r="D152" s="42">
        <v>50841641</v>
      </c>
      <c r="E152" s="42">
        <v>67797940</v>
      </c>
      <c r="F152" s="42">
        <v>101345655</v>
      </c>
      <c r="G152" s="42">
        <v>97639702</v>
      </c>
      <c r="H152" s="42">
        <v>79406235</v>
      </c>
      <c r="I152" s="44">
        <v>116599056.17</v>
      </c>
      <c r="J152" s="44">
        <v>0</v>
      </c>
      <c r="K152" s="44">
        <v>24632779</v>
      </c>
      <c r="L152" s="44">
        <v>22138173</v>
      </c>
      <c r="M152" s="123">
        <v>0.87937810135438355</v>
      </c>
      <c r="O152" s="39"/>
      <c r="Q152" s="39"/>
    </row>
    <row r="153" spans="1:17" x14ac:dyDescent="0.25">
      <c r="A153" s="40"/>
      <c r="B153" s="41">
        <v>6605</v>
      </c>
      <c r="C153" s="40" t="s">
        <v>189</v>
      </c>
      <c r="D153" s="42">
        <v>8133001</v>
      </c>
      <c r="E153" s="42">
        <v>9919515</v>
      </c>
      <c r="F153" s="42">
        <v>11572552</v>
      </c>
      <c r="G153" s="42">
        <v>11689567</v>
      </c>
      <c r="H153" s="42">
        <v>10328659</v>
      </c>
      <c r="I153" s="44">
        <v>10834050.530000001</v>
      </c>
      <c r="J153" s="44"/>
      <c r="K153" s="44"/>
      <c r="L153" s="44">
        <v>7676678.7400000002</v>
      </c>
      <c r="M153" s="123">
        <v>0.30569038923639563</v>
      </c>
      <c r="O153" s="39"/>
      <c r="Q153" s="39"/>
    </row>
    <row r="154" spans="1:17" x14ac:dyDescent="0.25">
      <c r="A154" s="40"/>
      <c r="B154" s="41">
        <v>6606</v>
      </c>
      <c r="C154" s="40" t="s">
        <v>190</v>
      </c>
      <c r="D154" s="42">
        <v>6261045</v>
      </c>
      <c r="E154" s="42">
        <v>5582239</v>
      </c>
      <c r="F154" s="42">
        <v>9247164</v>
      </c>
      <c r="G154" s="42">
        <v>13397727</v>
      </c>
      <c r="H154" s="42">
        <v>8622044</v>
      </c>
      <c r="I154" s="44">
        <v>9335820.3099999987</v>
      </c>
      <c r="J154" s="44"/>
      <c r="K154" s="44"/>
      <c r="L154" s="44"/>
      <c r="M154" s="123">
        <v>1.0827850460981177</v>
      </c>
      <c r="O154" s="39"/>
      <c r="Q154" s="39"/>
    </row>
    <row r="155" spans="1:17" x14ac:dyDescent="0.25">
      <c r="A155" s="40"/>
      <c r="B155" s="41">
        <v>6607</v>
      </c>
      <c r="C155" s="40" t="s">
        <v>191</v>
      </c>
      <c r="D155" s="42">
        <v>35183078</v>
      </c>
      <c r="E155" s="42">
        <v>45424715</v>
      </c>
      <c r="F155" s="42">
        <v>54516746</v>
      </c>
      <c r="G155" s="42">
        <v>60389632</v>
      </c>
      <c r="H155" s="42">
        <v>48878543</v>
      </c>
      <c r="I155" s="44">
        <v>44691354.229999997</v>
      </c>
      <c r="J155" s="44">
        <v>2134681</v>
      </c>
      <c r="K155" s="44">
        <v>3906087</v>
      </c>
      <c r="L155" s="44">
        <v>926851</v>
      </c>
      <c r="M155" s="123">
        <v>0.77178518250840655</v>
      </c>
      <c r="O155" s="39"/>
      <c r="Q155" s="39"/>
    </row>
    <row r="156" spans="1:17" x14ac:dyDescent="0.25">
      <c r="A156" s="40"/>
      <c r="B156" s="41">
        <v>6608</v>
      </c>
      <c r="C156" s="40" t="s">
        <v>192</v>
      </c>
      <c r="D156" s="42">
        <v>6759681</v>
      </c>
      <c r="E156" s="42">
        <v>8541669</v>
      </c>
      <c r="F156" s="42">
        <v>13158957</v>
      </c>
      <c r="G156" s="42">
        <v>13343018</v>
      </c>
      <c r="H156" s="42">
        <v>10450831</v>
      </c>
      <c r="I156" s="44">
        <v>15699009.129999999</v>
      </c>
      <c r="J156" s="44">
        <v>0</v>
      </c>
      <c r="K156" s="44">
        <v>386692.77</v>
      </c>
      <c r="L156" s="44">
        <v>12692305.539999999</v>
      </c>
      <c r="M156" s="123">
        <v>0.2506988028033369</v>
      </c>
      <c r="O156" s="39"/>
      <c r="Q156" s="39"/>
    </row>
    <row r="157" spans="1:17" x14ac:dyDescent="0.25">
      <c r="A157" s="40"/>
      <c r="B157" s="41">
        <v>6609</v>
      </c>
      <c r="C157" s="40" t="s">
        <v>184</v>
      </c>
      <c r="D157" s="42">
        <v>388147259</v>
      </c>
      <c r="E157" s="42">
        <v>480278256</v>
      </c>
      <c r="F157" s="42">
        <v>590874689</v>
      </c>
      <c r="G157" s="42">
        <v>674653848</v>
      </c>
      <c r="H157" s="42">
        <v>533488513</v>
      </c>
      <c r="I157" s="44">
        <v>392619071.20000005</v>
      </c>
      <c r="J157" s="44"/>
      <c r="K157" s="44">
        <v>164218696</v>
      </c>
      <c r="L157" s="44">
        <v>56992831</v>
      </c>
      <c r="M157" s="123">
        <v>0.3212956605871663</v>
      </c>
      <c r="O157" s="39"/>
      <c r="Q157" s="39"/>
    </row>
    <row r="158" spans="1:17" x14ac:dyDescent="0.25">
      <c r="A158" s="40"/>
      <c r="B158" s="41">
        <v>6610</v>
      </c>
      <c r="C158" s="40" t="s">
        <v>193</v>
      </c>
      <c r="D158" s="42">
        <v>29971857</v>
      </c>
      <c r="E158" s="42">
        <v>35412530</v>
      </c>
      <c r="F158" s="42">
        <v>42766349</v>
      </c>
      <c r="G158" s="42">
        <v>42907156</v>
      </c>
      <c r="H158" s="42">
        <v>37764473</v>
      </c>
      <c r="I158" s="44">
        <v>24208269.100000001</v>
      </c>
      <c r="J158" s="44"/>
      <c r="K158" s="44"/>
      <c r="L158" s="44">
        <v>5933955.3300000001</v>
      </c>
      <c r="M158" s="123">
        <v>0.48390225834741568</v>
      </c>
      <c r="O158" s="39"/>
      <c r="Q158" s="39"/>
    </row>
    <row r="159" spans="1:17" x14ac:dyDescent="0.25">
      <c r="A159" s="40"/>
      <c r="B159" s="41">
        <v>6611</v>
      </c>
      <c r="C159" s="40" t="s">
        <v>194</v>
      </c>
      <c r="D159" s="42">
        <v>30631443</v>
      </c>
      <c r="E159" s="42">
        <v>35669516</v>
      </c>
      <c r="F159" s="42">
        <v>51223674</v>
      </c>
      <c r="G159" s="42">
        <v>57288245</v>
      </c>
      <c r="H159" s="42">
        <v>43703220</v>
      </c>
      <c r="I159" s="44">
        <v>27432460.630000003</v>
      </c>
      <c r="J159" s="44"/>
      <c r="K159" s="44">
        <v>2056235</v>
      </c>
      <c r="L159" s="44">
        <v>12484472</v>
      </c>
      <c r="M159" s="123">
        <v>0.29498406822197548</v>
      </c>
      <c r="O159" s="39"/>
      <c r="Q159" s="39"/>
    </row>
    <row r="160" spans="1:17" x14ac:dyDescent="0.25">
      <c r="A160" s="40"/>
      <c r="B160" s="41">
        <v>6612</v>
      </c>
      <c r="C160" s="40" t="s">
        <v>195</v>
      </c>
      <c r="D160" s="42">
        <v>29927255</v>
      </c>
      <c r="E160" s="42">
        <v>41263583</v>
      </c>
      <c r="F160" s="42">
        <v>50955762</v>
      </c>
      <c r="G160" s="42">
        <v>52037435</v>
      </c>
      <c r="H160" s="42">
        <v>43546009</v>
      </c>
      <c r="I160" s="44">
        <v>24049874.949999999</v>
      </c>
      <c r="J160" s="44">
        <v>0</v>
      </c>
      <c r="K160" s="44">
        <v>837293</v>
      </c>
      <c r="L160" s="44">
        <v>6207025.7599999998</v>
      </c>
      <c r="M160" s="123">
        <v>0.39051928249038842</v>
      </c>
      <c r="O160" s="39"/>
      <c r="Q160" s="39"/>
    </row>
    <row r="161" spans="1:17" x14ac:dyDescent="0.25">
      <c r="A161" s="40"/>
      <c r="B161" s="41">
        <v>6613</v>
      </c>
      <c r="C161" s="40" t="s">
        <v>196</v>
      </c>
      <c r="D161" s="42">
        <v>17072738</v>
      </c>
      <c r="E161" s="42">
        <v>20818161</v>
      </c>
      <c r="F161" s="42">
        <v>26513053</v>
      </c>
      <c r="G161" s="42">
        <v>31230221</v>
      </c>
      <c r="H161" s="42">
        <v>23908543</v>
      </c>
      <c r="I161" s="44">
        <v>8364975.7699999996</v>
      </c>
      <c r="J161" s="44"/>
      <c r="K161" s="44"/>
      <c r="L161" s="44">
        <v>3669671</v>
      </c>
      <c r="M161" s="123">
        <v>0.1963860687788461</v>
      </c>
      <c r="O161" s="39"/>
      <c r="Q161" s="39"/>
    </row>
    <row r="162" spans="1:17" x14ac:dyDescent="0.25">
      <c r="A162" s="40"/>
      <c r="B162" s="41">
        <v>6614</v>
      </c>
      <c r="C162" s="40" t="s">
        <v>197</v>
      </c>
      <c r="D162" s="42">
        <v>21895573</v>
      </c>
      <c r="E162" s="42">
        <v>25516738</v>
      </c>
      <c r="F162" s="42">
        <v>34084399</v>
      </c>
      <c r="G162" s="42">
        <v>30727628</v>
      </c>
      <c r="H162" s="42">
        <v>28056085</v>
      </c>
      <c r="I162" s="44">
        <v>9716857.7999999989</v>
      </c>
      <c r="J162" s="44"/>
      <c r="K162" s="44"/>
      <c r="L162" s="44">
        <v>4214480</v>
      </c>
      <c r="M162" s="123">
        <v>0.19612065617850813</v>
      </c>
      <c r="O162" s="39"/>
      <c r="Q162" s="39"/>
    </row>
    <row r="163" spans="1:17" x14ac:dyDescent="0.25">
      <c r="A163" s="40"/>
      <c r="B163" s="41">
        <v>6615</v>
      </c>
      <c r="C163" s="40" t="s">
        <v>198</v>
      </c>
      <c r="D163" s="42">
        <v>8861021</v>
      </c>
      <c r="E163" s="42">
        <v>11506031</v>
      </c>
      <c r="F163" s="42">
        <v>16530497</v>
      </c>
      <c r="G163" s="42">
        <v>21498038</v>
      </c>
      <c r="H163" s="42">
        <v>14598897</v>
      </c>
      <c r="I163" s="44">
        <v>10847884.34</v>
      </c>
      <c r="J163" s="44">
        <v>0</v>
      </c>
      <c r="K163" s="44">
        <v>211052.7</v>
      </c>
      <c r="L163" s="44">
        <v>8300593.4699999997</v>
      </c>
      <c r="M163" s="123">
        <v>0.16002840283070707</v>
      </c>
      <c r="O163" s="39"/>
      <c r="Q163" s="39"/>
    </row>
    <row r="164" spans="1:17" x14ac:dyDescent="0.25">
      <c r="A164" s="40"/>
      <c r="B164" s="41">
        <v>6616</v>
      </c>
      <c r="C164" s="40" t="s">
        <v>199</v>
      </c>
      <c r="D164" s="42">
        <v>13847683</v>
      </c>
      <c r="E164" s="42">
        <v>19781184</v>
      </c>
      <c r="F164" s="42">
        <v>25092555</v>
      </c>
      <c r="G164" s="42">
        <v>26192391</v>
      </c>
      <c r="H164" s="42">
        <v>21228453</v>
      </c>
      <c r="I164" s="44">
        <v>12392464.940000001</v>
      </c>
      <c r="J164" s="44"/>
      <c r="K164" s="44">
        <v>349507</v>
      </c>
      <c r="L164" s="44">
        <v>6729782</v>
      </c>
      <c r="M164" s="123">
        <v>0.25028559264304379</v>
      </c>
      <c r="O164" s="39"/>
      <c r="Q164" s="39"/>
    </row>
    <row r="165" spans="1:17" x14ac:dyDescent="0.25">
      <c r="A165" s="40"/>
      <c r="B165" s="41">
        <v>6617</v>
      </c>
      <c r="C165" s="40" t="s">
        <v>200</v>
      </c>
      <c r="D165" s="42">
        <v>7708785</v>
      </c>
      <c r="E165" s="42">
        <v>9795851</v>
      </c>
      <c r="F165" s="42">
        <v>13076029</v>
      </c>
      <c r="G165" s="42">
        <v>12533051</v>
      </c>
      <c r="H165" s="42">
        <v>10778429</v>
      </c>
      <c r="I165" s="44">
        <v>5716450.3200000022</v>
      </c>
      <c r="J165" s="44"/>
      <c r="K165" s="44"/>
      <c r="L165" s="44">
        <v>2084736</v>
      </c>
      <c r="M165" s="123">
        <v>0.33694282534124426</v>
      </c>
      <c r="O165" s="39"/>
      <c r="Q165" s="39"/>
    </row>
    <row r="166" spans="1:17" x14ac:dyDescent="0.25">
      <c r="A166" s="40"/>
      <c r="B166" s="41">
        <v>6618</v>
      </c>
      <c r="C166" s="40" t="s">
        <v>201</v>
      </c>
      <c r="D166" s="42">
        <v>10575133</v>
      </c>
      <c r="E166" s="42">
        <v>12587603</v>
      </c>
      <c r="F166" s="42">
        <v>15661596</v>
      </c>
      <c r="G166" s="42">
        <v>15132243</v>
      </c>
      <c r="H166" s="42">
        <v>13489144</v>
      </c>
      <c r="I166" s="44">
        <v>5084246.22</v>
      </c>
      <c r="J166" s="44">
        <v>0</v>
      </c>
      <c r="K166" s="44">
        <v>222284.37</v>
      </c>
      <c r="L166" s="44">
        <v>0</v>
      </c>
      <c r="M166" s="123">
        <v>0.36043516549308091</v>
      </c>
      <c r="O166" s="39"/>
      <c r="Q166" s="39"/>
    </row>
    <row r="167" spans="1:17" x14ac:dyDescent="0.25">
      <c r="A167" s="40" t="s">
        <v>202</v>
      </c>
      <c r="B167" s="41">
        <v>6701</v>
      </c>
      <c r="C167" s="40" t="s">
        <v>203</v>
      </c>
      <c r="D167" s="42">
        <v>8867233</v>
      </c>
      <c r="E167" s="42">
        <v>11178274</v>
      </c>
      <c r="F167" s="42">
        <v>14172900</v>
      </c>
      <c r="G167" s="42">
        <v>15387425</v>
      </c>
      <c r="H167" s="42">
        <v>12401458</v>
      </c>
      <c r="I167" s="44">
        <v>3959901.53</v>
      </c>
      <c r="J167" s="44"/>
      <c r="K167" s="44"/>
      <c r="L167" s="44"/>
      <c r="M167" s="123">
        <v>0.31930935298091562</v>
      </c>
      <c r="O167" s="39"/>
      <c r="Q167" s="39"/>
    </row>
    <row r="168" spans="1:17" x14ac:dyDescent="0.25">
      <c r="A168" s="40"/>
      <c r="B168" s="41">
        <v>6702</v>
      </c>
      <c r="C168" s="40" t="s">
        <v>204</v>
      </c>
      <c r="D168" s="42">
        <v>25818116</v>
      </c>
      <c r="E168" s="42">
        <v>31360835</v>
      </c>
      <c r="F168" s="42">
        <v>38994917</v>
      </c>
      <c r="G168" s="42">
        <v>46906615</v>
      </c>
      <c r="H168" s="42">
        <v>35770121</v>
      </c>
      <c r="I168" s="44">
        <v>6945744.6399999987</v>
      </c>
      <c r="J168" s="44">
        <v>0</v>
      </c>
      <c r="K168" s="44">
        <v>0</v>
      </c>
      <c r="L168" s="44">
        <v>4687763</v>
      </c>
      <c r="M168" s="123">
        <v>6.3124797369290386E-2</v>
      </c>
      <c r="O168" s="39"/>
      <c r="Q168" s="39"/>
    </row>
    <row r="169" spans="1:17" x14ac:dyDescent="0.25">
      <c r="A169" s="40"/>
      <c r="B169" s="41">
        <v>6703</v>
      </c>
      <c r="C169" s="40" t="s">
        <v>205</v>
      </c>
      <c r="D169" s="42">
        <v>20154379</v>
      </c>
      <c r="E169" s="42">
        <v>24196552</v>
      </c>
      <c r="F169" s="42">
        <v>26930609</v>
      </c>
      <c r="G169" s="42">
        <v>29629937</v>
      </c>
      <c r="H169" s="42">
        <v>25227869</v>
      </c>
      <c r="I169" s="44">
        <v>7080117.1200000001</v>
      </c>
      <c r="J169" s="44"/>
      <c r="K169" s="44">
        <v>198192</v>
      </c>
      <c r="L169" s="44"/>
      <c r="M169" s="123">
        <v>0.27279058409570783</v>
      </c>
      <c r="O169" s="39"/>
      <c r="Q169" s="39"/>
    </row>
    <row r="170" spans="1:17" x14ac:dyDescent="0.25">
      <c r="A170" s="40"/>
      <c r="B170" s="41">
        <v>6704</v>
      </c>
      <c r="C170" s="40" t="s">
        <v>206</v>
      </c>
      <c r="D170" s="42">
        <v>12699964</v>
      </c>
      <c r="E170" s="42">
        <v>13350572</v>
      </c>
      <c r="F170" s="42">
        <v>14408831</v>
      </c>
      <c r="G170" s="42">
        <v>17802124</v>
      </c>
      <c r="H170" s="42">
        <v>14565373</v>
      </c>
      <c r="I170" s="44">
        <v>1935833.4300000002</v>
      </c>
      <c r="J170" s="44"/>
      <c r="K170" s="44"/>
      <c r="L170" s="44"/>
      <c r="M170" s="123">
        <v>0.13290654691781667</v>
      </c>
      <c r="O170" s="39"/>
      <c r="Q170" s="39"/>
    </row>
    <row r="171" spans="1:17" x14ac:dyDescent="0.25">
      <c r="A171" s="40"/>
      <c r="B171" s="41">
        <v>6705</v>
      </c>
      <c r="C171" s="40" t="s">
        <v>202</v>
      </c>
      <c r="D171" s="42">
        <v>64065956</v>
      </c>
      <c r="E171" s="42">
        <v>73327767</v>
      </c>
      <c r="F171" s="42">
        <v>89377782</v>
      </c>
      <c r="G171" s="42">
        <v>104013329</v>
      </c>
      <c r="H171" s="42">
        <v>82696209</v>
      </c>
      <c r="I171" s="44">
        <v>9338821.4800000004</v>
      </c>
      <c r="J171" s="44">
        <v>0</v>
      </c>
      <c r="K171" s="44">
        <v>3500176.96</v>
      </c>
      <c r="L171" s="44">
        <v>0</v>
      </c>
      <c r="M171" s="123">
        <v>7.0603532986620948E-2</v>
      </c>
      <c r="O171" s="39"/>
      <c r="Q171" s="39"/>
    </row>
    <row r="172" spans="1:17" x14ac:dyDescent="0.25">
      <c r="A172" s="40"/>
      <c r="B172" s="41">
        <v>6706</v>
      </c>
      <c r="C172" s="40" t="s">
        <v>207</v>
      </c>
      <c r="D172" s="42">
        <v>11051127</v>
      </c>
      <c r="E172" s="42">
        <v>13290198</v>
      </c>
      <c r="F172" s="42">
        <v>15020980</v>
      </c>
      <c r="G172" s="42">
        <v>17772644</v>
      </c>
      <c r="H172" s="42">
        <v>14283737</v>
      </c>
      <c r="I172" s="44">
        <v>7307451</v>
      </c>
      <c r="J172" s="44">
        <v>3321626.55</v>
      </c>
      <c r="K172" s="44">
        <v>276932.40000000002</v>
      </c>
      <c r="L172" s="44"/>
      <c r="M172" s="123">
        <v>0.25965838281676568</v>
      </c>
      <c r="O172" s="39"/>
      <c r="Q172" s="39"/>
    </row>
    <row r="173" spans="1:17" x14ac:dyDescent="0.25">
      <c r="A173" s="40"/>
      <c r="B173" s="41">
        <v>6707</v>
      </c>
      <c r="C173" s="40" t="s">
        <v>208</v>
      </c>
      <c r="D173" s="42">
        <v>5567174</v>
      </c>
      <c r="E173" s="42">
        <v>7170093</v>
      </c>
      <c r="F173" s="42">
        <v>10451396</v>
      </c>
      <c r="G173" s="42">
        <v>12910180</v>
      </c>
      <c r="H173" s="42">
        <v>9024711</v>
      </c>
      <c r="I173" s="44">
        <v>2016889.9799999995</v>
      </c>
      <c r="J173" s="44"/>
      <c r="K173" s="44"/>
      <c r="L173" s="44"/>
      <c r="M173" s="123">
        <v>0.22348527060866541</v>
      </c>
      <c r="O173" s="39"/>
      <c r="Q173" s="39"/>
    </row>
    <row r="174" spans="1:17" x14ac:dyDescent="0.25">
      <c r="A174" s="40" t="s">
        <v>209</v>
      </c>
      <c r="B174" s="41">
        <v>6801</v>
      </c>
      <c r="C174" s="40" t="s">
        <v>210</v>
      </c>
      <c r="D174" s="42">
        <v>6354901</v>
      </c>
      <c r="E174" s="42">
        <v>7042087</v>
      </c>
      <c r="F174" s="42">
        <v>13132172</v>
      </c>
      <c r="G174" s="42">
        <v>10352267</v>
      </c>
      <c r="H174" s="42">
        <v>9220357</v>
      </c>
      <c r="I174" s="44">
        <v>12098502.32</v>
      </c>
      <c r="J174" s="44">
        <v>4500</v>
      </c>
      <c r="K174" s="44"/>
      <c r="L174" s="44">
        <v>9929758</v>
      </c>
      <c r="M174" s="123">
        <v>0.23472456869077848</v>
      </c>
      <c r="O174" s="39"/>
      <c r="Q174" s="39"/>
    </row>
    <row r="175" spans="1:17" x14ac:dyDescent="0.25">
      <c r="A175" s="40"/>
      <c r="B175" s="41">
        <v>6802</v>
      </c>
      <c r="C175" s="40" t="s">
        <v>69</v>
      </c>
      <c r="D175" s="42">
        <v>14209491</v>
      </c>
      <c r="E175" s="42">
        <v>17655529</v>
      </c>
      <c r="F175" s="42">
        <v>18142873</v>
      </c>
      <c r="G175" s="42">
        <v>32593869</v>
      </c>
      <c r="H175" s="42">
        <v>20650441</v>
      </c>
      <c r="I175" s="44">
        <v>14232077.010000002</v>
      </c>
      <c r="J175" s="44"/>
      <c r="K175" s="44"/>
      <c r="L175" s="44"/>
      <c r="M175" s="123">
        <v>0.68918997952634531</v>
      </c>
      <c r="O175" s="39"/>
      <c r="Q175" s="39"/>
    </row>
    <row r="176" spans="1:17" x14ac:dyDescent="0.25">
      <c r="A176" s="40"/>
      <c r="B176" s="41">
        <v>6803</v>
      </c>
      <c r="C176" s="40" t="s">
        <v>211</v>
      </c>
      <c r="D176" s="42">
        <v>14474055</v>
      </c>
      <c r="E176" s="42">
        <v>15858790</v>
      </c>
      <c r="F176" s="42">
        <v>25666589</v>
      </c>
      <c r="G176" s="42">
        <v>31617723</v>
      </c>
      <c r="H176" s="42">
        <v>21904289</v>
      </c>
      <c r="I176" s="44">
        <v>10245179.159999998</v>
      </c>
      <c r="J176" s="44"/>
      <c r="K176" s="44">
        <v>1888055</v>
      </c>
      <c r="L176" s="44">
        <v>2651336</v>
      </c>
      <c r="M176" s="123">
        <v>0.26048725708467407</v>
      </c>
      <c r="O176" s="39"/>
      <c r="Q176" s="39"/>
    </row>
    <row r="177" spans="1:17" x14ac:dyDescent="0.25">
      <c r="A177" s="40"/>
      <c r="B177" s="41">
        <v>6804</v>
      </c>
      <c r="C177" s="40" t="s">
        <v>212</v>
      </c>
      <c r="D177" s="42">
        <v>10740814</v>
      </c>
      <c r="E177" s="42">
        <v>12387010</v>
      </c>
      <c r="F177" s="42">
        <v>17374795</v>
      </c>
      <c r="G177" s="42">
        <v>16200412</v>
      </c>
      <c r="H177" s="42">
        <v>14175758</v>
      </c>
      <c r="I177" s="44">
        <v>8583322.5</v>
      </c>
      <c r="J177" s="44">
        <v>0</v>
      </c>
      <c r="K177" s="44">
        <v>0</v>
      </c>
      <c r="L177" s="44">
        <v>0</v>
      </c>
      <c r="M177" s="123">
        <v>0.60549301843330006</v>
      </c>
      <c r="O177" s="39"/>
      <c r="Q177" s="39"/>
    </row>
    <row r="178" spans="1:17" x14ac:dyDescent="0.25">
      <c r="A178" s="40"/>
      <c r="B178" s="41">
        <v>6805</v>
      </c>
      <c r="C178" s="40" t="s">
        <v>213</v>
      </c>
      <c r="D178" s="42">
        <v>9599747</v>
      </c>
      <c r="E178" s="42">
        <v>12184564</v>
      </c>
      <c r="F178" s="42">
        <v>13570261</v>
      </c>
      <c r="G178" s="42">
        <v>24679672</v>
      </c>
      <c r="H178" s="42">
        <v>15008561</v>
      </c>
      <c r="I178" s="44">
        <v>10026499.210000001</v>
      </c>
      <c r="J178" s="44"/>
      <c r="K178" s="44">
        <v>362681</v>
      </c>
      <c r="L178" s="44">
        <v>3368115</v>
      </c>
      <c r="M178" s="123">
        <v>0.41947413945947254</v>
      </c>
      <c r="O178" s="39"/>
      <c r="Q178" s="39"/>
    </row>
    <row r="179" spans="1:17" x14ac:dyDescent="0.25">
      <c r="A179" s="40"/>
      <c r="B179" s="41">
        <v>6806</v>
      </c>
      <c r="C179" s="40" t="s">
        <v>209</v>
      </c>
      <c r="D179" s="42">
        <v>145654689</v>
      </c>
      <c r="E179" s="42">
        <v>172345469</v>
      </c>
      <c r="F179" s="42">
        <v>211080186</v>
      </c>
      <c r="G179" s="42">
        <v>256055113</v>
      </c>
      <c r="H179" s="42">
        <v>196283864</v>
      </c>
      <c r="I179" s="44">
        <v>99458777.420000002</v>
      </c>
      <c r="J179" s="44">
        <v>182801</v>
      </c>
      <c r="K179" s="44">
        <v>63666588</v>
      </c>
      <c r="L179" s="44">
        <v>2872569</v>
      </c>
      <c r="M179" s="123">
        <v>0.1667830393842257</v>
      </c>
      <c r="O179" s="39"/>
      <c r="Q179" s="39"/>
    </row>
    <row r="180" spans="1:17" x14ac:dyDescent="0.25">
      <c r="A180" s="40"/>
      <c r="B180" s="41">
        <v>6807</v>
      </c>
      <c r="C180" s="40" t="s">
        <v>214</v>
      </c>
      <c r="D180" s="42">
        <v>11645866</v>
      </c>
      <c r="E180" s="42">
        <v>13585312</v>
      </c>
      <c r="F180" s="42">
        <v>15102897</v>
      </c>
      <c r="G180" s="42">
        <v>18709200</v>
      </c>
      <c r="H180" s="42">
        <v>14760819</v>
      </c>
      <c r="I180" s="44">
        <v>10587256.530000001</v>
      </c>
      <c r="J180" s="44"/>
      <c r="K180" s="44">
        <v>1358623</v>
      </c>
      <c r="L180" s="44">
        <v>2114411</v>
      </c>
      <c r="M180" s="123">
        <v>0.48196665306986025</v>
      </c>
      <c r="O180" s="39"/>
      <c r="Q180" s="39"/>
    </row>
    <row r="181" spans="1:17" x14ac:dyDescent="0.25">
      <c r="A181" s="40"/>
      <c r="B181" s="41">
        <v>6808</v>
      </c>
      <c r="C181" s="40" t="s">
        <v>215</v>
      </c>
      <c r="D181" s="42">
        <v>6949325</v>
      </c>
      <c r="E181" s="42">
        <v>8596788</v>
      </c>
      <c r="F181" s="42">
        <v>14552225</v>
      </c>
      <c r="G181" s="42">
        <v>14198074</v>
      </c>
      <c r="H181" s="42">
        <v>11074103</v>
      </c>
      <c r="I181" s="44">
        <v>5203001.28</v>
      </c>
      <c r="J181" s="44"/>
      <c r="K181" s="44"/>
      <c r="L181" s="44"/>
      <c r="M181" s="123">
        <v>0.46983500875872297</v>
      </c>
      <c r="O181" s="39"/>
      <c r="Q181" s="39"/>
    </row>
    <row r="182" spans="1:17" x14ac:dyDescent="0.25">
      <c r="A182" s="40" t="s">
        <v>216</v>
      </c>
      <c r="B182" s="41">
        <v>6901</v>
      </c>
      <c r="C182" s="40" t="s">
        <v>217</v>
      </c>
      <c r="D182" s="42">
        <v>5081859</v>
      </c>
      <c r="E182" s="42">
        <v>6468606</v>
      </c>
      <c r="F182" s="42">
        <v>9753762</v>
      </c>
      <c r="G182" s="42">
        <v>9935183</v>
      </c>
      <c r="H182" s="42">
        <v>7809853</v>
      </c>
      <c r="I182" s="44">
        <v>1543791.1</v>
      </c>
      <c r="J182" s="44"/>
      <c r="K182" s="44"/>
      <c r="L182" s="44"/>
      <c r="M182" s="123">
        <v>0.19767223531608086</v>
      </c>
      <c r="O182" s="39"/>
      <c r="Q182" s="39"/>
    </row>
    <row r="183" spans="1:17" x14ac:dyDescent="0.25">
      <c r="A183" s="40"/>
      <c r="B183" s="41">
        <v>6902</v>
      </c>
      <c r="C183" s="40" t="s">
        <v>218</v>
      </c>
      <c r="D183" s="42">
        <v>14511266</v>
      </c>
      <c r="E183" s="42">
        <v>16908048</v>
      </c>
      <c r="F183" s="42">
        <v>23924222</v>
      </c>
      <c r="G183" s="42">
        <v>22192189</v>
      </c>
      <c r="H183" s="42">
        <v>19383931</v>
      </c>
      <c r="I183" s="44">
        <v>10676136.6</v>
      </c>
      <c r="J183" s="44">
        <v>0</v>
      </c>
      <c r="K183" s="44">
        <v>108508</v>
      </c>
      <c r="L183" s="44">
        <v>966250.16</v>
      </c>
      <c r="M183" s="123">
        <v>0.49532669302217386</v>
      </c>
      <c r="O183" s="39"/>
      <c r="Q183" s="39"/>
    </row>
    <row r="184" spans="1:17" x14ac:dyDescent="0.25">
      <c r="A184" s="40"/>
      <c r="B184" s="41">
        <v>6903</v>
      </c>
      <c r="C184" s="40" t="s">
        <v>219</v>
      </c>
      <c r="D184" s="42">
        <v>31782361</v>
      </c>
      <c r="E184" s="42">
        <v>33693603</v>
      </c>
      <c r="F184" s="42">
        <v>42874790</v>
      </c>
      <c r="G184" s="42">
        <v>49395232</v>
      </c>
      <c r="H184" s="42">
        <v>39436497</v>
      </c>
      <c r="I184" s="44">
        <v>4394488.6900000004</v>
      </c>
      <c r="J184" s="44">
        <v>0</v>
      </c>
      <c r="K184" s="44">
        <v>1379946</v>
      </c>
      <c r="L184" s="44">
        <v>0</v>
      </c>
      <c r="M184" s="123">
        <v>7.6440427505516037E-2</v>
      </c>
      <c r="O184" s="39"/>
      <c r="Q184" s="39"/>
    </row>
    <row r="185" spans="1:17" x14ac:dyDescent="0.25">
      <c r="A185" s="40"/>
      <c r="B185" s="41">
        <v>6904</v>
      </c>
      <c r="C185" s="40" t="s">
        <v>220</v>
      </c>
      <c r="D185" s="42">
        <v>11208006</v>
      </c>
      <c r="E185" s="42">
        <v>13255592</v>
      </c>
      <c r="F185" s="42">
        <v>14187636</v>
      </c>
      <c r="G185" s="42">
        <v>16069225</v>
      </c>
      <c r="H185" s="42">
        <v>13680115</v>
      </c>
      <c r="I185" s="44">
        <v>4186725.8800000004</v>
      </c>
      <c r="J185" s="44">
        <v>0</v>
      </c>
      <c r="K185" s="44">
        <v>0</v>
      </c>
      <c r="L185" s="44">
        <v>0</v>
      </c>
      <c r="M185" s="123">
        <v>0.30604464070660226</v>
      </c>
      <c r="O185" s="39"/>
      <c r="Q185" s="39"/>
    </row>
    <row r="186" spans="1:17" x14ac:dyDescent="0.25">
      <c r="A186" s="40"/>
      <c r="B186" s="41">
        <v>6905</v>
      </c>
      <c r="C186" s="40" t="s">
        <v>216</v>
      </c>
      <c r="D186" s="42">
        <v>56255196</v>
      </c>
      <c r="E186" s="42">
        <v>63806973</v>
      </c>
      <c r="F186" s="42">
        <v>79439640</v>
      </c>
      <c r="G186" s="42">
        <v>99158887</v>
      </c>
      <c r="H186" s="42">
        <v>74665174</v>
      </c>
      <c r="I186" s="44">
        <v>32961150.859999999</v>
      </c>
      <c r="J186" s="44"/>
      <c r="K186" s="44">
        <v>3485651</v>
      </c>
      <c r="L186" s="44">
        <v>20796675</v>
      </c>
      <c r="M186" s="123">
        <v>0.11623658521173472</v>
      </c>
      <c r="O186" s="39"/>
      <c r="Q186" s="39"/>
    </row>
    <row r="187" spans="1:17" x14ac:dyDescent="0.25">
      <c r="A187" s="40"/>
      <c r="B187" s="41">
        <v>6906</v>
      </c>
      <c r="C187" s="40" t="s">
        <v>221</v>
      </c>
      <c r="D187" s="42">
        <v>7368867</v>
      </c>
      <c r="E187" s="42">
        <v>9154697</v>
      </c>
      <c r="F187" s="42">
        <v>11482631</v>
      </c>
      <c r="G187" s="42">
        <v>13025517</v>
      </c>
      <c r="H187" s="42">
        <v>10257928</v>
      </c>
      <c r="I187" s="44">
        <v>11768704.08</v>
      </c>
      <c r="J187" s="44"/>
      <c r="K187" s="44"/>
      <c r="L187" s="44"/>
      <c r="M187" s="123">
        <v>1.1472788734723036</v>
      </c>
      <c r="O187" s="39"/>
      <c r="Q187" s="39"/>
    </row>
    <row r="188" spans="1:17" x14ac:dyDescent="0.25">
      <c r="A188" s="40"/>
      <c r="B188" s="41">
        <v>6907</v>
      </c>
      <c r="C188" s="40" t="s">
        <v>222</v>
      </c>
      <c r="D188" s="42">
        <v>19928512</v>
      </c>
      <c r="E188" s="42">
        <v>24225401</v>
      </c>
      <c r="F188" s="42">
        <v>28227705</v>
      </c>
      <c r="G188" s="42">
        <v>32555967</v>
      </c>
      <c r="H188" s="42">
        <v>26234396</v>
      </c>
      <c r="I188" s="44">
        <v>5600648.1699999981</v>
      </c>
      <c r="J188" s="44">
        <v>0</v>
      </c>
      <c r="K188" s="44">
        <v>736926.93</v>
      </c>
      <c r="L188" s="44">
        <v>1613966.2</v>
      </c>
      <c r="M188" s="123">
        <v>0.12387382732196305</v>
      </c>
      <c r="O188" s="39"/>
      <c r="Q188" s="39"/>
    </row>
    <row r="189" spans="1:17" x14ac:dyDescent="0.25">
      <c r="A189" s="40" t="s">
        <v>223</v>
      </c>
      <c r="B189" s="41">
        <v>7001</v>
      </c>
      <c r="C189" s="40" t="s">
        <v>224</v>
      </c>
      <c r="D189" s="42">
        <v>19664431</v>
      </c>
      <c r="E189" s="42">
        <v>22622253</v>
      </c>
      <c r="F189" s="42">
        <v>32005856</v>
      </c>
      <c r="G189" s="42">
        <v>33351639</v>
      </c>
      <c r="H189" s="42">
        <v>26911045</v>
      </c>
      <c r="I189" s="44">
        <v>14223396.710000001</v>
      </c>
      <c r="J189" s="44"/>
      <c r="K189" s="44">
        <v>11229</v>
      </c>
      <c r="L189" s="44">
        <v>2287648</v>
      </c>
      <c r="M189" s="123">
        <v>0.44310875738939165</v>
      </c>
      <c r="O189" s="39"/>
      <c r="Q189" s="39"/>
    </row>
    <row r="190" spans="1:17" x14ac:dyDescent="0.25">
      <c r="A190" s="40"/>
      <c r="B190" s="41">
        <v>7002</v>
      </c>
      <c r="C190" s="40" t="s">
        <v>225</v>
      </c>
      <c r="D190" s="42">
        <v>38790112</v>
      </c>
      <c r="E190" s="42">
        <v>46465369</v>
      </c>
      <c r="F190" s="42">
        <v>54079200</v>
      </c>
      <c r="G190" s="42">
        <v>55130061</v>
      </c>
      <c r="H190" s="42">
        <v>48616186</v>
      </c>
      <c r="I190" s="44">
        <v>6031254.8499999996</v>
      </c>
      <c r="J190" s="44"/>
      <c r="K190" s="44">
        <v>2068352</v>
      </c>
      <c r="L190" s="44">
        <v>301821</v>
      </c>
      <c r="M190" s="123">
        <v>7.5305822015737711E-2</v>
      </c>
      <c r="O190" s="39"/>
      <c r="Q190" s="39"/>
    </row>
    <row r="191" spans="1:17" x14ac:dyDescent="0.25">
      <c r="A191" s="40"/>
      <c r="B191" s="41">
        <v>7003</v>
      </c>
      <c r="C191" s="40" t="s">
        <v>223</v>
      </c>
      <c r="D191" s="42">
        <v>122996003</v>
      </c>
      <c r="E191" s="42">
        <v>142443363</v>
      </c>
      <c r="F191" s="42">
        <v>173078811</v>
      </c>
      <c r="G191" s="42">
        <v>198555462</v>
      </c>
      <c r="H191" s="42">
        <v>159268410</v>
      </c>
      <c r="I191" s="44">
        <v>75229097.560000002</v>
      </c>
      <c r="J191" s="44"/>
      <c r="K191" s="44">
        <v>25223735</v>
      </c>
      <c r="L191" s="44">
        <v>3654170</v>
      </c>
      <c r="M191" s="123">
        <v>0.29102565009596065</v>
      </c>
      <c r="O191" s="39"/>
      <c r="Q191" s="39"/>
    </row>
    <row r="192" spans="1:17" x14ac:dyDescent="0.25">
      <c r="A192" s="40"/>
      <c r="B192" s="41">
        <v>7004</v>
      </c>
      <c r="C192" s="40" t="s">
        <v>226</v>
      </c>
      <c r="D192" s="42">
        <v>20487515</v>
      </c>
      <c r="E192" s="42">
        <v>25280503</v>
      </c>
      <c r="F192" s="42">
        <v>29385753</v>
      </c>
      <c r="G192" s="42">
        <v>33014223</v>
      </c>
      <c r="H192" s="42">
        <v>27041999</v>
      </c>
      <c r="I192" s="44">
        <v>18255060.43</v>
      </c>
      <c r="J192" s="44">
        <v>50542</v>
      </c>
      <c r="K192" s="44"/>
      <c r="L192" s="44">
        <v>10150522</v>
      </c>
      <c r="M192" s="123">
        <v>0.29783287951456544</v>
      </c>
      <c r="O192" s="39"/>
      <c r="Q192" s="39"/>
    </row>
    <row r="193" spans="1:17" x14ac:dyDescent="0.25">
      <c r="A193" s="40" t="s">
        <v>227</v>
      </c>
      <c r="B193" s="41">
        <v>7101</v>
      </c>
      <c r="C193" s="40" t="s">
        <v>228</v>
      </c>
      <c r="D193" s="42">
        <v>6615606</v>
      </c>
      <c r="E193" s="42">
        <v>9768839</v>
      </c>
      <c r="F193" s="42">
        <v>8583089</v>
      </c>
      <c r="G193" s="42">
        <v>11891653</v>
      </c>
      <c r="H193" s="42">
        <v>9214797</v>
      </c>
      <c r="I193" s="44">
        <v>12719579.07</v>
      </c>
      <c r="J193" s="44"/>
      <c r="K193" s="44"/>
      <c r="L193" s="44">
        <v>6016570</v>
      </c>
      <c r="M193" s="123">
        <v>0.72741798544232716</v>
      </c>
      <c r="O193" s="39"/>
      <c r="Q193" s="39"/>
    </row>
    <row r="194" spans="1:17" x14ac:dyDescent="0.25">
      <c r="A194" s="40"/>
      <c r="B194" s="41">
        <v>7102</v>
      </c>
      <c r="C194" s="40" t="s">
        <v>229</v>
      </c>
      <c r="D194" s="42">
        <v>3693492</v>
      </c>
      <c r="E194" s="42">
        <v>6379047</v>
      </c>
      <c r="F194" s="42">
        <v>10202194</v>
      </c>
      <c r="G194" s="42">
        <v>8689213</v>
      </c>
      <c r="H194" s="42">
        <v>7240987</v>
      </c>
      <c r="I194" s="44">
        <v>3164064.3999999994</v>
      </c>
      <c r="J194" s="44"/>
      <c r="K194" s="44">
        <v>262471</v>
      </c>
      <c r="L194" s="44"/>
      <c r="M194" s="123">
        <v>0.40071794080005935</v>
      </c>
      <c r="O194" s="39"/>
      <c r="Q194" s="39"/>
    </row>
    <row r="195" spans="1:17" x14ac:dyDescent="0.25">
      <c r="A195" s="40"/>
      <c r="B195" s="41">
        <v>7103</v>
      </c>
      <c r="C195" s="40" t="s">
        <v>230</v>
      </c>
      <c r="D195" s="42">
        <v>14287541</v>
      </c>
      <c r="E195" s="42">
        <v>19234301</v>
      </c>
      <c r="F195" s="42">
        <v>24645127</v>
      </c>
      <c r="G195" s="42">
        <v>24745929</v>
      </c>
      <c r="H195" s="42">
        <v>20728225</v>
      </c>
      <c r="I195" s="44">
        <v>15063083.819999998</v>
      </c>
      <c r="J195" s="44">
        <v>17000</v>
      </c>
      <c r="K195" s="44">
        <v>1187613</v>
      </c>
      <c r="L195" s="44">
        <v>35597</v>
      </c>
      <c r="M195" s="123">
        <v>0.66686239752800824</v>
      </c>
      <c r="O195" s="39"/>
      <c r="Q195" s="39"/>
    </row>
    <row r="196" spans="1:17" x14ac:dyDescent="0.25">
      <c r="A196" s="40"/>
      <c r="B196" s="41">
        <v>7104</v>
      </c>
      <c r="C196" s="40" t="s">
        <v>231</v>
      </c>
      <c r="D196" s="42">
        <v>11832225</v>
      </c>
      <c r="E196" s="42">
        <v>14325059</v>
      </c>
      <c r="F196" s="42">
        <v>15939714</v>
      </c>
      <c r="G196" s="42">
        <v>16858310</v>
      </c>
      <c r="H196" s="42">
        <v>14738827</v>
      </c>
      <c r="I196" s="44">
        <v>7275285.8900000006</v>
      </c>
      <c r="J196" s="44"/>
      <c r="K196" s="44"/>
      <c r="L196" s="44"/>
      <c r="M196" s="123">
        <v>0.49361362949710996</v>
      </c>
      <c r="O196" s="39"/>
      <c r="Q196" s="39"/>
    </row>
    <row r="197" spans="1:17" x14ac:dyDescent="0.25">
      <c r="A197" s="40"/>
      <c r="B197" s="41">
        <v>7105</v>
      </c>
      <c r="C197" s="40" t="s">
        <v>232</v>
      </c>
      <c r="D197" s="42">
        <v>13293785</v>
      </c>
      <c r="E197" s="42">
        <v>15931851</v>
      </c>
      <c r="F197" s="42">
        <v>20717664</v>
      </c>
      <c r="G197" s="42">
        <v>20672482</v>
      </c>
      <c r="H197" s="42">
        <v>17653946</v>
      </c>
      <c r="I197" s="44">
        <v>9147851.6900000013</v>
      </c>
      <c r="J197" s="44"/>
      <c r="K197" s="44">
        <v>421886.6</v>
      </c>
      <c r="L197" s="44">
        <v>6899832</v>
      </c>
      <c r="M197" s="123">
        <v>0.10344050502930063</v>
      </c>
      <c r="O197" s="39"/>
      <c r="Q197" s="39"/>
    </row>
    <row r="198" spans="1:17" x14ac:dyDescent="0.25">
      <c r="A198" s="40"/>
      <c r="B198" s="41">
        <v>7106</v>
      </c>
      <c r="C198" s="40" t="s">
        <v>233</v>
      </c>
      <c r="D198" s="42">
        <v>16669830</v>
      </c>
      <c r="E198" s="42">
        <v>19454147</v>
      </c>
      <c r="F198" s="42">
        <v>23795424</v>
      </c>
      <c r="G198" s="42">
        <v>26838404</v>
      </c>
      <c r="H198" s="42">
        <v>21689451</v>
      </c>
      <c r="I198" s="44">
        <v>4695548.5</v>
      </c>
      <c r="J198" s="44"/>
      <c r="K198" s="44">
        <v>2666526</v>
      </c>
      <c r="L198" s="44">
        <v>257295</v>
      </c>
      <c r="M198" s="123">
        <v>8.1686138574922892E-2</v>
      </c>
      <c r="O198" s="39"/>
      <c r="Q198" s="39"/>
    </row>
    <row r="199" spans="1:17" x14ac:dyDescent="0.25">
      <c r="A199" s="40"/>
      <c r="B199" s="41">
        <v>7107</v>
      </c>
      <c r="C199" s="40" t="s">
        <v>234</v>
      </c>
      <c r="D199" s="42">
        <v>10918791</v>
      </c>
      <c r="E199" s="42">
        <v>13272604</v>
      </c>
      <c r="F199" s="42">
        <v>11355179</v>
      </c>
      <c r="G199" s="42">
        <v>13018297</v>
      </c>
      <c r="H199" s="42">
        <v>12141218</v>
      </c>
      <c r="I199" s="44">
        <v>16271175.810000001</v>
      </c>
      <c r="J199" s="44"/>
      <c r="K199" s="44"/>
      <c r="L199" s="44">
        <v>12230436</v>
      </c>
      <c r="M199" s="123">
        <v>0.33281173355095023</v>
      </c>
      <c r="O199" s="39"/>
      <c r="Q199" s="39"/>
    </row>
    <row r="200" spans="1:17" x14ac:dyDescent="0.25">
      <c r="A200" s="40"/>
      <c r="B200" s="41">
        <v>7108</v>
      </c>
      <c r="C200" s="40" t="s">
        <v>235</v>
      </c>
      <c r="D200" s="42">
        <v>16544594</v>
      </c>
      <c r="E200" s="42">
        <v>20913441</v>
      </c>
      <c r="F200" s="42">
        <v>20248337</v>
      </c>
      <c r="G200" s="42">
        <v>20640343</v>
      </c>
      <c r="H200" s="42">
        <v>19586679</v>
      </c>
      <c r="I200" s="44">
        <v>14188911.469999999</v>
      </c>
      <c r="J200" s="44"/>
      <c r="K200" s="44">
        <v>353700.18</v>
      </c>
      <c r="L200" s="44">
        <v>7936365</v>
      </c>
      <c r="M200" s="123">
        <v>0.30116623088579741</v>
      </c>
      <c r="O200" s="39"/>
      <c r="Q200" s="39"/>
    </row>
    <row r="201" spans="1:17" x14ac:dyDescent="0.25">
      <c r="A201" s="40"/>
      <c r="B201" s="41">
        <v>7109</v>
      </c>
      <c r="C201" s="40" t="s">
        <v>227</v>
      </c>
      <c r="D201" s="42">
        <v>55477448</v>
      </c>
      <c r="E201" s="42">
        <v>59919238</v>
      </c>
      <c r="F201" s="42">
        <v>67698806</v>
      </c>
      <c r="G201" s="42">
        <v>87700237</v>
      </c>
      <c r="H201" s="42">
        <v>67698932</v>
      </c>
      <c r="I201" s="44">
        <v>38528754.729999997</v>
      </c>
      <c r="J201" s="44"/>
      <c r="K201" s="44">
        <v>10751059</v>
      </c>
      <c r="L201" s="44"/>
      <c r="M201" s="123">
        <v>0.41031217050809599</v>
      </c>
      <c r="O201" s="39"/>
      <c r="Q201" s="39"/>
    </row>
    <row r="202" spans="1:17" x14ac:dyDescent="0.25">
      <c r="A202" s="40"/>
      <c r="B202" s="41">
        <v>7110</v>
      </c>
      <c r="C202" s="40" t="s">
        <v>236</v>
      </c>
      <c r="D202" s="42">
        <v>13618698</v>
      </c>
      <c r="E202" s="42">
        <v>17032130</v>
      </c>
      <c r="F202" s="42">
        <v>18157100</v>
      </c>
      <c r="G202" s="42">
        <v>17538327</v>
      </c>
      <c r="H202" s="42">
        <v>16586564</v>
      </c>
      <c r="I202" s="44">
        <v>7787452.9699999997</v>
      </c>
      <c r="J202" s="44"/>
      <c r="K202" s="44">
        <v>973086</v>
      </c>
      <c r="L202" s="44">
        <v>1817033</v>
      </c>
      <c r="M202" s="123">
        <v>0.30128807690369142</v>
      </c>
      <c r="O202" s="39"/>
      <c r="Q202" s="39"/>
    </row>
    <row r="203" spans="1:17" x14ac:dyDescent="0.25">
      <c r="A203" s="40" t="s">
        <v>237</v>
      </c>
      <c r="B203" s="41">
        <v>7225</v>
      </c>
      <c r="C203" s="40" t="s">
        <v>238</v>
      </c>
      <c r="D203" s="42">
        <v>1595036903</v>
      </c>
      <c r="E203" s="42">
        <v>1900338434</v>
      </c>
      <c r="F203" s="42">
        <v>2222900443</v>
      </c>
      <c r="G203" s="42">
        <v>2624934981</v>
      </c>
      <c r="H203" s="42">
        <v>2085802690</v>
      </c>
      <c r="I203" s="44">
        <v>940357997.82999992</v>
      </c>
      <c r="J203" s="44"/>
      <c r="K203" s="44">
        <v>177139239.47209999</v>
      </c>
      <c r="L203" s="44">
        <v>417158</v>
      </c>
      <c r="M203" s="123">
        <v>0.36571129379351786</v>
      </c>
      <c r="O203" s="39"/>
      <c r="Q203" s="39"/>
    </row>
    <row r="204" spans="1:17" x14ac:dyDescent="0.25">
      <c r="A204" s="40" t="s">
        <v>239</v>
      </c>
      <c r="B204" s="41">
        <v>7301</v>
      </c>
      <c r="C204" s="40" t="s">
        <v>240</v>
      </c>
      <c r="D204" s="42">
        <v>3958279</v>
      </c>
      <c r="E204" s="42">
        <v>3817165</v>
      </c>
      <c r="F204" s="42">
        <v>5889856</v>
      </c>
      <c r="G204" s="42">
        <v>4379556</v>
      </c>
      <c r="H204" s="42">
        <v>4511214</v>
      </c>
      <c r="I204" s="44">
        <v>3795186.9</v>
      </c>
      <c r="J204" s="44"/>
      <c r="K204" s="44"/>
      <c r="L204" s="44">
        <v>3698532</v>
      </c>
      <c r="M204" s="123">
        <v>2.142547438450047E-2</v>
      </c>
      <c r="O204" s="39"/>
      <c r="Q204" s="39"/>
    </row>
    <row r="205" spans="1:17" x14ac:dyDescent="0.25">
      <c r="A205" s="40"/>
      <c r="B205" s="41">
        <v>7302</v>
      </c>
      <c r="C205" s="40" t="s">
        <v>241</v>
      </c>
      <c r="D205" s="42">
        <v>13691580</v>
      </c>
      <c r="E205" s="42">
        <v>15783198</v>
      </c>
      <c r="F205" s="42">
        <v>18047736</v>
      </c>
      <c r="G205" s="42">
        <v>21042616</v>
      </c>
      <c r="H205" s="42">
        <v>17141283</v>
      </c>
      <c r="I205" s="44">
        <v>13945155.439999998</v>
      </c>
      <c r="J205" s="44">
        <v>22915</v>
      </c>
      <c r="K205" s="44">
        <v>104390</v>
      </c>
      <c r="L205" s="44">
        <v>336469</v>
      </c>
      <c r="M205" s="123">
        <v>0.78648613642281018</v>
      </c>
      <c r="O205" s="39"/>
      <c r="Q205" s="39"/>
    </row>
    <row r="206" spans="1:17" x14ac:dyDescent="0.25">
      <c r="A206" s="40"/>
      <c r="B206" s="41">
        <v>7303</v>
      </c>
      <c r="C206" s="40" t="s">
        <v>242</v>
      </c>
      <c r="D206" s="42">
        <v>42943965</v>
      </c>
      <c r="E206" s="42">
        <v>49560849</v>
      </c>
      <c r="F206" s="42">
        <v>60069383</v>
      </c>
      <c r="G206" s="42">
        <v>82839582</v>
      </c>
      <c r="H206" s="42">
        <v>58853445</v>
      </c>
      <c r="I206" s="44">
        <v>34090283.280000001</v>
      </c>
      <c r="J206" s="44"/>
      <c r="K206" s="44"/>
      <c r="L206" s="44">
        <v>29131574.98</v>
      </c>
      <c r="M206" s="123">
        <v>8.4255191858352563E-2</v>
      </c>
      <c r="O206" s="39"/>
      <c r="Q206" s="39"/>
    </row>
    <row r="207" spans="1:17" x14ac:dyDescent="0.25">
      <c r="A207" s="40"/>
      <c r="B207" s="41">
        <v>7304</v>
      </c>
      <c r="C207" s="40" t="s">
        <v>243</v>
      </c>
      <c r="D207" s="42">
        <v>7024152</v>
      </c>
      <c r="E207" s="42">
        <v>7521441</v>
      </c>
      <c r="F207" s="42">
        <v>11672474</v>
      </c>
      <c r="G207" s="42">
        <v>14946365</v>
      </c>
      <c r="H207" s="42">
        <v>10291108</v>
      </c>
      <c r="I207" s="44">
        <v>5860598.1999999993</v>
      </c>
      <c r="J207" s="44">
        <v>628408</v>
      </c>
      <c r="K207" s="44">
        <v>158704</v>
      </c>
      <c r="L207" s="44">
        <v>3212216</v>
      </c>
      <c r="M207" s="123">
        <v>0.1808619829856998</v>
      </c>
      <c r="O207" s="39"/>
      <c r="Q207" s="39"/>
    </row>
    <row r="208" spans="1:17" x14ac:dyDescent="0.25">
      <c r="A208" s="40"/>
      <c r="B208" s="41">
        <v>7305</v>
      </c>
      <c r="C208" s="40" t="s">
        <v>244</v>
      </c>
      <c r="D208" s="42">
        <v>11129699</v>
      </c>
      <c r="E208" s="42">
        <v>12488194</v>
      </c>
      <c r="F208" s="42">
        <v>15866212</v>
      </c>
      <c r="G208" s="42">
        <v>15877769</v>
      </c>
      <c r="H208" s="42">
        <v>13840469</v>
      </c>
      <c r="I208" s="44">
        <v>3837129.88</v>
      </c>
      <c r="J208" s="44"/>
      <c r="K208" s="44">
        <v>479044</v>
      </c>
      <c r="L208" s="44">
        <v>2930280</v>
      </c>
      <c r="M208" s="123">
        <v>3.0909782031230293E-2</v>
      </c>
      <c r="O208" s="39"/>
      <c r="Q208" s="39"/>
    </row>
    <row r="209" spans="1:17" x14ac:dyDescent="0.25">
      <c r="A209" s="40"/>
      <c r="B209" s="41">
        <v>7306</v>
      </c>
      <c r="C209" s="40" t="s">
        <v>245</v>
      </c>
      <c r="D209" s="42">
        <v>10896377</v>
      </c>
      <c r="E209" s="42">
        <v>13296527</v>
      </c>
      <c r="F209" s="42">
        <v>14738534</v>
      </c>
      <c r="G209" s="42">
        <v>19957774</v>
      </c>
      <c r="H209" s="42">
        <v>14722303</v>
      </c>
      <c r="I209" s="44">
        <v>6101781.0200000005</v>
      </c>
      <c r="J209" s="44">
        <v>0</v>
      </c>
      <c r="K209" s="44">
        <v>0</v>
      </c>
      <c r="L209" s="44">
        <v>1608686</v>
      </c>
      <c r="M209" s="123">
        <v>0.30518968533659446</v>
      </c>
      <c r="O209" s="39"/>
      <c r="Q209" s="39"/>
    </row>
    <row r="210" spans="1:17" x14ac:dyDescent="0.25">
      <c r="A210" s="40"/>
      <c r="B210" s="41">
        <v>7307</v>
      </c>
      <c r="C210" s="40" t="s">
        <v>246</v>
      </c>
      <c r="D210" s="42">
        <v>9945020</v>
      </c>
      <c r="E210" s="42">
        <v>11179998</v>
      </c>
      <c r="F210" s="42">
        <v>11451111</v>
      </c>
      <c r="G210" s="42">
        <v>15979178</v>
      </c>
      <c r="H210" s="42">
        <v>12138827</v>
      </c>
      <c r="I210" s="44">
        <v>6922714.0999999996</v>
      </c>
      <c r="J210" s="44">
        <v>8823</v>
      </c>
      <c r="K210" s="44">
        <v>0</v>
      </c>
      <c r="L210" s="44">
        <v>4503658</v>
      </c>
      <c r="M210" s="123">
        <v>0.19855568416948355</v>
      </c>
      <c r="O210" s="39"/>
      <c r="Q210" s="39"/>
    </row>
    <row r="211" spans="1:17" x14ac:dyDescent="0.25">
      <c r="A211" s="40"/>
      <c r="B211" s="41">
        <v>7308</v>
      </c>
      <c r="C211" s="40" t="s">
        <v>247</v>
      </c>
      <c r="D211" s="42">
        <v>29572661</v>
      </c>
      <c r="E211" s="42">
        <v>34851101</v>
      </c>
      <c r="F211" s="42">
        <v>44739923</v>
      </c>
      <c r="G211" s="42">
        <v>59643918</v>
      </c>
      <c r="H211" s="42">
        <v>42201901</v>
      </c>
      <c r="I211" s="44">
        <v>83094872.300000012</v>
      </c>
      <c r="J211" s="44"/>
      <c r="K211" s="44">
        <v>13030163</v>
      </c>
      <c r="L211" s="44"/>
      <c r="M211" s="123">
        <v>1.6602263793756593</v>
      </c>
      <c r="O211" s="39"/>
      <c r="Q211" s="39"/>
    </row>
    <row r="212" spans="1:17" x14ac:dyDescent="0.25">
      <c r="A212" s="40"/>
      <c r="B212" s="41">
        <v>7309</v>
      </c>
      <c r="C212" s="40" t="s">
        <v>248</v>
      </c>
      <c r="D212" s="42">
        <v>22445857</v>
      </c>
      <c r="E212" s="42">
        <v>22175422</v>
      </c>
      <c r="F212" s="42">
        <v>28248141</v>
      </c>
      <c r="G212" s="42">
        <v>30611455</v>
      </c>
      <c r="H212" s="42">
        <v>25870219</v>
      </c>
      <c r="I212" s="44">
        <v>1819019.88</v>
      </c>
      <c r="J212" s="44"/>
      <c r="K212" s="44"/>
      <c r="L212" s="44"/>
      <c r="M212" s="123">
        <v>7.0313277208824548E-2</v>
      </c>
      <c r="O212" s="39"/>
      <c r="Q212" s="39"/>
    </row>
    <row r="213" spans="1:17" x14ac:dyDescent="0.25">
      <c r="A213" s="40"/>
      <c r="B213" s="41">
        <v>7310</v>
      </c>
      <c r="C213" s="40" t="s">
        <v>249</v>
      </c>
      <c r="D213" s="42">
        <v>9523894</v>
      </c>
      <c r="E213" s="42">
        <v>11043362</v>
      </c>
      <c r="F213" s="42">
        <v>13251658</v>
      </c>
      <c r="G213" s="42">
        <v>15761632</v>
      </c>
      <c r="H213" s="42">
        <v>12395137</v>
      </c>
      <c r="I213" s="44">
        <v>14864631.629999999</v>
      </c>
      <c r="J213" s="44">
        <v>20300</v>
      </c>
      <c r="K213" s="44"/>
      <c r="L213" s="44">
        <v>10985168</v>
      </c>
      <c r="M213" s="123">
        <v>0.31134497585625709</v>
      </c>
      <c r="O213" s="39"/>
      <c r="Q213" s="39"/>
    </row>
    <row r="214" spans="1:17" x14ac:dyDescent="0.25">
      <c r="A214" s="40"/>
      <c r="B214" s="41">
        <v>7311</v>
      </c>
      <c r="C214" s="40" t="s">
        <v>250</v>
      </c>
      <c r="D214" s="42">
        <v>22387652</v>
      </c>
      <c r="E214" s="42">
        <v>29949084</v>
      </c>
      <c r="F214" s="42">
        <v>35816203</v>
      </c>
      <c r="G214" s="42">
        <v>45797604</v>
      </c>
      <c r="H214" s="42">
        <v>33487636</v>
      </c>
      <c r="I214" s="44">
        <v>17216967.91</v>
      </c>
      <c r="J214" s="44">
        <v>0</v>
      </c>
      <c r="K214" s="44">
        <v>5848968</v>
      </c>
      <c r="L214" s="44">
        <v>4938481</v>
      </c>
      <c r="M214" s="123">
        <v>0.1919967987588016</v>
      </c>
      <c r="O214" s="39"/>
      <c r="Q214" s="39"/>
    </row>
    <row r="215" spans="1:17" x14ac:dyDescent="0.25">
      <c r="A215" s="40"/>
      <c r="B215" s="41">
        <v>7312</v>
      </c>
      <c r="C215" s="40" t="s">
        <v>251</v>
      </c>
      <c r="D215" s="42">
        <v>4849426</v>
      </c>
      <c r="E215" s="42">
        <v>8186843</v>
      </c>
      <c r="F215" s="42">
        <v>9604012</v>
      </c>
      <c r="G215" s="42">
        <v>8647557</v>
      </c>
      <c r="H215" s="42">
        <v>7821960</v>
      </c>
      <c r="I215" s="44">
        <v>3386614.9699999997</v>
      </c>
      <c r="J215" s="44"/>
      <c r="K215" s="44"/>
      <c r="L215" s="44">
        <v>2882794</v>
      </c>
      <c r="M215" s="123">
        <v>6.4411090059268997E-2</v>
      </c>
      <c r="O215" s="39"/>
      <c r="Q215" s="39"/>
    </row>
    <row r="216" spans="1:17" x14ac:dyDescent="0.25">
      <c r="A216" s="40"/>
      <c r="B216" s="41">
        <v>7313</v>
      </c>
      <c r="C216" s="40" t="s">
        <v>252</v>
      </c>
      <c r="D216" s="42">
        <v>18226089</v>
      </c>
      <c r="E216" s="42">
        <v>21685881</v>
      </c>
      <c r="F216" s="42">
        <v>23447699</v>
      </c>
      <c r="G216" s="42">
        <v>25421620</v>
      </c>
      <c r="H216" s="42">
        <v>22195322</v>
      </c>
      <c r="I216" s="44">
        <v>24811866.149999999</v>
      </c>
      <c r="J216" s="44"/>
      <c r="K216" s="44"/>
      <c r="L216" s="44">
        <v>14888442</v>
      </c>
      <c r="M216" s="123">
        <v>0.44709530008170184</v>
      </c>
      <c r="O216" s="39"/>
      <c r="Q216" s="39"/>
    </row>
    <row r="217" spans="1:17" x14ac:dyDescent="0.25">
      <c r="A217" s="40"/>
      <c r="B217" s="41">
        <v>7314</v>
      </c>
      <c r="C217" s="40" t="s">
        <v>253</v>
      </c>
      <c r="D217" s="42">
        <v>24408797</v>
      </c>
      <c r="E217" s="42">
        <v>24289513</v>
      </c>
      <c r="F217" s="42">
        <v>34843441</v>
      </c>
      <c r="G217" s="42">
        <v>45448198</v>
      </c>
      <c r="H217" s="42">
        <v>32247487</v>
      </c>
      <c r="I217" s="44">
        <v>24753034.440000001</v>
      </c>
      <c r="J217" s="44"/>
      <c r="K217" s="44">
        <v>5971319</v>
      </c>
      <c r="L217" s="44">
        <v>9232328</v>
      </c>
      <c r="M217" s="123">
        <v>0.2961281119362883</v>
      </c>
      <c r="O217" s="39"/>
      <c r="Q217" s="39"/>
    </row>
    <row r="218" spans="1:17" x14ac:dyDescent="0.25">
      <c r="A218" s="40"/>
      <c r="B218" s="41">
        <v>7315</v>
      </c>
      <c r="C218" s="40" t="s">
        <v>254</v>
      </c>
      <c r="D218" s="42">
        <v>8055329</v>
      </c>
      <c r="E218" s="42">
        <v>10395666</v>
      </c>
      <c r="F218" s="42">
        <v>8637443</v>
      </c>
      <c r="G218" s="42">
        <v>10457037</v>
      </c>
      <c r="H218" s="42">
        <v>9386369</v>
      </c>
      <c r="I218" s="44">
        <v>9732955.4600000009</v>
      </c>
      <c r="J218" s="44"/>
      <c r="K218" s="44"/>
      <c r="L218" s="44">
        <v>8680582</v>
      </c>
      <c r="M218" s="123">
        <v>0.11211720527927262</v>
      </c>
      <c r="O218" s="39"/>
      <c r="Q218" s="39"/>
    </row>
    <row r="219" spans="1:17" x14ac:dyDescent="0.25">
      <c r="A219" s="40"/>
      <c r="B219" s="41">
        <v>7316</v>
      </c>
      <c r="C219" s="40" t="s">
        <v>255</v>
      </c>
      <c r="D219" s="42">
        <v>9693125</v>
      </c>
      <c r="E219" s="42">
        <v>15813524</v>
      </c>
      <c r="F219" s="42">
        <v>15992045</v>
      </c>
      <c r="G219" s="42">
        <v>17148084</v>
      </c>
      <c r="H219" s="42">
        <v>14661695</v>
      </c>
      <c r="I219" s="44">
        <v>1112899.5899999999</v>
      </c>
      <c r="J219" s="44"/>
      <c r="K219" s="44"/>
      <c r="L219" s="44"/>
      <c r="M219" s="123">
        <v>7.590524765383537E-2</v>
      </c>
      <c r="O219" s="39"/>
      <c r="Q219" s="39"/>
    </row>
    <row r="220" spans="1:17" x14ac:dyDescent="0.25">
      <c r="A220" s="40"/>
      <c r="B220" s="41">
        <v>7317</v>
      </c>
      <c r="C220" s="40" t="s">
        <v>256</v>
      </c>
      <c r="D220" s="42">
        <v>15095366</v>
      </c>
      <c r="E220" s="42">
        <v>16351993</v>
      </c>
      <c r="F220" s="42">
        <v>18885599</v>
      </c>
      <c r="G220" s="42">
        <v>24068779</v>
      </c>
      <c r="H220" s="42">
        <v>18600434</v>
      </c>
      <c r="I220" s="44">
        <v>15152734.220000001</v>
      </c>
      <c r="J220" s="44"/>
      <c r="K220" s="44">
        <v>157335</v>
      </c>
      <c r="L220" s="44">
        <v>5972587</v>
      </c>
      <c r="M220" s="123">
        <v>0.48508611250683725</v>
      </c>
      <c r="O220" s="39"/>
      <c r="Q220" s="39"/>
    </row>
    <row r="221" spans="1:17" x14ac:dyDescent="0.25">
      <c r="A221" s="40"/>
      <c r="B221" s="41">
        <v>7318</v>
      </c>
      <c r="C221" s="40" t="s">
        <v>257</v>
      </c>
      <c r="D221" s="42">
        <v>48635657</v>
      </c>
      <c r="E221" s="42">
        <v>56127650</v>
      </c>
      <c r="F221" s="42">
        <v>66623113</v>
      </c>
      <c r="G221" s="42">
        <v>86587349</v>
      </c>
      <c r="H221" s="42">
        <v>64493442</v>
      </c>
      <c r="I221" s="44">
        <v>34465796.300000004</v>
      </c>
      <c r="J221" s="44"/>
      <c r="K221" s="44">
        <v>10129448.02</v>
      </c>
      <c r="L221" s="44">
        <v>434887.67999999999</v>
      </c>
      <c r="M221" s="123">
        <v>0.3706029614607948</v>
      </c>
      <c r="O221" s="39"/>
      <c r="Q221" s="39"/>
    </row>
    <row r="222" spans="1:17" x14ac:dyDescent="0.25">
      <c r="A222" s="40"/>
      <c r="B222" s="41">
        <v>7319</v>
      </c>
      <c r="C222" s="40" t="s">
        <v>258</v>
      </c>
      <c r="D222" s="42">
        <v>26278396</v>
      </c>
      <c r="E222" s="42">
        <v>28857817</v>
      </c>
      <c r="F222" s="42">
        <v>34108815</v>
      </c>
      <c r="G222" s="42">
        <v>40392488</v>
      </c>
      <c r="H222" s="42">
        <v>32409379</v>
      </c>
      <c r="I222" s="44">
        <v>16544161.18</v>
      </c>
      <c r="J222" s="44"/>
      <c r="K222" s="44">
        <v>2980362</v>
      </c>
      <c r="L222" s="44">
        <v>258783</v>
      </c>
      <c r="M222" s="123">
        <v>0.4105298092876139</v>
      </c>
      <c r="O222" s="39"/>
      <c r="Q222" s="39"/>
    </row>
    <row r="223" spans="1:17" x14ac:dyDescent="0.25">
      <c r="A223" s="40"/>
      <c r="B223" s="41">
        <v>7320</v>
      </c>
      <c r="C223" s="40" t="s">
        <v>259</v>
      </c>
      <c r="D223" s="42">
        <v>20889222</v>
      </c>
      <c r="E223" s="42">
        <v>15329262</v>
      </c>
      <c r="F223" s="42">
        <v>16673906</v>
      </c>
      <c r="G223" s="42">
        <v>25733469</v>
      </c>
      <c r="H223" s="42">
        <v>19656465</v>
      </c>
      <c r="I223" s="44">
        <v>30345514.670000002</v>
      </c>
      <c r="J223" s="44"/>
      <c r="K223" s="44">
        <v>95548</v>
      </c>
      <c r="L223" s="44">
        <v>26695444</v>
      </c>
      <c r="M223" s="123">
        <v>0.18083224374270765</v>
      </c>
      <c r="O223" s="39"/>
      <c r="Q223" s="39"/>
    </row>
    <row r="224" spans="1:17" x14ac:dyDescent="0.25">
      <c r="A224" s="40"/>
      <c r="B224" s="41">
        <v>7321</v>
      </c>
      <c r="C224" s="40" t="s">
        <v>260</v>
      </c>
      <c r="D224" s="42">
        <v>4928094</v>
      </c>
      <c r="E224" s="42">
        <v>5498342</v>
      </c>
      <c r="F224" s="42">
        <v>6281329</v>
      </c>
      <c r="G224" s="42">
        <v>9423703</v>
      </c>
      <c r="H224" s="42">
        <v>6532867</v>
      </c>
      <c r="I224" s="44">
        <v>2275420.2799999998</v>
      </c>
      <c r="J224" s="44"/>
      <c r="K224" s="44"/>
      <c r="L224" s="44"/>
      <c r="M224" s="123">
        <v>0.34830347533479555</v>
      </c>
      <c r="O224" s="39"/>
      <c r="Q224" s="39"/>
    </row>
    <row r="225" spans="1:17" x14ac:dyDescent="0.25">
      <c r="A225" s="40"/>
      <c r="B225" s="41">
        <v>7322</v>
      </c>
      <c r="C225" s="40" t="s">
        <v>261</v>
      </c>
      <c r="D225" s="42">
        <v>10952572</v>
      </c>
      <c r="E225" s="42">
        <v>13415444</v>
      </c>
      <c r="F225" s="42">
        <v>12167245</v>
      </c>
      <c r="G225" s="42">
        <v>13426541</v>
      </c>
      <c r="H225" s="42">
        <v>12490451</v>
      </c>
      <c r="I225" s="44">
        <v>20484181.530000001</v>
      </c>
      <c r="J225" s="44">
        <v>1495457</v>
      </c>
      <c r="K225" s="44">
        <v>29940</v>
      </c>
      <c r="L225" s="44">
        <v>17922427</v>
      </c>
      <c r="M225" s="123">
        <v>8.2971986359820088E-2</v>
      </c>
      <c r="O225" s="39"/>
      <c r="Q225" s="39"/>
    </row>
    <row r="226" spans="1:17" x14ac:dyDescent="0.25">
      <c r="A226" s="40" t="s">
        <v>262</v>
      </c>
      <c r="B226" s="41">
        <v>7401</v>
      </c>
      <c r="C226" s="40" t="s">
        <v>263</v>
      </c>
      <c r="D226" s="42">
        <v>9298346</v>
      </c>
      <c r="E226" s="42">
        <v>11079759</v>
      </c>
      <c r="F226" s="42">
        <v>13886144</v>
      </c>
      <c r="G226" s="42">
        <v>16705363</v>
      </c>
      <c r="H226" s="42">
        <v>12742403</v>
      </c>
      <c r="I226" s="44">
        <v>5210272.37</v>
      </c>
      <c r="J226" s="44">
        <v>13434</v>
      </c>
      <c r="K226" s="44"/>
      <c r="L226" s="44"/>
      <c r="M226" s="123">
        <v>0.40783817385150983</v>
      </c>
      <c r="O226" s="39"/>
      <c r="Q226" s="39"/>
    </row>
    <row r="227" spans="1:17" x14ac:dyDescent="0.25">
      <c r="A227" s="40"/>
      <c r="B227" s="41">
        <v>7402</v>
      </c>
      <c r="C227" s="40" t="s">
        <v>264</v>
      </c>
      <c r="D227" s="42">
        <v>7118425</v>
      </c>
      <c r="E227" s="42">
        <v>8144242</v>
      </c>
      <c r="F227" s="42">
        <v>8198333</v>
      </c>
      <c r="G227" s="42">
        <v>9859225</v>
      </c>
      <c r="H227" s="42">
        <v>8330056</v>
      </c>
      <c r="I227" s="44">
        <v>12152594.289999999</v>
      </c>
      <c r="J227" s="44">
        <v>0</v>
      </c>
      <c r="K227" s="44">
        <v>0</v>
      </c>
      <c r="L227" s="44">
        <v>0</v>
      </c>
      <c r="M227" s="123">
        <v>1.4588850651184098</v>
      </c>
      <c r="O227" s="39"/>
      <c r="Q227" s="39"/>
    </row>
    <row r="228" spans="1:17" x14ac:dyDescent="0.25">
      <c r="A228" s="40"/>
      <c r="B228" s="41">
        <v>7403</v>
      </c>
      <c r="C228" s="40" t="s">
        <v>265</v>
      </c>
      <c r="D228" s="42">
        <v>18157033</v>
      </c>
      <c r="E228" s="42">
        <v>18037067</v>
      </c>
      <c r="F228" s="42">
        <v>24986680</v>
      </c>
      <c r="G228" s="42">
        <v>29265357</v>
      </c>
      <c r="H228" s="42">
        <v>22611534</v>
      </c>
      <c r="I228" s="44">
        <v>7557648.1600000039</v>
      </c>
      <c r="J228" s="44"/>
      <c r="K228" s="44"/>
      <c r="L228" s="44"/>
      <c r="M228" s="123">
        <v>0.334238630603302</v>
      </c>
      <c r="O228" s="39"/>
      <c r="Q228" s="39"/>
    </row>
    <row r="229" spans="1:17" x14ac:dyDescent="0.25">
      <c r="A229" s="40"/>
      <c r="B229" s="41">
        <v>7404</v>
      </c>
      <c r="C229" s="40" t="s">
        <v>266</v>
      </c>
      <c r="D229" s="42">
        <v>73756224</v>
      </c>
      <c r="E229" s="42">
        <v>88649104</v>
      </c>
      <c r="F229" s="42">
        <v>106984245</v>
      </c>
      <c r="G229" s="42">
        <v>124268878</v>
      </c>
      <c r="H229" s="42">
        <v>98414613</v>
      </c>
      <c r="I229" s="44">
        <v>23697779.929999996</v>
      </c>
      <c r="J229" s="44">
        <v>0</v>
      </c>
      <c r="K229" s="44">
        <v>2846342</v>
      </c>
      <c r="L229" s="44">
        <v>852089</v>
      </c>
      <c r="M229" s="123">
        <v>0.20321523725343507</v>
      </c>
      <c r="O229" s="39"/>
      <c r="Q229" s="39"/>
    </row>
    <row r="230" spans="1:17" x14ac:dyDescent="0.25">
      <c r="A230" s="40"/>
      <c r="B230" s="41">
        <v>7405</v>
      </c>
      <c r="C230" s="40" t="s">
        <v>267</v>
      </c>
      <c r="D230" s="42">
        <v>17705822</v>
      </c>
      <c r="E230" s="42">
        <v>20069981</v>
      </c>
      <c r="F230" s="42">
        <v>23643699</v>
      </c>
      <c r="G230" s="42">
        <v>27258302</v>
      </c>
      <c r="H230" s="42">
        <v>22169451</v>
      </c>
      <c r="I230" s="44">
        <v>32233101.210000001</v>
      </c>
      <c r="J230" s="44"/>
      <c r="K230" s="44">
        <v>148999</v>
      </c>
      <c r="L230" s="44">
        <v>30425037</v>
      </c>
      <c r="M230" s="123">
        <v>7.4835647035192743E-2</v>
      </c>
      <c r="O230" s="39"/>
      <c r="Q230" s="39"/>
    </row>
    <row r="231" spans="1:17" x14ac:dyDescent="0.25">
      <c r="A231" s="40"/>
      <c r="B231" s="41">
        <v>7406</v>
      </c>
      <c r="C231" s="40" t="s">
        <v>268</v>
      </c>
      <c r="D231" s="42">
        <v>7676720</v>
      </c>
      <c r="E231" s="42">
        <v>7980098</v>
      </c>
      <c r="F231" s="42">
        <v>9203698</v>
      </c>
      <c r="G231" s="42">
        <v>11514839</v>
      </c>
      <c r="H231" s="42">
        <v>9093839</v>
      </c>
      <c r="I231" s="44">
        <v>3802132.0900000003</v>
      </c>
      <c r="J231" s="44">
        <v>1000</v>
      </c>
      <c r="K231" s="44">
        <v>136717</v>
      </c>
      <c r="L231" s="44">
        <v>3295891</v>
      </c>
      <c r="M231" s="123">
        <v>4.0524589230137055E-2</v>
      </c>
      <c r="O231" s="39"/>
      <c r="Q231" s="39"/>
    </row>
    <row r="232" spans="1:17" x14ac:dyDescent="0.25">
      <c r="A232" s="40"/>
      <c r="B232" s="41">
        <v>7407</v>
      </c>
      <c r="C232" s="40" t="s">
        <v>269</v>
      </c>
      <c r="D232" s="42">
        <v>5847942</v>
      </c>
      <c r="E232" s="42">
        <v>7072758</v>
      </c>
      <c r="F232" s="42">
        <v>6581899</v>
      </c>
      <c r="G232" s="42">
        <v>8157668</v>
      </c>
      <c r="H232" s="42">
        <v>6915067</v>
      </c>
      <c r="I232" s="44">
        <v>17042424.270000003</v>
      </c>
      <c r="J232" s="44">
        <v>0</v>
      </c>
      <c r="K232" s="44">
        <v>0</v>
      </c>
      <c r="L232" s="44">
        <v>0</v>
      </c>
      <c r="M232" s="123">
        <v>2.4645349452145586</v>
      </c>
      <c r="O232" s="39"/>
      <c r="Q232" s="39"/>
    </row>
    <row r="233" spans="1:17" x14ac:dyDescent="0.25">
      <c r="A233" s="40"/>
      <c r="B233" s="41">
        <v>7408</v>
      </c>
      <c r="C233" s="40" t="s">
        <v>270</v>
      </c>
      <c r="D233" s="42">
        <v>16916793</v>
      </c>
      <c r="E233" s="42">
        <v>19902645</v>
      </c>
      <c r="F233" s="42">
        <v>29094543</v>
      </c>
      <c r="G233" s="42">
        <v>33849871</v>
      </c>
      <c r="H233" s="42">
        <v>24940963</v>
      </c>
      <c r="I233" s="44">
        <v>10466348.870000003</v>
      </c>
      <c r="J233" s="44"/>
      <c r="K233" s="44">
        <v>72192</v>
      </c>
      <c r="L233" s="44"/>
      <c r="M233" s="123">
        <v>0.41675042258793304</v>
      </c>
      <c r="O233" s="39"/>
      <c r="Q233" s="39"/>
    </row>
    <row r="234" spans="1:17" x14ac:dyDescent="0.25">
      <c r="A234" s="40"/>
      <c r="B234" s="41">
        <v>7409</v>
      </c>
      <c r="C234" s="40" t="s">
        <v>271</v>
      </c>
      <c r="D234" s="42">
        <v>24031957</v>
      </c>
      <c r="E234" s="42">
        <v>25083825</v>
      </c>
      <c r="F234" s="42">
        <v>35591944</v>
      </c>
      <c r="G234" s="42">
        <v>39400767</v>
      </c>
      <c r="H234" s="42">
        <v>31027123</v>
      </c>
      <c r="I234" s="44">
        <v>16907419.799999997</v>
      </c>
      <c r="J234" s="44"/>
      <c r="K234" s="44">
        <v>1823165</v>
      </c>
      <c r="L234" s="44">
        <v>389519</v>
      </c>
      <c r="M234" s="123">
        <v>0.47360935785119351</v>
      </c>
      <c r="O234" s="39"/>
      <c r="Q234" s="39"/>
    </row>
    <row r="235" spans="1:17" x14ac:dyDescent="0.25">
      <c r="A235" s="40"/>
      <c r="B235" s="41">
        <v>7410</v>
      </c>
      <c r="C235" s="40" t="s">
        <v>262</v>
      </c>
      <c r="D235" s="42">
        <v>167406910</v>
      </c>
      <c r="E235" s="42">
        <v>200949560</v>
      </c>
      <c r="F235" s="42">
        <v>229479662</v>
      </c>
      <c r="G235" s="42">
        <v>278128762</v>
      </c>
      <c r="H235" s="42">
        <v>218991224</v>
      </c>
      <c r="I235" s="44">
        <v>135150332.24000001</v>
      </c>
      <c r="J235" s="44"/>
      <c r="K235" s="44">
        <v>42897230</v>
      </c>
      <c r="L235" s="44">
        <v>3611733</v>
      </c>
      <c r="M235" s="123">
        <v>0.40477133111051067</v>
      </c>
      <c r="O235" s="39"/>
      <c r="Q235" s="39"/>
    </row>
    <row r="236" spans="1:17" x14ac:dyDescent="0.25">
      <c r="A236" s="40"/>
      <c r="B236" s="41">
        <v>7411</v>
      </c>
      <c r="C236" s="40" t="s">
        <v>272</v>
      </c>
      <c r="D236" s="42">
        <v>24914977</v>
      </c>
      <c r="E236" s="42">
        <v>32021444</v>
      </c>
      <c r="F236" s="42">
        <v>37305421</v>
      </c>
      <c r="G236" s="42">
        <v>40206813</v>
      </c>
      <c r="H236" s="42">
        <v>33612164</v>
      </c>
      <c r="I236" s="44">
        <v>8591376.5099999998</v>
      </c>
      <c r="J236" s="44"/>
      <c r="K236" s="44"/>
      <c r="L236" s="44">
        <v>988421</v>
      </c>
      <c r="M236" s="123">
        <v>0.22619654926115437</v>
      </c>
      <c r="O236" s="39"/>
      <c r="Q236" s="39"/>
    </row>
    <row r="237" spans="1:17" x14ac:dyDescent="0.25">
      <c r="A237" s="40" t="s">
        <v>273</v>
      </c>
      <c r="B237" s="41">
        <v>7501</v>
      </c>
      <c r="C237" s="40" t="s">
        <v>274</v>
      </c>
      <c r="D237" s="42">
        <v>8561500</v>
      </c>
      <c r="E237" s="42">
        <v>11008680</v>
      </c>
      <c r="F237" s="42">
        <v>12378988</v>
      </c>
      <c r="G237" s="42">
        <v>12341220</v>
      </c>
      <c r="H237" s="42">
        <v>11072597</v>
      </c>
      <c r="I237" s="44">
        <v>3011977.0199999986</v>
      </c>
      <c r="J237" s="44"/>
      <c r="K237" s="44"/>
      <c r="L237" s="44">
        <v>1161743</v>
      </c>
      <c r="M237" s="123">
        <v>0.16710027647533804</v>
      </c>
      <c r="O237" s="39"/>
      <c r="Q237" s="39"/>
    </row>
    <row r="238" spans="1:17" x14ac:dyDescent="0.25">
      <c r="A238" s="40"/>
      <c r="B238" s="41">
        <v>7502</v>
      </c>
      <c r="C238" s="40" t="s">
        <v>275</v>
      </c>
      <c r="D238" s="42">
        <v>20829517</v>
      </c>
      <c r="E238" s="42">
        <v>25612879</v>
      </c>
      <c r="F238" s="42">
        <v>27322372</v>
      </c>
      <c r="G238" s="42">
        <v>30866871</v>
      </c>
      <c r="H238" s="42">
        <v>26157910</v>
      </c>
      <c r="I238" s="44">
        <v>15748415.140000001</v>
      </c>
      <c r="J238" s="44"/>
      <c r="K238" s="44">
        <v>945265</v>
      </c>
      <c r="L238" s="44">
        <v>8454296</v>
      </c>
      <c r="M238" s="123">
        <v>0.24271259209929236</v>
      </c>
      <c r="O238" s="39"/>
      <c r="Q238" s="39"/>
    </row>
    <row r="239" spans="1:17" x14ac:dyDescent="0.25">
      <c r="A239" s="40"/>
      <c r="B239" s="41">
        <v>7503</v>
      </c>
      <c r="C239" s="40" t="s">
        <v>276</v>
      </c>
      <c r="D239" s="42">
        <v>6051216</v>
      </c>
      <c r="E239" s="42">
        <v>8551701</v>
      </c>
      <c r="F239" s="42">
        <v>8820717</v>
      </c>
      <c r="G239" s="42">
        <v>11061947</v>
      </c>
      <c r="H239" s="42">
        <v>8621395</v>
      </c>
      <c r="I239" s="44">
        <v>15804004.42</v>
      </c>
      <c r="J239" s="44"/>
      <c r="K239" s="44">
        <v>107290</v>
      </c>
      <c r="L239" s="44">
        <v>12889333</v>
      </c>
      <c r="M239" s="123">
        <v>0.32562960170598843</v>
      </c>
      <c r="O239" s="39"/>
      <c r="Q239" s="39"/>
    </row>
    <row r="240" spans="1:17" x14ac:dyDescent="0.25">
      <c r="A240" s="40"/>
      <c r="B240" s="41">
        <v>7504</v>
      </c>
      <c r="C240" s="40" t="s">
        <v>277</v>
      </c>
      <c r="D240" s="42">
        <v>30572472</v>
      </c>
      <c r="E240" s="42">
        <v>36937678</v>
      </c>
      <c r="F240" s="42">
        <v>48259657</v>
      </c>
      <c r="G240" s="42">
        <v>46718706</v>
      </c>
      <c r="H240" s="42">
        <v>40622128</v>
      </c>
      <c r="I240" s="44">
        <v>12366508.870000001</v>
      </c>
      <c r="J240" s="44"/>
      <c r="K240" s="44">
        <v>155841</v>
      </c>
      <c r="L240" s="44">
        <v>75606</v>
      </c>
      <c r="M240" s="123">
        <v>0.29873033411740518</v>
      </c>
      <c r="O240" s="39"/>
      <c r="Q240" s="39"/>
    </row>
    <row r="241" spans="1:17" x14ac:dyDescent="0.25">
      <c r="A241" s="40"/>
      <c r="B241" s="41">
        <v>7505</v>
      </c>
      <c r="C241" s="40" t="s">
        <v>273</v>
      </c>
      <c r="D241" s="42">
        <v>66698877</v>
      </c>
      <c r="E241" s="42">
        <v>74141031</v>
      </c>
      <c r="F241" s="42">
        <v>95593909</v>
      </c>
      <c r="G241" s="42">
        <v>108764211</v>
      </c>
      <c r="H241" s="42">
        <v>86299507</v>
      </c>
      <c r="I241" s="44">
        <v>53153550.079999998</v>
      </c>
      <c r="J241" s="44"/>
      <c r="K241" s="44">
        <v>5592392</v>
      </c>
      <c r="L241" s="44">
        <v>10640506.039999999</v>
      </c>
      <c r="M241" s="123">
        <v>0.42781996471891781</v>
      </c>
      <c r="O241" s="39"/>
      <c r="Q241" s="39"/>
    </row>
    <row r="242" spans="1:17" x14ac:dyDescent="0.25">
      <c r="A242" s="40" t="s">
        <v>278</v>
      </c>
      <c r="B242" s="41">
        <v>7601</v>
      </c>
      <c r="C242" s="40" t="s">
        <v>279</v>
      </c>
      <c r="D242" s="42">
        <v>48514745</v>
      </c>
      <c r="E242" s="42">
        <v>57995793</v>
      </c>
      <c r="F242" s="42">
        <v>67448694</v>
      </c>
      <c r="G242" s="42">
        <v>78761838</v>
      </c>
      <c r="H242" s="42">
        <v>63180268</v>
      </c>
      <c r="I242" s="44">
        <v>40098037.149999999</v>
      </c>
      <c r="J242" s="44">
        <v>0</v>
      </c>
      <c r="K242" s="44">
        <v>20043589.609999999</v>
      </c>
      <c r="L242" s="44">
        <v>460000</v>
      </c>
      <c r="M242" s="123">
        <v>0.31013555593021541</v>
      </c>
      <c r="O242" s="39"/>
      <c r="Q242" s="39"/>
    </row>
    <row r="243" spans="1:17" x14ac:dyDescent="0.25">
      <c r="A243" s="40"/>
      <c r="B243" s="41">
        <v>7602</v>
      </c>
      <c r="C243" s="40" t="s">
        <v>280</v>
      </c>
      <c r="D243" s="42">
        <v>9570573</v>
      </c>
      <c r="E243" s="42">
        <v>11985017</v>
      </c>
      <c r="F243" s="42">
        <v>16610603</v>
      </c>
      <c r="G243" s="42">
        <v>17268755</v>
      </c>
      <c r="H243" s="42">
        <v>13858737</v>
      </c>
      <c r="I243" s="44">
        <v>12928304.530000001</v>
      </c>
      <c r="J243" s="44"/>
      <c r="K243" s="44">
        <v>412.8</v>
      </c>
      <c r="L243" s="44">
        <v>10843291</v>
      </c>
      <c r="M243" s="123">
        <v>0.15041779997701094</v>
      </c>
      <c r="O243" s="39"/>
      <c r="Q243" s="39"/>
    </row>
    <row r="244" spans="1:17" x14ac:dyDescent="0.25">
      <c r="A244" s="40"/>
      <c r="B244" s="41">
        <v>7603</v>
      </c>
      <c r="C244" s="40" t="s">
        <v>281</v>
      </c>
      <c r="D244" s="42">
        <v>13786182</v>
      </c>
      <c r="E244" s="42">
        <v>14131106</v>
      </c>
      <c r="F244" s="42">
        <v>17205126</v>
      </c>
      <c r="G244" s="42">
        <v>25591371</v>
      </c>
      <c r="H244" s="42">
        <v>17678446</v>
      </c>
      <c r="I244" s="44">
        <v>7162159.6299999999</v>
      </c>
      <c r="J244" s="44">
        <v>14000</v>
      </c>
      <c r="K244" s="44"/>
      <c r="L244" s="44">
        <v>1603082</v>
      </c>
      <c r="M244" s="123">
        <v>0.3136631822729215</v>
      </c>
      <c r="O244" s="39"/>
      <c r="Q244" s="39"/>
    </row>
    <row r="245" spans="1:17" x14ac:dyDescent="0.25">
      <c r="A245" s="40"/>
      <c r="B245" s="41">
        <v>7604</v>
      </c>
      <c r="C245" s="40" t="s">
        <v>282</v>
      </c>
      <c r="D245" s="42">
        <v>3487376</v>
      </c>
      <c r="E245" s="42">
        <v>4767815</v>
      </c>
      <c r="F245" s="42">
        <v>5697763</v>
      </c>
      <c r="G245" s="42">
        <v>6467008</v>
      </c>
      <c r="H245" s="42">
        <v>5104991</v>
      </c>
      <c r="I245" s="44">
        <v>4178851.6</v>
      </c>
      <c r="J245" s="44"/>
      <c r="K245" s="44"/>
      <c r="L245" s="44">
        <v>3925875</v>
      </c>
      <c r="M245" s="123">
        <v>4.9554759254227893E-2</v>
      </c>
      <c r="O245" s="39"/>
      <c r="Q245" s="39"/>
    </row>
    <row r="246" spans="1:17" x14ac:dyDescent="0.25">
      <c r="A246" s="40"/>
      <c r="B246" s="41">
        <v>7605</v>
      </c>
      <c r="C246" s="40" t="s">
        <v>283</v>
      </c>
      <c r="D246" s="42">
        <v>9110840</v>
      </c>
      <c r="E246" s="42">
        <v>9113665</v>
      </c>
      <c r="F246" s="42">
        <v>11204112</v>
      </c>
      <c r="G246" s="42">
        <v>12181336</v>
      </c>
      <c r="H246" s="42">
        <v>10402488</v>
      </c>
      <c r="I246" s="44">
        <v>27033483.320000004</v>
      </c>
      <c r="J246" s="44"/>
      <c r="K246" s="44">
        <v>517398</v>
      </c>
      <c r="L246" s="44"/>
      <c r="M246" s="123">
        <v>2.5490137859327504</v>
      </c>
      <c r="O246" s="39"/>
      <c r="Q246" s="39"/>
    </row>
    <row r="247" spans="1:17" x14ac:dyDescent="0.25">
      <c r="A247" s="40"/>
      <c r="B247" s="41">
        <v>7606</v>
      </c>
      <c r="C247" s="40" t="s">
        <v>284</v>
      </c>
      <c r="D247" s="42">
        <v>26781411</v>
      </c>
      <c r="E247" s="42">
        <v>33131013</v>
      </c>
      <c r="F247" s="42">
        <v>41789171</v>
      </c>
      <c r="G247" s="42">
        <v>45454783</v>
      </c>
      <c r="H247" s="42">
        <v>36789095</v>
      </c>
      <c r="I247" s="44">
        <v>11499187.41</v>
      </c>
      <c r="J247" s="44"/>
      <c r="K247" s="44">
        <v>891744</v>
      </c>
      <c r="L247" s="44">
        <v>0</v>
      </c>
      <c r="M247" s="123">
        <v>0.28833118645620393</v>
      </c>
      <c r="O247" s="39"/>
      <c r="Q247" s="39"/>
    </row>
    <row r="248" spans="1:17" x14ac:dyDescent="0.25">
      <c r="A248" s="40"/>
      <c r="B248" s="41">
        <v>7607</v>
      </c>
      <c r="C248" s="40" t="s">
        <v>285</v>
      </c>
      <c r="D248" s="42">
        <v>10274035</v>
      </c>
      <c r="E248" s="42">
        <v>10799452</v>
      </c>
      <c r="F248" s="42">
        <v>12870653</v>
      </c>
      <c r="G248" s="42">
        <v>18221648</v>
      </c>
      <c r="H248" s="42">
        <v>13041447</v>
      </c>
      <c r="I248" s="44">
        <v>7489014.2700000014</v>
      </c>
      <c r="J248" s="44"/>
      <c r="K248" s="44">
        <v>1219902</v>
      </c>
      <c r="L248" s="44"/>
      <c r="M248" s="123">
        <v>0.48070680117014636</v>
      </c>
      <c r="O248" s="39"/>
      <c r="Q248" s="39"/>
    </row>
    <row r="249" spans="1:17" x14ac:dyDescent="0.25">
      <c r="A249" s="40"/>
      <c r="B249" s="41">
        <v>7608</v>
      </c>
      <c r="C249" s="40" t="s">
        <v>286</v>
      </c>
      <c r="D249" s="42">
        <v>8965353</v>
      </c>
      <c r="E249" s="42">
        <v>7945251</v>
      </c>
      <c r="F249" s="42">
        <v>11235291</v>
      </c>
      <c r="G249" s="42">
        <v>15032458</v>
      </c>
      <c r="H249" s="42">
        <v>10794588</v>
      </c>
      <c r="I249" s="44">
        <v>5700910.5800000001</v>
      </c>
      <c r="J249" s="44"/>
      <c r="K249" s="44"/>
      <c r="L249" s="44"/>
      <c r="M249" s="123">
        <v>0.52812674091869005</v>
      </c>
      <c r="O249" s="39"/>
      <c r="Q249" s="39"/>
    </row>
    <row r="250" spans="1:17" x14ac:dyDescent="0.25">
      <c r="A250" s="40"/>
      <c r="B250" s="41">
        <v>7609</v>
      </c>
      <c r="C250" s="40" t="s">
        <v>287</v>
      </c>
      <c r="D250" s="42">
        <v>12664806</v>
      </c>
      <c r="E250" s="42">
        <v>17314831</v>
      </c>
      <c r="F250" s="42">
        <v>20683532</v>
      </c>
      <c r="G250" s="42">
        <v>29353494</v>
      </c>
      <c r="H250" s="42">
        <v>20004166</v>
      </c>
      <c r="I250" s="44">
        <v>21598714.990000002</v>
      </c>
      <c r="J250" s="44">
        <v>0</v>
      </c>
      <c r="K250" s="44">
        <v>286732</v>
      </c>
      <c r="L250" s="44">
        <v>16019068</v>
      </c>
      <c r="M250" s="123">
        <v>0.26459063527067322</v>
      </c>
      <c r="O250" s="39"/>
      <c r="Q250" s="39"/>
    </row>
    <row r="251" spans="1:17" x14ac:dyDescent="0.25">
      <c r="A251" s="40"/>
      <c r="B251" s="41">
        <v>7610</v>
      </c>
      <c r="C251" s="40" t="s">
        <v>288</v>
      </c>
      <c r="D251" s="42">
        <v>25067198</v>
      </c>
      <c r="E251" s="42">
        <v>29012733</v>
      </c>
      <c r="F251" s="42">
        <v>37322302</v>
      </c>
      <c r="G251" s="42">
        <v>42313795</v>
      </c>
      <c r="H251" s="42">
        <v>33429007</v>
      </c>
      <c r="I251" s="44">
        <v>20960111.709999997</v>
      </c>
      <c r="J251" s="44"/>
      <c r="K251" s="44"/>
      <c r="L251" s="44">
        <v>9191206</v>
      </c>
      <c r="M251" s="123">
        <v>0.35205669465443579</v>
      </c>
      <c r="O251" s="39"/>
      <c r="Q251" s="39"/>
    </row>
    <row r="252" spans="1:17" x14ac:dyDescent="0.25">
      <c r="A252" s="40"/>
      <c r="B252" s="41">
        <v>7611</v>
      </c>
      <c r="C252" s="40" t="s">
        <v>278</v>
      </c>
      <c r="D252" s="42">
        <v>100027775</v>
      </c>
      <c r="E252" s="42">
        <v>114540463</v>
      </c>
      <c r="F252" s="42">
        <v>139272533</v>
      </c>
      <c r="G252" s="42">
        <v>156990644</v>
      </c>
      <c r="H252" s="42">
        <v>127707854</v>
      </c>
      <c r="I252" s="44">
        <v>65739699.460000001</v>
      </c>
      <c r="J252" s="44"/>
      <c r="K252" s="44">
        <v>13437809</v>
      </c>
      <c r="L252" s="44">
        <v>26740633</v>
      </c>
      <c r="M252" s="123">
        <v>0.20015415387059907</v>
      </c>
      <c r="O252" s="39"/>
      <c r="Q252" s="39"/>
    </row>
    <row r="253" spans="1:17" x14ac:dyDescent="0.25">
      <c r="A253" s="40" t="s">
        <v>289</v>
      </c>
      <c r="B253" s="41">
        <v>7701</v>
      </c>
      <c r="C253" s="40" t="s">
        <v>290</v>
      </c>
      <c r="D253" s="42">
        <v>13953703</v>
      </c>
      <c r="E253" s="42">
        <v>15572276</v>
      </c>
      <c r="F253" s="42">
        <v>20053044</v>
      </c>
      <c r="G253" s="42">
        <v>20631962</v>
      </c>
      <c r="H253" s="42">
        <v>17552746</v>
      </c>
      <c r="I253" s="44">
        <v>10142171.34</v>
      </c>
      <c r="J253" s="44"/>
      <c r="K253" s="44">
        <v>789217</v>
      </c>
      <c r="L253" s="44">
        <v>380710</v>
      </c>
      <c r="M253" s="123">
        <v>0.51115901409386311</v>
      </c>
      <c r="O253" s="39"/>
      <c r="Q253" s="39"/>
    </row>
    <row r="254" spans="1:17" x14ac:dyDescent="0.25">
      <c r="A254" s="40"/>
      <c r="B254" s="41">
        <v>7702</v>
      </c>
      <c r="C254" s="40" t="s">
        <v>291</v>
      </c>
      <c r="D254" s="42">
        <v>8996028</v>
      </c>
      <c r="E254" s="42">
        <v>10950999</v>
      </c>
      <c r="F254" s="42">
        <v>15532774</v>
      </c>
      <c r="G254" s="42">
        <v>13016086</v>
      </c>
      <c r="H254" s="42">
        <v>12123972</v>
      </c>
      <c r="I254" s="44">
        <v>7260984.1999999993</v>
      </c>
      <c r="J254" s="44"/>
      <c r="K254" s="44">
        <v>15337</v>
      </c>
      <c r="L254" s="44">
        <v>5019866</v>
      </c>
      <c r="M254" s="123">
        <v>0.18358514849753854</v>
      </c>
      <c r="O254" s="39"/>
      <c r="Q254" s="39"/>
    </row>
    <row r="255" spans="1:17" x14ac:dyDescent="0.25">
      <c r="A255" s="40"/>
      <c r="B255" s="41">
        <v>7703</v>
      </c>
      <c r="C255" s="40" t="s">
        <v>292</v>
      </c>
      <c r="D255" s="42">
        <v>11914552</v>
      </c>
      <c r="E255" s="42">
        <v>14617520</v>
      </c>
      <c r="F255" s="42">
        <v>16443203</v>
      </c>
      <c r="G255" s="42">
        <v>20757500</v>
      </c>
      <c r="H255" s="42">
        <v>15933194</v>
      </c>
      <c r="I255" s="44">
        <v>2083663.9299999997</v>
      </c>
      <c r="J255" s="44"/>
      <c r="K255" s="44"/>
      <c r="L255" s="44"/>
      <c r="M255" s="123">
        <v>0.13077503041763</v>
      </c>
      <c r="O255" s="39"/>
      <c r="Q255" s="39"/>
    </row>
    <row r="256" spans="1:17" x14ac:dyDescent="0.25">
      <c r="A256" s="40"/>
      <c r="B256" s="41">
        <v>7704</v>
      </c>
      <c r="C256" s="40" t="s">
        <v>293</v>
      </c>
      <c r="D256" s="42">
        <v>15159680</v>
      </c>
      <c r="E256" s="42">
        <v>16177177</v>
      </c>
      <c r="F256" s="42">
        <v>23043293</v>
      </c>
      <c r="G256" s="42">
        <v>24481361</v>
      </c>
      <c r="H256" s="42">
        <v>19715378</v>
      </c>
      <c r="I256" s="44">
        <v>4560771.5199999996</v>
      </c>
      <c r="J256" s="44"/>
      <c r="K256" s="44">
        <v>393187</v>
      </c>
      <c r="L256" s="44"/>
      <c r="M256" s="123">
        <v>0.21138750268952489</v>
      </c>
      <c r="O256" s="39"/>
      <c r="Q256" s="39"/>
    </row>
    <row r="257" spans="1:17" x14ac:dyDescent="0.25">
      <c r="A257" s="40"/>
      <c r="B257" s="41">
        <v>7705</v>
      </c>
      <c r="C257" s="40" t="s">
        <v>294</v>
      </c>
      <c r="D257" s="42">
        <v>9874117</v>
      </c>
      <c r="E257" s="42">
        <v>12490621</v>
      </c>
      <c r="F257" s="42">
        <v>14340087</v>
      </c>
      <c r="G257" s="42">
        <v>16077061</v>
      </c>
      <c r="H257" s="42">
        <v>13195472</v>
      </c>
      <c r="I257" s="44">
        <v>8930332.1199999992</v>
      </c>
      <c r="J257" s="44"/>
      <c r="K257" s="44">
        <v>673444</v>
      </c>
      <c r="L257" s="44">
        <v>6598045</v>
      </c>
      <c r="M257" s="123">
        <v>0.12571305672127522</v>
      </c>
      <c r="O257" s="39"/>
      <c r="Q257" s="39"/>
    </row>
    <row r="258" spans="1:17" x14ac:dyDescent="0.25">
      <c r="A258" s="40"/>
      <c r="B258" s="41">
        <v>7706</v>
      </c>
      <c r="C258" s="40" t="s">
        <v>295</v>
      </c>
      <c r="D258" s="42">
        <v>9240217</v>
      </c>
      <c r="E258" s="42">
        <v>14261710</v>
      </c>
      <c r="F258" s="42">
        <v>13157593</v>
      </c>
      <c r="G258" s="42">
        <v>14149447</v>
      </c>
      <c r="H258" s="42">
        <v>12702242</v>
      </c>
      <c r="I258" s="44">
        <v>5232895.53</v>
      </c>
      <c r="J258" s="44"/>
      <c r="K258" s="44"/>
      <c r="L258" s="44"/>
      <c r="M258" s="123">
        <v>0.41196629146256231</v>
      </c>
      <c r="O258" s="39"/>
      <c r="Q258" s="39"/>
    </row>
    <row r="259" spans="1:17" x14ac:dyDescent="0.25">
      <c r="A259" s="40"/>
      <c r="B259" s="41">
        <v>7707</v>
      </c>
      <c r="C259" s="40" t="s">
        <v>296</v>
      </c>
      <c r="D259" s="42">
        <v>25452920</v>
      </c>
      <c r="E259" s="42">
        <v>31176958</v>
      </c>
      <c r="F259" s="42">
        <v>32797603</v>
      </c>
      <c r="G259" s="42">
        <v>36296337</v>
      </c>
      <c r="H259" s="42">
        <v>31430955</v>
      </c>
      <c r="I259" s="44">
        <v>6949404.9900000002</v>
      </c>
      <c r="J259" s="44"/>
      <c r="K259" s="44">
        <v>1801075</v>
      </c>
      <c r="L259" s="44">
        <v>1349636</v>
      </c>
      <c r="M259" s="123">
        <v>0.12085837003679972</v>
      </c>
      <c r="O259" s="39"/>
      <c r="Q259" s="39"/>
    </row>
    <row r="260" spans="1:17" x14ac:dyDescent="0.25">
      <c r="A260" s="40"/>
      <c r="B260" s="41">
        <v>7708</v>
      </c>
      <c r="C260" s="40" t="s">
        <v>297</v>
      </c>
      <c r="D260" s="42">
        <v>9533933</v>
      </c>
      <c r="E260" s="42">
        <v>11222971</v>
      </c>
      <c r="F260" s="42">
        <v>15600839</v>
      </c>
      <c r="G260" s="42">
        <v>16625816</v>
      </c>
      <c r="H260" s="42">
        <v>13245890</v>
      </c>
      <c r="I260" s="44">
        <v>4388059.93</v>
      </c>
      <c r="J260" s="44"/>
      <c r="K260" s="44">
        <v>334308</v>
      </c>
      <c r="L260" s="44"/>
      <c r="M260" s="123">
        <v>0.30603847155608266</v>
      </c>
      <c r="O260" s="39"/>
      <c r="Q260" s="39"/>
    </row>
    <row r="261" spans="1:17" x14ac:dyDescent="0.25">
      <c r="A261" s="40"/>
      <c r="B261" s="41">
        <v>7709</v>
      </c>
      <c r="C261" s="40" t="s">
        <v>298</v>
      </c>
      <c r="D261" s="42">
        <v>8216586</v>
      </c>
      <c r="E261" s="42">
        <v>9673511</v>
      </c>
      <c r="F261" s="42">
        <v>12861426</v>
      </c>
      <c r="G261" s="42">
        <v>11457202</v>
      </c>
      <c r="H261" s="42">
        <v>10552181</v>
      </c>
      <c r="I261" s="44">
        <v>12445869.759999998</v>
      </c>
      <c r="J261" s="42"/>
      <c r="K261" s="42">
        <v>279388</v>
      </c>
      <c r="L261" s="42">
        <v>8806634</v>
      </c>
      <c r="M261" s="123">
        <v>0.31840315855082452</v>
      </c>
      <c r="O261" s="39"/>
      <c r="Q261" s="39"/>
    </row>
    <row r="262" spans="1:17" x14ac:dyDescent="0.25">
      <c r="A262" s="40"/>
      <c r="B262" s="41">
        <v>7710</v>
      </c>
      <c r="C262" s="40" t="s">
        <v>289</v>
      </c>
      <c r="D262" s="42">
        <v>103472088</v>
      </c>
      <c r="E262" s="42">
        <v>119091080</v>
      </c>
      <c r="F262" s="42">
        <v>152078431</v>
      </c>
      <c r="G262" s="42">
        <v>163663862</v>
      </c>
      <c r="H262" s="42">
        <v>134576365</v>
      </c>
      <c r="I262" s="44">
        <v>76423211</v>
      </c>
      <c r="J262" s="44">
        <v>0</v>
      </c>
      <c r="K262" s="44">
        <v>9524412</v>
      </c>
      <c r="L262" s="44">
        <v>4933713</v>
      </c>
      <c r="M262" s="123">
        <v>0.46044553217052636</v>
      </c>
      <c r="O262" s="39"/>
      <c r="Q262" s="39"/>
    </row>
    <row r="263" spans="1:17" x14ac:dyDescent="0.25">
      <c r="A263" s="40" t="s">
        <v>299</v>
      </c>
      <c r="B263" s="41">
        <v>7801</v>
      </c>
      <c r="C263" s="40" t="s">
        <v>300</v>
      </c>
      <c r="D263" s="42">
        <v>8808639</v>
      </c>
      <c r="E263" s="42">
        <v>9638092</v>
      </c>
      <c r="F263" s="42">
        <v>11965448</v>
      </c>
      <c r="G263" s="42">
        <v>20031994</v>
      </c>
      <c r="H263" s="42">
        <v>12611043</v>
      </c>
      <c r="I263" s="44">
        <v>11102568.029999999</v>
      </c>
      <c r="J263" s="44"/>
      <c r="K263" s="44"/>
      <c r="L263" s="44">
        <v>9671468</v>
      </c>
      <c r="M263" s="123">
        <v>0.11347991042453819</v>
      </c>
      <c r="O263" s="39"/>
      <c r="Q263" s="39"/>
    </row>
    <row r="264" spans="1:17" x14ac:dyDescent="0.25">
      <c r="A264" s="40"/>
      <c r="B264" s="41">
        <v>7802</v>
      </c>
      <c r="C264" s="40" t="s">
        <v>301</v>
      </c>
      <c r="D264" s="42">
        <v>17336900</v>
      </c>
      <c r="E264" s="42">
        <v>18371396</v>
      </c>
      <c r="F264" s="42">
        <v>23081316</v>
      </c>
      <c r="G264" s="42">
        <v>25872345</v>
      </c>
      <c r="H264" s="42">
        <v>21165489</v>
      </c>
      <c r="I264" s="44">
        <v>6353743.6600000001</v>
      </c>
      <c r="J264" s="44"/>
      <c r="K264" s="44">
        <v>636937</v>
      </c>
      <c r="L264" s="44">
        <v>737968</v>
      </c>
      <c r="M264" s="123">
        <v>0.23523381198516133</v>
      </c>
      <c r="O264" s="39"/>
      <c r="Q264" s="39"/>
    </row>
    <row r="265" spans="1:17" x14ac:dyDescent="0.25">
      <c r="A265" s="40"/>
      <c r="B265" s="41">
        <v>7803</v>
      </c>
      <c r="C265" s="40" t="s">
        <v>302</v>
      </c>
      <c r="D265" s="42">
        <v>15222223</v>
      </c>
      <c r="E265" s="42">
        <v>17003571</v>
      </c>
      <c r="F265" s="42">
        <v>19828169</v>
      </c>
      <c r="G265" s="42">
        <v>20800339</v>
      </c>
      <c r="H265" s="42">
        <v>18213576</v>
      </c>
      <c r="I265" s="44">
        <v>7380502.8600000003</v>
      </c>
      <c r="J265" s="44"/>
      <c r="K265" s="44">
        <v>259346</v>
      </c>
      <c r="L265" s="44"/>
      <c r="M265" s="123">
        <v>0.39098070911500304</v>
      </c>
      <c r="O265" s="39"/>
      <c r="Q265" s="39"/>
    </row>
    <row r="266" spans="1:17" x14ac:dyDescent="0.25">
      <c r="A266" s="40"/>
      <c r="B266" s="41">
        <v>7804</v>
      </c>
      <c r="C266" s="40" t="s">
        <v>303</v>
      </c>
      <c r="D266" s="42">
        <v>24098745</v>
      </c>
      <c r="E266" s="42">
        <v>30447476</v>
      </c>
      <c r="F266" s="42">
        <v>36414828</v>
      </c>
      <c r="G266" s="42">
        <v>38464555</v>
      </c>
      <c r="H266" s="42">
        <v>32356401</v>
      </c>
      <c r="I266" s="44">
        <v>8740144.5199999996</v>
      </c>
      <c r="J266" s="44">
        <v>0</v>
      </c>
      <c r="K266" s="44">
        <v>470951</v>
      </c>
      <c r="L266" s="44">
        <v>274508</v>
      </c>
      <c r="M266" s="123">
        <v>0.2470820385740676</v>
      </c>
      <c r="O266" s="39"/>
      <c r="Q266" s="39"/>
    </row>
    <row r="267" spans="1:17" ht="16.5" thickBot="1" x14ac:dyDescent="0.3">
      <c r="A267" s="124"/>
      <c r="B267" s="125">
        <v>7805</v>
      </c>
      <c r="C267" s="124" t="s">
        <v>299</v>
      </c>
      <c r="D267" s="126">
        <v>77116066</v>
      </c>
      <c r="E267" s="126">
        <v>94589845</v>
      </c>
      <c r="F267" s="126">
        <v>114835281</v>
      </c>
      <c r="G267" s="126">
        <v>129068418</v>
      </c>
      <c r="H267" s="126">
        <v>103902403</v>
      </c>
      <c r="I267" s="127">
        <v>47917185.590000004</v>
      </c>
      <c r="J267" s="127">
        <v>0</v>
      </c>
      <c r="K267" s="127">
        <v>12693618</v>
      </c>
      <c r="L267" s="127">
        <v>4141993</v>
      </c>
      <c r="M267" s="128">
        <v>0.29914201878468588</v>
      </c>
      <c r="O267" s="39"/>
      <c r="Q267" s="39"/>
    </row>
    <row r="268" spans="1:17" x14ac:dyDescent="0.25">
      <c r="A268" s="129" t="s">
        <v>304</v>
      </c>
      <c r="B268" s="129"/>
      <c r="C268" s="129"/>
      <c r="D268" s="130">
        <v>8728358107</v>
      </c>
      <c r="E268" s="130">
        <v>10297707008</v>
      </c>
      <c r="F268" s="130">
        <v>12506390502</v>
      </c>
      <c r="G268" s="130">
        <v>14724831022</v>
      </c>
      <c r="H268" s="130">
        <v>11564321660</v>
      </c>
      <c r="I268" s="130">
        <v>6613132726.1300001</v>
      </c>
      <c r="J268" s="130">
        <v>12115572.550000001</v>
      </c>
      <c r="K268" s="130">
        <v>1016738372.5520999</v>
      </c>
      <c r="L268" s="130">
        <v>1494029815.8000004</v>
      </c>
      <c r="M268" s="131">
        <v>0.35369553748887156</v>
      </c>
      <c r="O268" s="39"/>
      <c r="Q268" s="39"/>
    </row>
    <row r="280" spans="4:46" s="100" customFormat="1" x14ac:dyDescent="0.25">
      <c r="D280" s="101"/>
      <c r="E280" s="101"/>
      <c r="F280" s="101"/>
      <c r="G280" s="101"/>
      <c r="H280" s="101"/>
      <c r="I280" s="102"/>
      <c r="J280" s="102"/>
      <c r="K280" s="102"/>
      <c r="L280" s="102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</row>
    <row r="281" spans="4:46" s="100" customFormat="1" x14ac:dyDescent="0.25">
      <c r="D281" s="101"/>
      <c r="E281" s="101"/>
      <c r="F281" s="101"/>
      <c r="G281" s="101"/>
      <c r="H281" s="101"/>
      <c r="I281" s="102"/>
      <c r="J281" s="102"/>
      <c r="K281" s="102"/>
      <c r="L281" s="102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</row>
    <row r="282" spans="4:46" s="100" customFormat="1" x14ac:dyDescent="0.25">
      <c r="D282" s="101"/>
      <c r="E282" s="101"/>
      <c r="F282" s="101"/>
      <c r="G282" s="101"/>
      <c r="H282" s="101"/>
      <c r="I282" s="102"/>
      <c r="J282" s="102"/>
      <c r="K282" s="102"/>
      <c r="L282" s="102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</row>
    <row r="283" spans="4:46" s="100" customFormat="1" x14ac:dyDescent="0.25">
      <c r="D283" s="101"/>
      <c r="E283" s="101"/>
      <c r="F283" s="101"/>
      <c r="G283" s="101"/>
      <c r="H283" s="101"/>
      <c r="I283" s="102"/>
      <c r="J283" s="102"/>
      <c r="K283" s="102"/>
      <c r="L283" s="102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</row>
    <row r="284" spans="4:46" s="100" customFormat="1" x14ac:dyDescent="0.25">
      <c r="D284" s="101"/>
      <c r="E284" s="101"/>
      <c r="F284" s="101"/>
      <c r="G284" s="101"/>
      <c r="H284" s="101"/>
      <c r="I284" s="102"/>
      <c r="J284" s="102"/>
      <c r="K284" s="102"/>
      <c r="L284" s="102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</row>
    <row r="285" spans="4:46" s="100" customFormat="1" x14ac:dyDescent="0.25">
      <c r="D285" s="101"/>
      <c r="E285" s="101"/>
      <c r="F285" s="101"/>
      <c r="G285" s="101"/>
      <c r="H285" s="101"/>
      <c r="I285" s="102"/>
      <c r="J285" s="102"/>
      <c r="K285" s="102"/>
      <c r="L285" s="102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</row>
    <row r="286" spans="4:46" s="100" customFormat="1" x14ac:dyDescent="0.25">
      <c r="D286" s="101"/>
      <c r="E286" s="101"/>
      <c r="F286" s="101"/>
      <c r="G286" s="101"/>
      <c r="H286" s="101"/>
      <c r="I286" s="102"/>
      <c r="J286" s="102"/>
      <c r="K286" s="102"/>
      <c r="L286" s="102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</row>
    <row r="287" spans="4:46" s="100" customFormat="1" x14ac:dyDescent="0.25">
      <c r="D287" s="101"/>
      <c r="E287" s="101"/>
      <c r="F287" s="101"/>
      <c r="G287" s="101"/>
      <c r="H287" s="101"/>
      <c r="I287" s="102"/>
      <c r="J287" s="102"/>
      <c r="K287" s="102"/>
      <c r="L287" s="102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</row>
    <row r="288" spans="4:46" s="100" customFormat="1" x14ac:dyDescent="0.25">
      <c r="D288" s="101"/>
      <c r="E288" s="101"/>
      <c r="F288" s="101"/>
      <c r="G288" s="101"/>
      <c r="H288" s="101"/>
      <c r="I288" s="102"/>
      <c r="J288" s="102"/>
      <c r="K288" s="102"/>
      <c r="L288" s="102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</row>
    <row r="289" spans="4:46" s="100" customFormat="1" x14ac:dyDescent="0.25">
      <c r="D289" s="101"/>
      <c r="E289" s="101"/>
      <c r="F289" s="101"/>
      <c r="G289" s="101"/>
      <c r="H289" s="101"/>
      <c r="I289" s="102"/>
      <c r="J289" s="102"/>
      <c r="K289" s="102"/>
      <c r="L289" s="102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</row>
    <row r="290" spans="4:46" s="100" customFormat="1" x14ac:dyDescent="0.25">
      <c r="D290" s="101"/>
      <c r="E290" s="101"/>
      <c r="F290" s="101"/>
      <c r="G290" s="101"/>
      <c r="H290" s="101"/>
      <c r="I290" s="102"/>
      <c r="J290" s="102"/>
      <c r="K290" s="102"/>
      <c r="L290" s="102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</row>
    <row r="291" spans="4:46" s="100" customFormat="1" x14ac:dyDescent="0.25">
      <c r="D291" s="101"/>
      <c r="E291" s="101"/>
      <c r="F291" s="101"/>
      <c r="G291" s="101"/>
      <c r="H291" s="101"/>
      <c r="I291" s="102"/>
      <c r="J291" s="102"/>
      <c r="K291" s="102"/>
      <c r="L291" s="102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</row>
    <row r="292" spans="4:46" s="100" customFormat="1" x14ac:dyDescent="0.25">
      <c r="D292" s="101"/>
      <c r="E292" s="101"/>
      <c r="F292" s="101"/>
      <c r="G292" s="101"/>
      <c r="H292" s="101"/>
      <c r="I292" s="102"/>
      <c r="J292" s="102"/>
      <c r="K292" s="102"/>
      <c r="L292" s="102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</row>
    <row r="293" spans="4:46" s="100" customFormat="1" x14ac:dyDescent="0.25">
      <c r="D293" s="101"/>
      <c r="E293" s="101"/>
      <c r="F293" s="101"/>
      <c r="G293" s="101"/>
      <c r="H293" s="101"/>
      <c r="I293" s="102"/>
      <c r="J293" s="102"/>
      <c r="K293" s="102"/>
      <c r="L293" s="102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</row>
    <row r="294" spans="4:46" s="100" customFormat="1" x14ac:dyDescent="0.25">
      <c r="D294" s="101"/>
      <c r="E294" s="101"/>
      <c r="F294" s="101"/>
      <c r="G294" s="101"/>
      <c r="H294" s="101"/>
      <c r="I294" s="102"/>
      <c r="J294" s="102"/>
      <c r="K294" s="102"/>
      <c r="L294" s="102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</row>
    <row r="295" spans="4:46" s="100" customFormat="1" x14ac:dyDescent="0.25">
      <c r="D295" s="101"/>
      <c r="E295" s="101"/>
      <c r="F295" s="101"/>
      <c r="G295" s="101"/>
      <c r="H295" s="101"/>
      <c r="I295" s="102"/>
      <c r="J295" s="102"/>
      <c r="K295" s="102"/>
      <c r="L295" s="102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</row>
    <row r="296" spans="4:46" s="100" customFormat="1" x14ac:dyDescent="0.25">
      <c r="D296" s="101"/>
      <c r="E296" s="101"/>
      <c r="F296" s="101"/>
      <c r="G296" s="101"/>
      <c r="H296" s="101"/>
      <c r="I296" s="102"/>
      <c r="J296" s="102"/>
      <c r="K296" s="102"/>
      <c r="L296" s="102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</row>
    <row r="297" spans="4:46" s="100" customFormat="1" x14ac:dyDescent="0.25">
      <c r="D297" s="101"/>
      <c r="E297" s="101"/>
      <c r="F297" s="101"/>
      <c r="G297" s="101"/>
      <c r="H297" s="101"/>
      <c r="I297" s="102"/>
      <c r="J297" s="102"/>
      <c r="K297" s="102"/>
      <c r="L297" s="102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</row>
    <row r="298" spans="4:46" s="100" customFormat="1" x14ac:dyDescent="0.25">
      <c r="D298" s="101"/>
      <c r="E298" s="101"/>
      <c r="F298" s="101"/>
      <c r="G298" s="101"/>
      <c r="H298" s="101"/>
      <c r="I298" s="102"/>
      <c r="J298" s="102"/>
      <c r="K298" s="102"/>
      <c r="L298" s="102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</row>
    <row r="299" spans="4:46" s="100" customFormat="1" x14ac:dyDescent="0.25">
      <c r="D299" s="101"/>
      <c r="E299" s="101"/>
      <c r="F299" s="101"/>
      <c r="G299" s="101"/>
      <c r="H299" s="101"/>
      <c r="I299" s="102"/>
      <c r="J299" s="102"/>
      <c r="K299" s="102"/>
      <c r="L299" s="102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</row>
    <row r="300" spans="4:46" s="100" customFormat="1" x14ac:dyDescent="0.25">
      <c r="D300" s="101"/>
      <c r="E300" s="101"/>
      <c r="F300" s="101"/>
      <c r="G300" s="101"/>
      <c r="H300" s="101"/>
      <c r="I300" s="102"/>
      <c r="J300" s="102"/>
      <c r="K300" s="102"/>
      <c r="L300" s="102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</row>
    <row r="301" spans="4:46" s="100" customFormat="1" x14ac:dyDescent="0.25">
      <c r="D301" s="101"/>
      <c r="E301" s="101"/>
      <c r="F301" s="101"/>
      <c r="G301" s="101"/>
      <c r="H301" s="101"/>
      <c r="I301" s="102"/>
      <c r="J301" s="102"/>
      <c r="K301" s="102"/>
      <c r="L301" s="102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</row>
    <row r="302" spans="4:46" s="100" customFormat="1" x14ac:dyDescent="0.25">
      <c r="D302" s="101"/>
      <c r="E302" s="101"/>
      <c r="F302" s="101"/>
      <c r="G302" s="101"/>
      <c r="H302" s="101"/>
      <c r="I302" s="102"/>
      <c r="J302" s="102"/>
      <c r="K302" s="102"/>
      <c r="L302" s="102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</row>
    <row r="303" spans="4:46" s="100" customFormat="1" x14ac:dyDescent="0.25">
      <c r="D303" s="101"/>
      <c r="E303" s="101"/>
      <c r="F303" s="101"/>
      <c r="G303" s="101"/>
      <c r="H303" s="101"/>
      <c r="I303" s="102"/>
      <c r="J303" s="102"/>
      <c r="K303" s="102"/>
      <c r="L303" s="102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</row>
    <row r="304" spans="4:46" s="100" customFormat="1" x14ac:dyDescent="0.25">
      <c r="D304" s="101"/>
      <c r="E304" s="101"/>
      <c r="F304" s="101"/>
      <c r="G304" s="101"/>
      <c r="H304" s="101"/>
      <c r="I304" s="102"/>
      <c r="J304" s="102"/>
      <c r="K304" s="102"/>
      <c r="L304" s="102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</row>
    <row r="305" spans="4:46" s="100" customFormat="1" x14ac:dyDescent="0.25">
      <c r="D305" s="101"/>
      <c r="E305" s="101"/>
      <c r="F305" s="101"/>
      <c r="G305" s="101"/>
      <c r="H305" s="101"/>
      <c r="I305" s="102"/>
      <c r="J305" s="102"/>
      <c r="K305" s="102"/>
      <c r="L305" s="102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</row>
    <row r="306" spans="4:46" s="100" customFormat="1" x14ac:dyDescent="0.25">
      <c r="D306" s="101"/>
      <c r="E306" s="101"/>
      <c r="F306" s="101"/>
      <c r="G306" s="101"/>
      <c r="H306" s="101"/>
      <c r="I306" s="102"/>
      <c r="J306" s="102"/>
      <c r="K306" s="102"/>
      <c r="L306" s="102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</row>
    <row r="307" spans="4:46" s="100" customFormat="1" x14ac:dyDescent="0.25">
      <c r="D307" s="101"/>
      <c r="E307" s="101"/>
      <c r="F307" s="101"/>
      <c r="G307" s="101"/>
      <c r="H307" s="101"/>
      <c r="I307" s="102"/>
      <c r="J307" s="102"/>
      <c r="K307" s="102"/>
      <c r="L307" s="102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</row>
    <row r="308" spans="4:46" s="100" customFormat="1" x14ac:dyDescent="0.25">
      <c r="D308" s="101"/>
      <c r="E308" s="101"/>
      <c r="F308" s="101"/>
      <c r="G308" s="101"/>
      <c r="H308" s="101"/>
      <c r="I308" s="102"/>
      <c r="J308" s="102"/>
      <c r="K308" s="102"/>
      <c r="L308" s="102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</row>
    <row r="309" spans="4:46" s="100" customFormat="1" x14ac:dyDescent="0.25">
      <c r="D309" s="101"/>
      <c r="E309" s="101"/>
      <c r="F309" s="101"/>
      <c r="G309" s="101"/>
      <c r="H309" s="101"/>
      <c r="I309" s="102"/>
      <c r="J309" s="102"/>
      <c r="K309" s="102"/>
      <c r="L309" s="102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</row>
    <row r="310" spans="4:46" s="100" customFormat="1" x14ac:dyDescent="0.25">
      <c r="D310" s="101"/>
      <c r="E310" s="101"/>
      <c r="F310" s="101"/>
      <c r="G310" s="101"/>
      <c r="H310" s="101"/>
      <c r="I310" s="102"/>
      <c r="J310" s="102"/>
      <c r="K310" s="102"/>
      <c r="L310" s="102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</row>
    <row r="311" spans="4:46" s="100" customFormat="1" x14ac:dyDescent="0.25">
      <c r="D311" s="101"/>
      <c r="E311" s="101"/>
      <c r="F311" s="101"/>
      <c r="G311" s="101"/>
      <c r="H311" s="101"/>
      <c r="I311" s="102"/>
      <c r="J311" s="102"/>
      <c r="K311" s="102"/>
      <c r="L311" s="102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</row>
    <row r="312" spans="4:46" s="100" customFormat="1" x14ac:dyDescent="0.25">
      <c r="D312" s="101"/>
      <c r="E312" s="101"/>
      <c r="F312" s="101"/>
      <c r="G312" s="101"/>
      <c r="H312" s="101"/>
      <c r="I312" s="102"/>
      <c r="J312" s="102"/>
      <c r="K312" s="102"/>
      <c r="L312" s="102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</row>
    <row r="313" spans="4:46" s="100" customFormat="1" x14ac:dyDescent="0.25">
      <c r="D313" s="101"/>
      <c r="E313" s="101"/>
      <c r="F313" s="101"/>
      <c r="G313" s="101"/>
      <c r="H313" s="101"/>
      <c r="I313" s="102"/>
      <c r="J313" s="102"/>
      <c r="K313" s="102"/>
      <c r="L313" s="102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</row>
    <row r="314" spans="4:46" s="100" customFormat="1" x14ac:dyDescent="0.25">
      <c r="D314" s="101"/>
      <c r="E314" s="101"/>
      <c r="F314" s="101"/>
      <c r="G314" s="101"/>
      <c r="H314" s="101"/>
      <c r="I314" s="102"/>
      <c r="J314" s="102"/>
      <c r="K314" s="102"/>
      <c r="L314" s="102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</row>
    <row r="315" spans="4:46" s="100" customFormat="1" x14ac:dyDescent="0.25">
      <c r="D315" s="101"/>
      <c r="E315" s="101"/>
      <c r="F315" s="101"/>
      <c r="G315" s="101"/>
      <c r="H315" s="101"/>
      <c r="I315" s="102"/>
      <c r="J315" s="102"/>
      <c r="K315" s="102"/>
      <c r="L315" s="102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</row>
    <row r="316" spans="4:46" s="100" customFormat="1" x14ac:dyDescent="0.25">
      <c r="D316" s="101"/>
      <c r="E316" s="101"/>
      <c r="F316" s="101"/>
      <c r="G316" s="101"/>
      <c r="H316" s="101"/>
      <c r="I316" s="102"/>
      <c r="J316" s="102"/>
      <c r="K316" s="102"/>
      <c r="L316" s="102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</row>
    <row r="317" spans="4:46" s="100" customFormat="1" x14ac:dyDescent="0.25">
      <c r="D317" s="101"/>
      <c r="E317" s="101"/>
      <c r="F317" s="101"/>
      <c r="G317" s="101"/>
      <c r="H317" s="101"/>
      <c r="I317" s="102"/>
      <c r="J317" s="102"/>
      <c r="K317" s="102"/>
      <c r="L317" s="102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</row>
  </sheetData>
  <autoFilter ref="A2:Q268"/>
  <pageMargins left="0.70866141732283472" right="0.31496062992125984" top="0.55118110236220474" bottom="0.35433070866141736" header="0.11811023622047245" footer="0.31496062992125984"/>
  <pageSetup paperSize="9" scale="51" fitToHeight="0" orientation="landscape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danni 2021-2024</vt:lpstr>
      <vt:lpstr>показатели</vt:lpstr>
      <vt:lpstr>СЕС-код 42 и код 98</vt:lpstr>
      <vt:lpstr>общини фин. оздр.</vt:lpstr>
      <vt:lpstr>ОбщВрБезлихвЗеми</vt:lpstr>
      <vt:lpstr>чл. 94, ал.3, т.2 от ЗПФ</vt:lpstr>
    </vt:vector>
  </TitlesOfParts>
  <Company>Ministry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Ечев</dc:creator>
  <cp:lastModifiedBy>Христо Ечев</cp:lastModifiedBy>
  <dcterms:created xsi:type="dcterms:W3CDTF">2025-05-19T12:22:14Z</dcterms:created>
  <dcterms:modified xsi:type="dcterms:W3CDTF">2025-05-30T07:34:41Z</dcterms:modified>
</cp:coreProperties>
</file>